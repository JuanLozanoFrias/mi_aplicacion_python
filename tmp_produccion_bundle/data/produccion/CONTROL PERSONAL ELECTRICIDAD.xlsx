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ngmontajes4\Downloads\"/>
    </mc:Choice>
  </mc:AlternateContent>
  <xr:revisionPtr revIDLastSave="0" documentId="8_{3500989A-5111-47CD-B4F3-31A05B30918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1031" sheetId="1" r:id="rId1"/>
    <sheet name="Listas" sheetId="2" r:id="rId2"/>
  </sheets>
  <definedNames>
    <definedName name="_xlnm._FilterDatabase" localSheetId="0" hidden="1">'20251031'!$A$17:$H$59</definedName>
    <definedName name="ACTIVIDAD">TABLA_ACTIVIDAD[ACTIVIDAD]</definedName>
    <definedName name="AREA">TABLA_AREA[AREA]</definedName>
    <definedName name="LIST_AREA">Listas!$B$2:$B$9</definedName>
    <definedName name="LIST_ESTADO">Listas!$C$2:$C$6</definedName>
    <definedName name="LIST_TURNO">Listas!$A$2:$A$6</definedName>
    <definedName name="OP">TABLA_OP[OP]</definedName>
    <definedName name="_xlnm.Print_Titles" localSheetId="0">'20251031'!1:1</definedName>
    <definedName name="TURNO">TABLA_TURNO[TURNO]</definedName>
  </definedNames>
  <calcPr calcId="191029"/>
</workbook>
</file>

<file path=xl/calcChain.xml><?xml version="1.0" encoding="utf-8"?>
<calcChain xmlns="http://schemas.openxmlformats.org/spreadsheetml/2006/main">
  <c r="B6" i="1" l="1"/>
  <c r="B14" i="1"/>
  <c r="B13" i="1"/>
  <c r="B12" i="1"/>
  <c r="B11" i="1"/>
  <c r="B10" i="1"/>
  <c r="B9" i="1"/>
  <c r="B8" i="1"/>
  <c r="B7" i="1"/>
  <c r="B5" i="1"/>
  <c r="B4" i="1"/>
  <c r="B3" i="1"/>
</calcChain>
</file>

<file path=xl/sharedStrings.xml><?xml version="1.0" encoding="utf-8"?>
<sst xmlns="http://schemas.openxmlformats.org/spreadsheetml/2006/main" count="106" uniqueCount="78">
  <si>
    <t>MANRIQUE LUIS HENRY</t>
  </si>
  <si>
    <t>CARO JOSE MAURICIO</t>
  </si>
  <si>
    <t>CAÑON DOMINGUEZ MAURICIO</t>
  </si>
  <si>
    <t>UNRIZA UNRIZA OSCAR DARIO</t>
  </si>
  <si>
    <t>POLANIA MOYA HABERTH</t>
  </si>
  <si>
    <t>PUENTES CERINZA PEDRO ANTONIO</t>
  </si>
  <si>
    <t>CHAVEZ ROHENES DAIRO</t>
  </si>
  <si>
    <t>MEDELLIN BUSTOS MIGUEL ALFREDO</t>
  </si>
  <si>
    <t>CABRERA CEBALLOS MANUEL ANTONIO</t>
  </si>
  <si>
    <t>GARCIA SANCHEZ JOSE RUBEN</t>
  </si>
  <si>
    <t>ALVAREZ NOGUERA ANDRES DE JESUS</t>
  </si>
  <si>
    <t>GAONA NUÑEZ JUAN SEBASTIAN</t>
  </si>
  <si>
    <t>CUERVO ZORRO EDGAR DAVID</t>
  </si>
  <si>
    <t>ARDILA VARGAS JHON JAIVER</t>
  </si>
  <si>
    <t>ALVARADO CUBILLOS IVAN ALFONSO</t>
  </si>
  <si>
    <t>GONZALEZ CASTAÑEDA ANDRES FABIAN</t>
  </si>
  <si>
    <t>PALOMINO ESPAÑA KEVIN ALEJANDRO</t>
  </si>
  <si>
    <t>VARGAS BARRIOS BRAYAN ALEJANDRO</t>
  </si>
  <si>
    <t>CABEZAS MORENO JUAN DAVID</t>
  </si>
  <si>
    <t>CIFUENTES PINTO HOWER MAURICIO</t>
  </si>
  <si>
    <t>URREGO ALAPE MARIO FERNANDO</t>
  </si>
  <si>
    <t>OLIVARES QUINA JADER ANDREY</t>
  </si>
  <si>
    <t>GUERRERO MURCIA ESTEBAN MAURICIO</t>
  </si>
  <si>
    <t>LOAIZA ALFARO SEBASTIAN DAVID</t>
  </si>
  <si>
    <t>BENITEZ CUELLAR JORGE RENE</t>
  </si>
  <si>
    <t>HERNANDEZ TORRES DANILO ENRIQUE</t>
  </si>
  <si>
    <t>ZARATE VEGA NIXON ARLEY</t>
  </si>
  <si>
    <t>MARTINEZ GARZON CRISTIAN CAMILO</t>
  </si>
  <si>
    <t>ACOSTA RAMIREZ KEVIN STIVEN</t>
  </si>
  <si>
    <t>MENDOZA CACERES DAVID LEONARDO</t>
  </si>
  <si>
    <t>SANCHEZ GONZALEZ ANDRES FELIPE</t>
  </si>
  <si>
    <t>JIMENEZ ACEVEDO ADRIAN CAMILO</t>
  </si>
  <si>
    <t>ARGUMEDO URREA JUAN SEBASTIAN</t>
  </si>
  <si>
    <t>CASTILLO GUTIERREZ LUIS EDWIN</t>
  </si>
  <si>
    <t>PAYARES MENDOZA JOSE DAVID</t>
  </si>
  <si>
    <t>HERRERA OROZCO HAROLD YESSID</t>
  </si>
  <si>
    <t>REALES DE LA RANS BRANDON MANUEL</t>
  </si>
  <si>
    <t>MORAN GUERRERO OSMEL JOSE</t>
  </si>
  <si>
    <t>ROJAS ROMERO JAIRO ANDRES</t>
  </si>
  <si>
    <t>MACHADO MORALES CRISTHIAN ALEJANDRO</t>
  </si>
  <si>
    <t>MARTINEZ TOBIO CARLOS JULIAN</t>
  </si>
  <si>
    <t>MOLINA FERNANDEZ FREDDY SAUL</t>
  </si>
  <si>
    <t>OP</t>
  </si>
  <si>
    <t>AREA</t>
  </si>
  <si>
    <t>NUMERO</t>
  </si>
  <si>
    <t>ACTIVIDAD</t>
  </si>
  <si>
    <t>ELECTRICISTA</t>
  </si>
  <si>
    <t>CEDULA</t>
  </si>
  <si>
    <t>TURNO</t>
  </si>
  <si>
    <t>MAÑANA</t>
  </si>
  <si>
    <t>TARDE</t>
  </si>
  <si>
    <t>RACK</t>
  </si>
  <si>
    <t>VITRINAS</t>
  </si>
  <si>
    <t>TERMINACION 2 PISO</t>
  </si>
  <si>
    <t>TERMINACION 1 PISO</t>
  </si>
  <si>
    <t>BODEGA NORTE</t>
  </si>
  <si>
    <t>CABLEADO DE CAJA</t>
  </si>
  <si>
    <t>CABLEADO DE CANASTILLA</t>
  </si>
  <si>
    <t>TOTAL TURNO MAÑANA</t>
  </si>
  <si>
    <t>TOTAL TURNO TARDE</t>
  </si>
  <si>
    <t>TOTAL RACK</t>
  </si>
  <si>
    <t>TOTAL ELECTRICISTAS</t>
  </si>
  <si>
    <t>TOTAL VITRINAS</t>
  </si>
  <si>
    <t>TOTAL TERMINACION 1 PISO</t>
  </si>
  <si>
    <t>TOTAL TERMINACION 2 PISO</t>
  </si>
  <si>
    <t>OBSERVACIONES</t>
  </si>
  <si>
    <t>TOTAL BODEGA NORTE</t>
  </si>
  <si>
    <t>MANEJO ELECTRICISTAS</t>
  </si>
  <si>
    <t>TOTAL</t>
  </si>
  <si>
    <t xml:space="preserve">RESUMEN </t>
  </si>
  <si>
    <t>ELECTRICIDAD</t>
  </si>
  <si>
    <t>HORNOS</t>
  </si>
  <si>
    <t>MUEBLES ESPECIALES</t>
  </si>
  <si>
    <t>NOCTURNO</t>
  </si>
  <si>
    <t>TOTAL ELECTRICIDAD</t>
  </si>
  <si>
    <t>TOTAL HORNOS</t>
  </si>
  <si>
    <t>TOTAL MUEBLES ESPECIALES</t>
  </si>
  <si>
    <t>TOTAL TURNO NOCTURNO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</si>
</sst>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1" fillId="2" borderId="5" xfId="0" applyFont="1" applyFill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2" borderId="6" xfId="0" applyFont="1" applyFill="1" applyBorder="1" applyAlignment="1">
      <alignment horizontal="center" vertical="top"/>
    </xf>
    <xf numFmtId="0" fontId="0" fillId="0" borderId="13" xfId="0" applyBorder="1"/>
    <xf numFmtId="0" fontId="0" fillId="0" borderId="14" xfId="0" applyBorder="1"/>
    <xf numFmtId="0" fontId="3" fillId="0" borderId="15" xfId="0" applyFont="1" applyBorder="1" applyAlignment="1">
      <alignment horizontal="center" vertical="top"/>
    </xf>
    <xf numFmtId="0" fontId="2" fillId="0" borderId="16" xfId="0" applyFont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</cellXfs>
  <cellStyles count="1">
    <cellStyle name="Normal" xfId="0" builtinId="0"/>
  </cellStyles>
  <dxfs count="24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3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8AD66FE-EBFF-41F5-A086-609F3100E44C}" name="TABLA_PRINCIPAL" displayName="TABLA_PRINCIPAL" ref="A17:H59" totalsRowShown="0" headerRowDxfId="23" headerRowBorderDxfId="22" tableBorderDxfId="21" totalsRowBorderDxfId="20">
  <autoFilter ref="A17:H59" xr:uid="{78AD66FE-EBFF-41F5-A086-609F3100E44C}"/>
  <sortState xmlns:xlrd2="http://schemas.microsoft.com/office/spreadsheetml/2017/richdata2" ref="A18:H59">
    <sortCondition ref="A17:A59"/>
  </sortState>
  <tableColumns count="8">
    <tableColumn id="1" xr3:uid="{7DE18B83-56FE-40B3-BEEB-0F0A7FB3FD2B}" name="NUMERO" dataDxfId="19"/>
    <tableColumn id="2" xr3:uid="{2DA0411A-EE7E-4DFA-B65B-5CB942ED155C}" name="ELECTRICISTA" dataDxfId="18"/>
    <tableColumn id="3" xr3:uid="{CD9517F2-2564-471F-A762-990C4B29A231}" name="CEDULA" dataDxfId="17"/>
    <tableColumn id="4" xr3:uid="{C73D1DD6-6F5E-411A-8B04-D79E8D05A2CF}" name="TURNO" dataDxfId="16"/>
    <tableColumn id="5" xr3:uid="{7673C4DE-EDDA-41DD-8F72-8A3A36272F2F}" name="AREA" dataDxfId="15"/>
    <tableColumn id="6" xr3:uid="{F8866A9B-876B-4853-B086-DCA462861F70}" name="OP" dataDxfId="14"/>
    <tableColumn id="7" xr3:uid="{D46634E6-7247-4077-8B9C-C1765D8A8425}" name="ACTIVIDAD" dataDxfId="13"/>
    <tableColumn id="8" xr3:uid="{0676BB80-53A2-494C-8EC7-F6B7ABCECF2C}" name="OBSERVACIONES" dataDxfId="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3C2F5B-F7D3-4C48-B516-0EBEBD4364FD}" name="TABLA_TURNO" displayName="TABLA_TURNO" ref="A1:A4" totalsRowShown="0" headerRowDxfId="11" headerRowBorderDxfId="10" tableBorderDxfId="9">
  <autoFilter ref="A1:A4" xr:uid="{FD3C2F5B-F7D3-4C48-B516-0EBEBD4364FD}"/>
  <tableColumns count="1">
    <tableColumn id="1" xr3:uid="{D2D93426-136B-4F91-85C8-CA337B3EF8F2}" name="TURN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72A8E26-2208-4967-8275-FD594420E92B}" name="TABLA_AREA" displayName="TABLA_AREA" ref="B1:B9" totalsRowShown="0" headerRowDxfId="8" headerRowBorderDxfId="7" tableBorderDxfId="6">
  <autoFilter ref="B1:B9" xr:uid="{E72A8E26-2208-4967-8275-FD594420E92B}"/>
  <tableColumns count="1">
    <tableColumn id="1" xr3:uid="{023146D8-A492-4997-A80B-4652A6B9D57E}" name="ARE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5B48739-07E7-41CD-BB07-A8F2E9382469}" name="TABLA_OP" displayName="TABLA_OP" ref="C1:C5" totalsRowShown="0" headerRowDxfId="5" headerRowBorderDxfId="4" tableBorderDxfId="3">
  <autoFilter ref="C1:C5" xr:uid="{F5B48739-07E7-41CD-BB07-A8F2E9382469}"/>
  <tableColumns count="1">
    <tableColumn id="1" xr3:uid="{E72EC02E-F2B1-489B-A303-1A8535E1FC4D}" name="OP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69F21F1-E744-4471-BBC0-54A00B9F0047}" name="TABLA_ACTIVIDAD" displayName="TABLA_ACTIVIDAD" ref="D1:D3" totalsRowShown="0" headerRowDxfId="2" headerRowBorderDxfId="1" tableBorderDxfId="0">
  <autoFilter ref="D1:D3" xr:uid="{669F21F1-E744-4471-BBC0-54A00B9F0047}"/>
  <tableColumns count="1">
    <tableColumn id="1" xr3:uid="{B29E6B83-AF86-4C4C-A265-3432D0E1FD82}" name="ACTIVIDA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zoomScaleNormal="100" zoomScaleSheetLayoutView="100" workbookViewId="0">
      <selection activeCell="L19" sqref="L19"/>
    </sheetView>
  </sheetViews>
  <sheetFormatPr baseColWidth="10" defaultColWidth="8.88671875" defaultRowHeight="14.4" x14ac:dyDescent="0.3"/>
  <cols>
    <col min="1" max="1" width="34.109375" bestFit="1" customWidth="1"/>
    <col min="2" max="2" width="52.21875" bestFit="1" customWidth="1"/>
    <col min="3" max="3" width="19.5546875" bestFit="1" customWidth="1"/>
    <col min="4" max="4" width="11.6640625" bestFit="1" customWidth="1"/>
    <col min="5" max="5" width="28" customWidth="1"/>
    <col min="6" max="6" width="12" customWidth="1"/>
    <col min="7" max="7" width="32.109375" bestFit="1" customWidth="1"/>
    <col min="8" max="8" width="26" customWidth="1"/>
  </cols>
  <sheetData>
    <row r="1" spans="1:8" ht="15" thickBot="1" x14ac:dyDescent="0.35">
      <c r="A1" s="20" t="s">
        <v>69</v>
      </c>
      <c r="B1" s="21"/>
    </row>
    <row r="2" spans="1:8" x14ac:dyDescent="0.3">
      <c r="A2" s="15" t="s">
        <v>45</v>
      </c>
      <c r="B2" s="16" t="s">
        <v>68</v>
      </c>
    </row>
    <row r="3" spans="1:8" x14ac:dyDescent="0.3">
      <c r="A3" s="13" t="s">
        <v>61</v>
      </c>
      <c r="B3" s="14">
        <f>COUNTA(TABLA_PRINCIPAL[ELECTRICISTA])</f>
        <v>42</v>
      </c>
    </row>
    <row r="4" spans="1:8" x14ac:dyDescent="0.3">
      <c r="A4" s="13" t="s">
        <v>58</v>
      </c>
      <c r="B4" s="14">
        <f>COUNTIF(TABLA_PRINCIPAL[TURNO],"MAÑANA")</f>
        <v>7</v>
      </c>
    </row>
    <row r="5" spans="1:8" x14ac:dyDescent="0.3">
      <c r="A5" s="13" t="s">
        <v>59</v>
      </c>
      <c r="B5" s="14">
        <f>COUNTIF(TABLA_PRINCIPAL[TURNO],"TARDE")</f>
        <v>4</v>
      </c>
    </row>
    <row r="6" spans="1:8" x14ac:dyDescent="0.3">
      <c r="A6" s="13" t="s">
        <v>77</v>
      </c>
      <c r="B6" s="14">
        <f>COUNTIF(TABLA_PRINCIPAL[TURNO],"NOCTURNO")</f>
        <v>1</v>
      </c>
    </row>
    <row r="7" spans="1:8" x14ac:dyDescent="0.3">
      <c r="A7" s="13" t="s">
        <v>60</v>
      </c>
      <c r="B7" s="14">
        <f ca="1">SUMPRODUCT(
  SUBTOTAL(103,OFFSET(TABLA_PRINCIPAL[AREA],
                        ROW(TABLA_PRINCIPAL[AREA])-MIN(ROW(TABLA_PRINCIPAL[AREA])),
                        0,1))*
  (TABLA_PRINCIPAL[AREA]="RACK")
)</f>
        <v>3</v>
      </c>
    </row>
    <row r="8" spans="1:8" x14ac:dyDescent="0.3">
      <c r="A8" s="13" t="s">
        <v>62</v>
      </c>
      <c r="B8" s="14">
        <f ca="1">SUMPRODUCT(
  SUBTOTAL(103,OFFSET(TABLA_PRINCIPAL[AREA],
                        ROW(TABLA_PRINCIPAL[AREA])-MIN(ROW(TABLA_PRINCIPAL[AREA])),
                        0,1))*
  (TABLA_PRINCIPAL[AREA]="VITRINAS")
)</f>
        <v>1</v>
      </c>
    </row>
    <row r="9" spans="1:8" x14ac:dyDescent="0.3">
      <c r="A9" s="13" t="s">
        <v>63</v>
      </c>
      <c r="B9" s="14">
        <f ca="1">SUMPRODUCT(
  SUBTOTAL(103,OFFSET(TABLA_PRINCIPAL[AREA],
                        ROW(TABLA_PRINCIPAL[AREA])-MIN(ROW(TABLA_PRINCIPAL[AREA])),
                        0,1))*
  (TABLA_PRINCIPAL[AREA]="TERMINACION 1 PISO")
)</f>
        <v>1</v>
      </c>
    </row>
    <row r="10" spans="1:8" x14ac:dyDescent="0.3">
      <c r="A10" s="13" t="s">
        <v>64</v>
      </c>
      <c r="B10" s="14">
        <f ca="1">SUMPRODUCT(
  SUBTOTAL(103,OFFSET(TABLA_PRINCIPAL[AREA],
                        ROW(TABLA_PRINCIPAL[AREA])-MIN(ROW(TABLA_PRINCIPAL[AREA])),
                        0,1))*
  (TABLA_PRINCIPAL[AREA]="TERMINACION 2 PISO")
)</f>
        <v>2</v>
      </c>
    </row>
    <row r="11" spans="1:8" x14ac:dyDescent="0.3">
      <c r="A11" s="13" t="s">
        <v>66</v>
      </c>
      <c r="B11" s="14">
        <f ca="1">SUMPRODUCT(
  SUBTOTAL(103,OFFSET(TABLA_PRINCIPAL[AREA],
                        ROW(TABLA_PRINCIPAL[AREA])-MIN(ROW(TABLA_PRINCIPAL[AREA])),
                        0,1))*
  (TABLA_PRINCIPAL[AREA]="BODEGA NORTE")
)</f>
        <v>1</v>
      </c>
    </row>
    <row r="12" spans="1:8" x14ac:dyDescent="0.3">
      <c r="A12" s="13" t="s">
        <v>74</v>
      </c>
      <c r="B12" s="14">
        <f ca="1">SUMPRODUCT(
  SUBTOTAL(103,OFFSET(TABLA_PRINCIPAL[AREA],
                        ROW(TABLA_PRINCIPAL[AREA])-MIN(ROW(TABLA_PRINCIPAL[AREA])),
                        0,1))*
  (TABLA_PRINCIPAL[AREA]="ELECTRICIDAD")
)</f>
        <v>1</v>
      </c>
    </row>
    <row r="13" spans="1:8" x14ac:dyDescent="0.3">
      <c r="A13" s="13" t="s">
        <v>75</v>
      </c>
      <c r="B13" s="14">
        <f ca="1">SUMPRODUCT(
  SUBTOTAL(103,OFFSET(TABLA_PRINCIPAL[AREA],
                        ROW(TABLA_PRINCIPAL[AREA])-MIN(ROW(TABLA_PRINCIPAL[AREA])),
                        0,1))*
  (TABLA_PRINCIPAL[AREA]="HORNOS")
)</f>
        <v>1</v>
      </c>
    </row>
    <row r="14" spans="1:8" x14ac:dyDescent="0.3">
      <c r="A14" s="13" t="s">
        <v>76</v>
      </c>
      <c r="B14" s="14">
        <f ca="1">SUMPRODUCT(
  SUBTOTAL(103,OFFSET(TABLA_PRINCIPAL[AREA],
                        ROW(TABLA_PRINCIPAL[AREA])-MIN(ROW(TABLA_PRINCIPAL[AREA])),
                        0,1))*
  (TABLA_PRINCIPAL[AREA]="MUEBLES ESPECIALES")
)</f>
        <v>1</v>
      </c>
    </row>
    <row r="15" spans="1:8" ht="15" thickBot="1" x14ac:dyDescent="0.35"/>
    <row r="16" spans="1:8" ht="15" thickBot="1" x14ac:dyDescent="0.35">
      <c r="A16" s="17" t="s">
        <v>67</v>
      </c>
      <c r="B16" s="18"/>
      <c r="C16" s="18"/>
      <c r="D16" s="18"/>
      <c r="E16" s="18"/>
      <c r="F16" s="18"/>
      <c r="G16" s="18"/>
      <c r="H16" s="19"/>
    </row>
    <row r="17" spans="1:8" x14ac:dyDescent="0.3">
      <c r="A17" s="6" t="s">
        <v>44</v>
      </c>
      <c r="B17" s="7" t="s">
        <v>46</v>
      </c>
      <c r="C17" s="7" t="s">
        <v>47</v>
      </c>
      <c r="D17" s="7" t="s">
        <v>48</v>
      </c>
      <c r="E17" s="8" t="s">
        <v>43</v>
      </c>
      <c r="F17" s="8" t="s">
        <v>42</v>
      </c>
      <c r="G17" s="7" t="s">
        <v>45</v>
      </c>
      <c r="H17" s="12" t="s">
        <v>65</v>
      </c>
    </row>
    <row r="18" spans="1:8" x14ac:dyDescent="0.3">
      <c r="A18" s="4">
        <v>1</v>
      </c>
      <c r="B18" s="1" t="s">
        <v>0</v>
      </c>
      <c r="C18" s="1">
        <v>79604358</v>
      </c>
      <c r="D18" s="1" t="s">
        <v>49</v>
      </c>
      <c r="E18" s="1" t="s">
        <v>51</v>
      </c>
      <c r="F18" s="1"/>
      <c r="G18" s="1"/>
      <c r="H18" s="5"/>
    </row>
    <row r="19" spans="1:8" x14ac:dyDescent="0.3">
      <c r="A19" s="4">
        <v>2</v>
      </c>
      <c r="B19" s="1" t="s">
        <v>1</v>
      </c>
      <c r="C19" s="1">
        <v>79421072</v>
      </c>
      <c r="D19" s="1" t="s">
        <v>50</v>
      </c>
      <c r="E19" s="1" t="s">
        <v>53</v>
      </c>
      <c r="F19" s="1"/>
      <c r="G19" s="1"/>
      <c r="H19" s="5"/>
    </row>
    <row r="20" spans="1:8" x14ac:dyDescent="0.3">
      <c r="A20" s="4">
        <v>3</v>
      </c>
      <c r="B20" s="1" t="s">
        <v>2</v>
      </c>
      <c r="C20" s="1">
        <v>79825472</v>
      </c>
      <c r="D20" s="1" t="s">
        <v>50</v>
      </c>
      <c r="E20" s="1" t="s">
        <v>53</v>
      </c>
      <c r="F20" s="1"/>
      <c r="G20" s="1"/>
      <c r="H20" s="5"/>
    </row>
    <row r="21" spans="1:8" x14ac:dyDescent="0.3">
      <c r="A21" s="4">
        <v>4</v>
      </c>
      <c r="B21" s="1" t="s">
        <v>3</v>
      </c>
      <c r="C21" s="1">
        <v>80470564</v>
      </c>
      <c r="D21" s="1" t="s">
        <v>49</v>
      </c>
      <c r="E21" s="1" t="s">
        <v>51</v>
      </c>
      <c r="F21" s="1"/>
      <c r="G21" s="1"/>
      <c r="H21" s="5"/>
    </row>
    <row r="22" spans="1:8" x14ac:dyDescent="0.3">
      <c r="A22" s="4">
        <v>5</v>
      </c>
      <c r="B22" s="1" t="s">
        <v>4</v>
      </c>
      <c r="C22" s="1">
        <v>17354146</v>
      </c>
      <c r="D22" s="1" t="s">
        <v>49</v>
      </c>
      <c r="E22" s="1"/>
      <c r="F22" s="1"/>
      <c r="G22" s="1"/>
      <c r="H22" s="5"/>
    </row>
    <row r="23" spans="1:8" x14ac:dyDescent="0.3">
      <c r="A23" s="4">
        <v>6</v>
      </c>
      <c r="B23" s="1" t="s">
        <v>5</v>
      </c>
      <c r="C23" s="1">
        <v>79244690</v>
      </c>
      <c r="D23" s="1" t="s">
        <v>49</v>
      </c>
      <c r="E23" s="1"/>
      <c r="F23" s="1"/>
      <c r="G23" s="1"/>
      <c r="H23" s="5"/>
    </row>
    <row r="24" spans="1:8" x14ac:dyDescent="0.3">
      <c r="A24" s="4">
        <v>7</v>
      </c>
      <c r="B24" s="1" t="s">
        <v>6</v>
      </c>
      <c r="C24" s="1">
        <v>9196916</v>
      </c>
      <c r="D24" s="1" t="s">
        <v>49</v>
      </c>
      <c r="E24" s="1"/>
      <c r="F24" s="1"/>
      <c r="G24" s="1"/>
      <c r="H24" s="5"/>
    </row>
    <row r="25" spans="1:8" x14ac:dyDescent="0.3">
      <c r="A25" s="4">
        <v>8</v>
      </c>
      <c r="B25" s="1" t="s">
        <v>7</v>
      </c>
      <c r="C25" s="1">
        <v>80030422</v>
      </c>
      <c r="D25" s="1" t="s">
        <v>49</v>
      </c>
      <c r="E25" s="1"/>
      <c r="F25" s="1"/>
      <c r="G25" s="1"/>
      <c r="H25" s="5"/>
    </row>
    <row r="26" spans="1:8" x14ac:dyDescent="0.3">
      <c r="A26" s="4">
        <v>9</v>
      </c>
      <c r="B26" s="1" t="s">
        <v>8</v>
      </c>
      <c r="C26" s="1">
        <v>12201316</v>
      </c>
      <c r="D26" s="1"/>
      <c r="E26" s="1" t="s">
        <v>72</v>
      </c>
      <c r="F26" s="1"/>
      <c r="G26" s="1"/>
      <c r="H26" s="5"/>
    </row>
    <row r="27" spans="1:8" x14ac:dyDescent="0.3">
      <c r="A27" s="4">
        <v>10</v>
      </c>
      <c r="B27" s="1" t="s">
        <v>9</v>
      </c>
      <c r="C27" s="1">
        <v>1026564955</v>
      </c>
      <c r="D27" s="1"/>
      <c r="E27" s="1" t="s">
        <v>70</v>
      </c>
      <c r="F27" s="1"/>
      <c r="G27" s="1"/>
      <c r="H27" s="5"/>
    </row>
    <row r="28" spans="1:8" x14ac:dyDescent="0.3">
      <c r="A28" s="4">
        <v>11</v>
      </c>
      <c r="B28" s="1" t="s">
        <v>10</v>
      </c>
      <c r="C28" s="1">
        <v>2025590</v>
      </c>
      <c r="D28" s="1" t="s">
        <v>50</v>
      </c>
      <c r="E28" s="1" t="s">
        <v>54</v>
      </c>
      <c r="F28" s="1"/>
      <c r="G28" s="1"/>
      <c r="H28" s="5"/>
    </row>
    <row r="29" spans="1:8" x14ac:dyDescent="0.3">
      <c r="A29" s="4">
        <v>12</v>
      </c>
      <c r="B29" s="1" t="s">
        <v>11</v>
      </c>
      <c r="C29" s="1">
        <v>1233690698</v>
      </c>
      <c r="D29" s="1" t="s">
        <v>73</v>
      </c>
      <c r="E29" s="1" t="s">
        <v>71</v>
      </c>
      <c r="F29" s="1"/>
      <c r="G29" s="1"/>
      <c r="H29" s="5"/>
    </row>
    <row r="30" spans="1:8" x14ac:dyDescent="0.3">
      <c r="A30" s="4">
        <v>13</v>
      </c>
      <c r="B30" s="1" t="s">
        <v>12</v>
      </c>
      <c r="C30" s="1">
        <v>1000724928</v>
      </c>
      <c r="D30" s="1"/>
      <c r="E30" s="1"/>
      <c r="F30" s="1"/>
      <c r="G30" s="1"/>
      <c r="H30" s="5"/>
    </row>
    <row r="31" spans="1:8" x14ac:dyDescent="0.3">
      <c r="A31" s="4">
        <v>14</v>
      </c>
      <c r="B31" s="1" t="s">
        <v>13</v>
      </c>
      <c r="C31" s="1">
        <v>1022388293</v>
      </c>
      <c r="D31" s="1"/>
      <c r="E31" s="1" t="s">
        <v>55</v>
      </c>
      <c r="F31" s="1"/>
      <c r="G31" s="1"/>
      <c r="H31" s="5"/>
    </row>
    <row r="32" spans="1:8" x14ac:dyDescent="0.3">
      <c r="A32" s="4">
        <v>15</v>
      </c>
      <c r="B32" s="1" t="s">
        <v>14</v>
      </c>
      <c r="C32" s="1">
        <v>1022415654</v>
      </c>
      <c r="D32" s="1" t="s">
        <v>49</v>
      </c>
      <c r="E32" s="1" t="s">
        <v>51</v>
      </c>
      <c r="F32" s="1"/>
      <c r="G32" s="1"/>
      <c r="H32" s="5"/>
    </row>
    <row r="33" spans="1:8" x14ac:dyDescent="0.3">
      <c r="A33" s="4">
        <v>16</v>
      </c>
      <c r="B33" s="1" t="s">
        <v>15</v>
      </c>
      <c r="C33" s="1">
        <v>1034780411</v>
      </c>
      <c r="D33" s="1"/>
      <c r="E33" s="1"/>
      <c r="F33" s="1"/>
      <c r="G33" s="1"/>
      <c r="H33" s="5"/>
    </row>
    <row r="34" spans="1:8" x14ac:dyDescent="0.3">
      <c r="A34" s="4">
        <v>17</v>
      </c>
      <c r="B34" s="1" t="s">
        <v>16</v>
      </c>
      <c r="C34" s="1">
        <v>1022432692</v>
      </c>
      <c r="D34" s="1"/>
      <c r="E34" s="1"/>
      <c r="F34" s="1"/>
      <c r="G34" s="1"/>
      <c r="H34" s="5"/>
    </row>
    <row r="35" spans="1:8" x14ac:dyDescent="0.3">
      <c r="A35" s="4">
        <v>18</v>
      </c>
      <c r="B35" s="1" t="s">
        <v>17</v>
      </c>
      <c r="C35" s="1">
        <v>1000163694</v>
      </c>
      <c r="D35" s="1"/>
      <c r="E35" s="1"/>
      <c r="F35" s="1"/>
      <c r="G35" s="1"/>
      <c r="H35" s="5"/>
    </row>
    <row r="36" spans="1:8" x14ac:dyDescent="0.3">
      <c r="A36" s="4">
        <v>19</v>
      </c>
      <c r="B36" s="1" t="s">
        <v>18</v>
      </c>
      <c r="C36" s="1">
        <v>1001196543</v>
      </c>
      <c r="D36" s="1"/>
      <c r="E36" s="1"/>
      <c r="F36" s="1"/>
      <c r="G36" s="1"/>
      <c r="H36" s="5"/>
    </row>
    <row r="37" spans="1:8" x14ac:dyDescent="0.3">
      <c r="A37" s="4">
        <v>20</v>
      </c>
      <c r="B37" s="1" t="s">
        <v>19</v>
      </c>
      <c r="C37" s="1">
        <v>1001275017</v>
      </c>
      <c r="D37" s="1"/>
      <c r="E37" s="1"/>
      <c r="F37" s="1"/>
      <c r="G37" s="1"/>
      <c r="H37" s="5"/>
    </row>
    <row r="38" spans="1:8" x14ac:dyDescent="0.3">
      <c r="A38" s="4">
        <v>21</v>
      </c>
      <c r="B38" s="1" t="s">
        <v>20</v>
      </c>
      <c r="C38" s="1">
        <v>1010220892</v>
      </c>
      <c r="D38" s="1"/>
      <c r="E38" s="1"/>
      <c r="F38" s="1"/>
      <c r="G38" s="1"/>
      <c r="H38" s="5"/>
    </row>
    <row r="39" spans="1:8" x14ac:dyDescent="0.3">
      <c r="A39" s="4">
        <v>22</v>
      </c>
      <c r="B39" s="1" t="s">
        <v>21</v>
      </c>
      <c r="C39" s="1">
        <v>1002981145</v>
      </c>
      <c r="D39" s="1"/>
      <c r="E39" s="1"/>
      <c r="F39" s="1"/>
      <c r="G39" s="1"/>
      <c r="H39" s="5"/>
    </row>
    <row r="40" spans="1:8" x14ac:dyDescent="0.3">
      <c r="A40" s="4">
        <v>23</v>
      </c>
      <c r="B40" s="1" t="s">
        <v>22</v>
      </c>
      <c r="C40" s="1">
        <v>1012326671</v>
      </c>
      <c r="D40" s="1"/>
      <c r="E40" s="1"/>
      <c r="F40" s="1"/>
      <c r="G40" s="1"/>
      <c r="H40" s="5"/>
    </row>
    <row r="41" spans="1:8" x14ac:dyDescent="0.3">
      <c r="A41" s="4">
        <v>24</v>
      </c>
      <c r="B41" s="1" t="s">
        <v>23</v>
      </c>
      <c r="C41" s="1">
        <v>1000784404</v>
      </c>
      <c r="D41" s="1"/>
      <c r="E41" s="1"/>
      <c r="F41" s="1"/>
      <c r="G41" s="1"/>
      <c r="H41" s="5"/>
    </row>
    <row r="42" spans="1:8" x14ac:dyDescent="0.3">
      <c r="A42" s="4">
        <v>25</v>
      </c>
      <c r="B42" s="1" t="s">
        <v>24</v>
      </c>
      <c r="C42" s="1">
        <v>80064602</v>
      </c>
      <c r="D42" s="1"/>
      <c r="E42" s="1"/>
      <c r="F42" s="1"/>
      <c r="G42" s="1"/>
      <c r="H42" s="5"/>
    </row>
    <row r="43" spans="1:8" x14ac:dyDescent="0.3">
      <c r="A43" s="4">
        <v>26</v>
      </c>
      <c r="B43" s="1" t="s">
        <v>25</v>
      </c>
      <c r="C43" s="1">
        <v>1030600535</v>
      </c>
      <c r="D43" s="1"/>
      <c r="E43" s="1"/>
      <c r="F43" s="1"/>
      <c r="G43" s="1"/>
      <c r="H43" s="5"/>
    </row>
    <row r="44" spans="1:8" x14ac:dyDescent="0.3">
      <c r="A44" s="4">
        <v>27</v>
      </c>
      <c r="B44" s="1" t="s">
        <v>26</v>
      </c>
      <c r="C44" s="1">
        <v>1000708675</v>
      </c>
      <c r="D44" s="1"/>
      <c r="E44" s="1"/>
      <c r="F44" s="1"/>
      <c r="G44" s="1"/>
      <c r="H44" s="5"/>
    </row>
    <row r="45" spans="1:8" x14ac:dyDescent="0.3">
      <c r="A45" s="4">
        <v>28</v>
      </c>
      <c r="B45" s="1" t="s">
        <v>27</v>
      </c>
      <c r="C45" s="1">
        <v>1192768773</v>
      </c>
      <c r="D45" s="1"/>
      <c r="E45" s="1"/>
      <c r="F45" s="1"/>
      <c r="G45" s="1"/>
      <c r="H45" s="5"/>
    </row>
    <row r="46" spans="1:8" x14ac:dyDescent="0.3">
      <c r="A46" s="4">
        <v>29</v>
      </c>
      <c r="B46" s="1" t="s">
        <v>28</v>
      </c>
      <c r="C46" s="1">
        <v>1027532971</v>
      </c>
      <c r="D46" s="1" t="s">
        <v>50</v>
      </c>
      <c r="E46" s="1" t="s">
        <v>52</v>
      </c>
      <c r="F46" s="1"/>
      <c r="G46" s="1"/>
      <c r="H46" s="5"/>
    </row>
    <row r="47" spans="1:8" x14ac:dyDescent="0.3">
      <c r="A47" s="4">
        <v>30</v>
      </c>
      <c r="B47" s="1" t="s">
        <v>29</v>
      </c>
      <c r="C47" s="1">
        <v>1023010886</v>
      </c>
      <c r="D47" s="1"/>
      <c r="E47" s="1"/>
      <c r="F47" s="1"/>
      <c r="G47" s="1"/>
      <c r="H47" s="5"/>
    </row>
    <row r="48" spans="1:8" x14ac:dyDescent="0.3">
      <c r="A48" s="4">
        <v>31</v>
      </c>
      <c r="B48" s="1" t="s">
        <v>30</v>
      </c>
      <c r="C48" s="1">
        <v>1000136148</v>
      </c>
      <c r="D48" s="1"/>
      <c r="E48" s="1"/>
      <c r="F48" s="1"/>
      <c r="G48" s="1"/>
      <c r="H48" s="5"/>
    </row>
    <row r="49" spans="1:8" x14ac:dyDescent="0.3">
      <c r="A49" s="4">
        <v>32</v>
      </c>
      <c r="B49" s="1" t="s">
        <v>31</v>
      </c>
      <c r="C49" s="1">
        <v>1007514951</v>
      </c>
      <c r="D49" s="1"/>
      <c r="E49" s="1"/>
      <c r="F49" s="1"/>
      <c r="G49" s="1"/>
      <c r="H49" s="5"/>
    </row>
    <row r="50" spans="1:8" x14ac:dyDescent="0.3">
      <c r="A50" s="4">
        <v>33</v>
      </c>
      <c r="B50" s="1" t="s">
        <v>32</v>
      </c>
      <c r="C50" s="1">
        <v>1021313304</v>
      </c>
      <c r="D50" s="1"/>
      <c r="E50" s="1"/>
      <c r="F50" s="1"/>
      <c r="G50" s="1"/>
      <c r="H50" s="5"/>
    </row>
    <row r="51" spans="1:8" x14ac:dyDescent="0.3">
      <c r="A51" s="4">
        <v>34</v>
      </c>
      <c r="B51" s="1" t="s">
        <v>33</v>
      </c>
      <c r="C51" s="1">
        <v>1012317788</v>
      </c>
      <c r="D51" s="1"/>
      <c r="E51" s="1"/>
      <c r="F51" s="1"/>
      <c r="G51" s="1"/>
      <c r="H51" s="5"/>
    </row>
    <row r="52" spans="1:8" x14ac:dyDescent="0.3">
      <c r="A52" s="4">
        <v>35</v>
      </c>
      <c r="B52" s="1" t="s">
        <v>34</v>
      </c>
      <c r="C52" s="1">
        <v>1065825846</v>
      </c>
      <c r="D52" s="1"/>
      <c r="E52" s="1"/>
      <c r="F52" s="1"/>
      <c r="G52" s="1"/>
      <c r="H52" s="5"/>
    </row>
    <row r="53" spans="1:8" x14ac:dyDescent="0.3">
      <c r="A53" s="4">
        <v>36</v>
      </c>
      <c r="B53" s="1" t="s">
        <v>35</v>
      </c>
      <c r="C53" s="1">
        <v>1042578194</v>
      </c>
      <c r="D53" s="1"/>
      <c r="E53" s="1"/>
      <c r="F53" s="1"/>
      <c r="G53" s="1"/>
      <c r="H53" s="5"/>
    </row>
    <row r="54" spans="1:8" x14ac:dyDescent="0.3">
      <c r="A54" s="4">
        <v>37</v>
      </c>
      <c r="B54" s="1" t="s">
        <v>36</v>
      </c>
      <c r="C54" s="1">
        <v>1044431186</v>
      </c>
      <c r="D54" s="1"/>
      <c r="E54" s="1"/>
      <c r="F54" s="1"/>
      <c r="G54" s="1"/>
      <c r="H54" s="5"/>
    </row>
    <row r="55" spans="1:8" x14ac:dyDescent="0.3">
      <c r="A55" s="4">
        <v>38</v>
      </c>
      <c r="B55" s="1" t="s">
        <v>37</v>
      </c>
      <c r="C55" s="1">
        <v>1151469832</v>
      </c>
      <c r="D55" s="1"/>
      <c r="E55" s="1"/>
      <c r="F55" s="1"/>
      <c r="G55" s="1"/>
      <c r="H55" s="5"/>
    </row>
    <row r="56" spans="1:8" x14ac:dyDescent="0.3">
      <c r="A56" s="4">
        <v>39</v>
      </c>
      <c r="B56" s="1" t="s">
        <v>38</v>
      </c>
      <c r="C56" s="1">
        <v>1031143087</v>
      </c>
      <c r="D56" s="1"/>
      <c r="E56" s="1"/>
      <c r="F56" s="1"/>
      <c r="G56" s="1"/>
      <c r="H56" s="5"/>
    </row>
    <row r="57" spans="1:8" x14ac:dyDescent="0.3">
      <c r="A57" s="4">
        <v>40</v>
      </c>
      <c r="B57" s="1" t="s">
        <v>39</v>
      </c>
      <c r="C57" s="1">
        <v>1121931809</v>
      </c>
      <c r="D57" s="1"/>
      <c r="E57" s="1"/>
      <c r="F57" s="1"/>
      <c r="G57" s="1"/>
      <c r="H57" s="5"/>
    </row>
    <row r="58" spans="1:8" x14ac:dyDescent="0.3">
      <c r="A58" s="4">
        <v>41</v>
      </c>
      <c r="B58" s="1" t="s">
        <v>40</v>
      </c>
      <c r="C58" s="1">
        <v>80831863</v>
      </c>
      <c r="D58" s="1"/>
      <c r="E58" s="1"/>
      <c r="F58" s="1"/>
      <c r="G58" s="1"/>
      <c r="H58" s="5"/>
    </row>
    <row r="59" spans="1:8" x14ac:dyDescent="0.3">
      <c r="A59" s="9">
        <v>42</v>
      </c>
      <c r="B59" s="10" t="s">
        <v>41</v>
      </c>
      <c r="C59" s="10">
        <v>79903076</v>
      </c>
      <c r="D59" s="10"/>
      <c r="E59" s="10"/>
      <c r="F59" s="10"/>
      <c r="G59" s="10"/>
      <c r="H59" s="11"/>
    </row>
  </sheetData>
  <mergeCells count="2">
    <mergeCell ref="A16:H16"/>
    <mergeCell ref="A1:B1"/>
  </mergeCells>
  <dataValidations count="4">
    <dataValidation type="list" allowBlank="1" showInputMessage="1" showErrorMessage="1" sqref="D18:D1048576" xr:uid="{C459BFAB-826B-44A6-9D42-A1A31F651445}">
      <formula1>TURNO</formula1>
    </dataValidation>
    <dataValidation type="list" allowBlank="1" showInputMessage="1" showErrorMessage="1" sqref="E18:E1048576" xr:uid="{1D2AFB96-009C-4157-8098-1A80A0E2F788}">
      <formula1>AREA</formula1>
    </dataValidation>
    <dataValidation type="list" allowBlank="1" showInputMessage="1" showErrorMessage="1" sqref="F18:F1048576" xr:uid="{E9832136-4AC3-4CCD-B644-F5A1E72D86C0}">
      <formula1>OP</formula1>
    </dataValidation>
    <dataValidation type="list" allowBlank="1" showInputMessage="1" showErrorMessage="1" sqref="G18:G1048576" xr:uid="{6F7430CE-0418-4EDC-97BC-F06D0C925266}">
      <formula1>ACTIVIDAD</formula1>
    </dataValidation>
  </dataValidations>
  <pageMargins left="0.3" right="0.3" top="0.3" bottom="0.3" header="0.5" footer="0.5"/>
  <pageSetup scale="61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opLeftCell="A2" workbookViewId="0">
      <selection activeCell="A5" sqref="A5"/>
    </sheetView>
  </sheetViews>
  <sheetFormatPr baseColWidth="10" defaultColWidth="8.88671875" defaultRowHeight="14.4" x14ac:dyDescent="0.3"/>
  <cols>
    <col min="1" max="1" width="11.6640625" bestFit="1" customWidth="1"/>
    <col min="2" max="2" width="19.44140625" bestFit="1" customWidth="1"/>
    <col min="3" max="3" width="10.21875" bestFit="1" customWidth="1"/>
    <col min="4" max="4" width="31" customWidth="1"/>
  </cols>
  <sheetData>
    <row r="1" spans="1:4" x14ac:dyDescent="0.3">
      <c r="A1" s="2" t="s">
        <v>48</v>
      </c>
      <c r="B1" s="3" t="s">
        <v>43</v>
      </c>
      <c r="C1" s="3" t="s">
        <v>42</v>
      </c>
      <c r="D1" s="2" t="s">
        <v>45</v>
      </c>
    </row>
    <row r="2" spans="1:4" x14ac:dyDescent="0.3">
      <c r="A2" t="s">
        <v>49</v>
      </c>
      <c r="B2" t="s">
        <v>51</v>
      </c>
      <c r="C2">
        <v>44459</v>
      </c>
      <c r="D2" t="s">
        <v>56</v>
      </c>
    </row>
    <row r="3" spans="1:4" x14ac:dyDescent="0.3">
      <c r="A3" t="s">
        <v>50</v>
      </c>
      <c r="B3" t="s">
        <v>52</v>
      </c>
      <c r="C3">
        <v>44273</v>
      </c>
      <c r="D3" t="s">
        <v>57</v>
      </c>
    </row>
    <row r="4" spans="1:4" x14ac:dyDescent="0.3">
      <c r="A4" t="s">
        <v>73</v>
      </c>
      <c r="B4" t="s">
        <v>54</v>
      </c>
      <c r="C4">
        <v>44128</v>
      </c>
    </row>
    <row r="5" spans="1:4" x14ac:dyDescent="0.3">
      <c r="B5" t="s">
        <v>53</v>
      </c>
      <c r="C5">
        <v>44144</v>
      </c>
    </row>
    <row r="6" spans="1:4" x14ac:dyDescent="0.3">
      <c r="B6" t="s">
        <v>55</v>
      </c>
    </row>
    <row r="7" spans="1:4" x14ac:dyDescent="0.3">
      <c r="B7" t="s">
        <v>70</v>
      </c>
    </row>
    <row r="8" spans="1:4" x14ac:dyDescent="0.3">
      <c r="B8" t="s">
        <v>71</v>
      </c>
    </row>
    <row r="9" spans="1:4" x14ac:dyDescent="0.3">
      <c r="B9" t="s">
        <v>72</v>
      </c>
    </row>
  </sheetData>
  <pageMargins left="0.75" right="0.75" top="1" bottom="1" header="0.5" footer="0.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8</vt:i4>
      </vt:variant>
    </vt:vector>
  </HeadingPairs>
  <TitlesOfParts>
    <vt:vector size="10" baseType="lpstr">
      <vt:lpstr>20251031</vt:lpstr>
      <vt:lpstr>Listas</vt:lpstr>
      <vt:lpstr>ACTIVIDAD</vt:lpstr>
      <vt:lpstr>AREA</vt:lpstr>
      <vt:lpstr>LIST_AREA</vt:lpstr>
      <vt:lpstr>LIST_ESTADO</vt:lpstr>
      <vt:lpstr>LIST_TURNO</vt:lpstr>
      <vt:lpstr>OP</vt:lpstr>
      <vt:lpstr>'20251031'!Títulos_a_imprimir</vt:lpstr>
      <vt:lpstr>TURNO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Lozano</cp:lastModifiedBy>
  <dcterms:created xsi:type="dcterms:W3CDTF">2025-10-31T14:45:38Z</dcterms:created>
  <dcterms:modified xsi:type="dcterms:W3CDTF">2026-01-16T19:15:18Z</dcterms:modified>
</cp:coreProperties>
</file>