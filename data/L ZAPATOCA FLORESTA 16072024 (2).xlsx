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montajes4\Documents\PC-JUAN LOZANO 22032022\WESTON\JUAN LOZANO\TABLA CO2\GITHUB\mi_aplicacion_python\data\"/>
    </mc:Choice>
  </mc:AlternateContent>
  <xr:revisionPtr revIDLastSave="0" documentId="13_ncr:1_{AA94495A-9FBC-4241-8E4A-1EDFFEA8965F}" xr6:coauthVersionLast="47" xr6:coauthVersionMax="47" xr10:uidLastSave="{00000000-0000-0000-0000-000000000000}"/>
  <bookViews>
    <workbookView xWindow="-108" yWindow="-108" windowWidth="23256" windowHeight="12456" xr2:uid="{F06CF431-A7F4-4A36-83AA-265C1B75C352}"/>
  </bookViews>
  <sheets>
    <sheet name="Hoja1" sheetId="1" r:id="rId1"/>
  </sheets>
  <definedNames>
    <definedName name="_xlnm.Print_Area" localSheetId="0">Hoja1!$A$1:$Q$62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8" i="1" l="1"/>
  <c r="H48" i="1"/>
  <c r="J48" i="1"/>
  <c r="J47" i="1"/>
  <c r="I47" i="1"/>
  <c r="H47" i="1"/>
  <c r="D20" i="1" l="1"/>
  <c r="H20" i="1" s="1"/>
  <c r="D19" i="1"/>
  <c r="H19" i="1" s="1"/>
  <c r="D18" i="1"/>
  <c r="H18" i="1" s="1"/>
  <c r="D17" i="1"/>
  <c r="H17" i="1" s="1"/>
  <c r="D16" i="1"/>
  <c r="H16" i="1" s="1"/>
  <c r="D15" i="1"/>
  <c r="H15" i="1" s="1"/>
  <c r="D14" i="1"/>
  <c r="H14" i="1" s="1"/>
  <c r="H11" i="1" l="1"/>
  <c r="H10" i="1"/>
  <c r="P59" i="1"/>
  <c r="F52" i="1" l="1"/>
  <c r="F51" i="1"/>
  <c r="P30" i="1"/>
  <c r="P29" i="1"/>
  <c r="L29" i="1"/>
  <c r="K29" i="1"/>
  <c r="H12" i="1"/>
  <c r="K30" i="1" s="1"/>
  <c r="K31" i="1" l="1"/>
  <c r="P31" i="1"/>
  <c r="H26" i="1"/>
  <c r="L30" i="1" s="1"/>
  <c r="L31" i="1" s="1"/>
</calcChain>
</file>

<file path=xl/sharedStrings.xml><?xml version="1.0" encoding="utf-8"?>
<sst xmlns="http://schemas.openxmlformats.org/spreadsheetml/2006/main" count="184" uniqueCount="114">
  <si>
    <t>ESPECIFICACIONES TECNICAS</t>
  </si>
  <si>
    <t>Proyecto:</t>
  </si>
  <si>
    <t>Tipo Sistema:</t>
  </si>
  <si>
    <t>Rack</t>
  </si>
  <si>
    <t>Voltaje Principal:</t>
  </si>
  <si>
    <t xml:space="preserve"> 220/60Hz/3PH</t>
  </si>
  <si>
    <t>Ciudad:</t>
  </si>
  <si>
    <t>Medidas:</t>
  </si>
  <si>
    <t>Voltaje Control:</t>
  </si>
  <si>
    <t xml:space="preserve"> 220/3PH + N + T</t>
  </si>
  <si>
    <t>T. Condensación:</t>
  </si>
  <si>
    <t>Refrigerante:</t>
  </si>
  <si>
    <t>Controlador:</t>
  </si>
  <si>
    <t>AKSM-880</t>
  </si>
  <si>
    <t>DESCRIPCIÓN TECNICA</t>
  </si>
  <si>
    <t>OBSERVACIONES</t>
  </si>
  <si>
    <t>SUCCION</t>
  </si>
  <si>
    <t>LOOP</t>
  </si>
  <si>
    <t>RAMAL</t>
  </si>
  <si>
    <t>DIM (FT)</t>
  </si>
  <si>
    <t>EQUIPO</t>
  </si>
  <si>
    <t>USO</t>
  </si>
  <si>
    <t>CARGA (BTU/Hr)</t>
  </si>
  <si>
    <t>Tevap (°F)</t>
  </si>
  <si>
    <t>EVAPORADORES</t>
  </si>
  <si>
    <t>CONTROL</t>
  </si>
  <si>
    <t>LIQUIDA</t>
  </si>
  <si>
    <t>DIRECCIÓN</t>
  </si>
  <si>
    <t>DESHIELO</t>
  </si>
  <si>
    <t>CANTIDAD</t>
  </si>
  <si>
    <t>MODELO</t>
  </si>
  <si>
    <t>BAJA</t>
  </si>
  <si>
    <t>CC</t>
  </si>
  <si>
    <t>MULTIPUERTA CONGELACIÓN</t>
  </si>
  <si>
    <t>CARGA TOTAL BAJA</t>
  </si>
  <si>
    <t>MEDIA</t>
  </si>
  <si>
    <t>CARNE</t>
  </si>
  <si>
    <t>POLLO</t>
  </si>
  <si>
    <t>CERDO</t>
  </si>
  <si>
    <t>CUARTO CONSERVACIÓN</t>
  </si>
  <si>
    <t>LÁCTEOS</t>
  </si>
  <si>
    <t>DESHIELO POR TIEMPO</t>
  </si>
  <si>
    <t>PREP</t>
  </si>
  <si>
    <t>FRUVER</t>
  </si>
  <si>
    <t>AUTOARGOS CON PUERTAS</t>
  </si>
  <si>
    <t>CARGA TOTAL MEDIA</t>
  </si>
  <si>
    <t>RH</t>
  </si>
  <si>
    <t>CAP</t>
  </si>
  <si>
    <t>CARGA</t>
  </si>
  <si>
    <t>RESERVA %</t>
  </si>
  <si>
    <t>SISTEMA PARALELO</t>
  </si>
  <si>
    <t>COMPRESORES Y ACESORIOS</t>
  </si>
  <si>
    <t>POSICION DE  COMPRESOR EN EL RACK</t>
  </si>
  <si>
    <t>MODELO DE COMPRESOR</t>
  </si>
  <si>
    <t>DEMAND COOLING / CIC</t>
  </si>
  <si>
    <t>NO</t>
  </si>
  <si>
    <t>VENTILADOR DE CABEZA</t>
  </si>
  <si>
    <t>SI</t>
  </si>
  <si>
    <t>CONTACTOR</t>
  </si>
  <si>
    <t>BREAKER</t>
  </si>
  <si>
    <t>CONTROL DE CAPACIDAD</t>
  </si>
  <si>
    <t>REGULADOR DE NIVEL DE ACEITE</t>
  </si>
  <si>
    <t>HP NOMINAL</t>
  </si>
  <si>
    <t>REFRIGERANTE</t>
  </si>
  <si>
    <t>TEMPERATURA  DE SUCCIÓN</t>
  </si>
  <si>
    <t>TEMPERATURA DE CONDENSACION</t>
  </si>
  <si>
    <t>CAPACIDAD   BTU/Hr</t>
  </si>
  <si>
    <t>RH   BTU/Hr</t>
  </si>
  <si>
    <t>RLA</t>
  </si>
  <si>
    <t>CONSUMO EN PUNTO DE OPERACIÓN</t>
  </si>
  <si>
    <t>RLA TOTAL</t>
  </si>
  <si>
    <t>CONSUMO TOTAL  PUNTO OPERACIÓN</t>
  </si>
  <si>
    <t>NOTAS:</t>
  </si>
  <si>
    <t>CONDENSADOR</t>
  </si>
  <si>
    <t>WESTON SAS - BOGOTA - COLOMBIA</t>
  </si>
  <si>
    <t>CALCULO</t>
  </si>
  <si>
    <t>ING. JAVIER PARDO</t>
  </si>
  <si>
    <t>REVISO</t>
  </si>
  <si>
    <t>CAPACIDAD</t>
  </si>
  <si>
    <t>RPM</t>
  </si>
  <si>
    <t>VENDEDOR</t>
  </si>
  <si>
    <t>ELVER GARZON</t>
  </si>
  <si>
    <t>dBA</t>
  </si>
  <si>
    <t>CLIENTE</t>
  </si>
  <si>
    <t>REFR.</t>
  </si>
  <si>
    <t>FECHA</t>
  </si>
  <si>
    <t>T. COND</t>
  </si>
  <si>
    <t>ULRIMA REFORMA</t>
  </si>
  <si>
    <t>DIMENSION</t>
  </si>
  <si>
    <t>VERSION</t>
  </si>
  <si>
    <t>R-744</t>
  </si>
  <si>
    <t>R-774</t>
  </si>
  <si>
    <t>CD 1500M</t>
  </si>
  <si>
    <t>VSD</t>
  </si>
  <si>
    <t>DESHIELO ELECTRICO</t>
  </si>
  <si>
    <t>BEBIDAS</t>
  </si>
  <si>
    <t>ZAPATOCA FLORESTA</t>
  </si>
  <si>
    <t>BOGOTA</t>
  </si>
  <si>
    <t>ABRIL 25 DE 2024</t>
  </si>
  <si>
    <t>JULIO 16 DE 2024</t>
  </si>
  <si>
    <t>AUTOARGOS SIN PUERTAS</t>
  </si>
  <si>
    <t>VITRINA TAYRONA</t>
  </si>
  <si>
    <t>7 X 6 X 8 - 7 X 21 X 8 - 5 X 7 X 8</t>
  </si>
  <si>
    <t>WEF-660</t>
  </si>
  <si>
    <t>11 X 5 X 8</t>
  </si>
  <si>
    <t>WEF 1130</t>
  </si>
  <si>
    <t>8 X 5 X 8</t>
  </si>
  <si>
    <t>9 X 5 X 8</t>
  </si>
  <si>
    <t>7 X 5 X 8</t>
  </si>
  <si>
    <t>PESCADO</t>
  </si>
  <si>
    <t>WEF 660</t>
  </si>
  <si>
    <t>CDS101B</t>
  </si>
  <si>
    <t>|</t>
  </si>
  <si>
    <t>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</si>
</sst>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°&quot;  F&quot;"/>
    <numFmt numFmtId="165" formatCode="0\ &quot;PUERTAS&quot;"/>
    <numFmt numFmtId="166" formatCode="0.0"/>
    <numFmt numFmtId="167" formatCode="0.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50">
    <xf numFmtId="0" fontId="0" fillId="0" borderId="0" xfId="0"/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/>
    <xf numFmtId="1" fontId="4" fillId="2" borderId="1" xfId="0" applyNumberFormat="1" applyFont="1" applyFill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1" fillId="0" borderId="23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9" fontId="4" fillId="0" borderId="16" xfId="0" applyNumberFormat="1" applyFont="1" applyBorder="1" applyAlignment="1">
      <alignment horizontal="center" vertical="center"/>
    </xf>
    <xf numFmtId="9" fontId="4" fillId="0" borderId="31" xfId="0" applyNumberFormat="1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1" fontId="3" fillId="0" borderId="37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64" fontId="3" fillId="4" borderId="16" xfId="0" applyNumberFormat="1" applyFont="1" applyFill="1" applyBorder="1" applyAlignment="1">
      <alignment horizontal="center" vertical="center"/>
    </xf>
    <xf numFmtId="164" fontId="3" fillId="0" borderId="37" xfId="0" applyNumberFormat="1" applyFon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2" fontId="3" fillId="0" borderId="38" xfId="0" applyNumberFormat="1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 vertical="center"/>
    </xf>
    <xf numFmtId="1" fontId="3" fillId="0" borderId="46" xfId="0" applyNumberFormat="1" applyFont="1" applyBorder="1" applyAlignment="1">
      <alignment horizontal="center" vertical="center"/>
    </xf>
    <xf numFmtId="1" fontId="4" fillId="2" borderId="45" xfId="0" applyNumberFormat="1" applyFont="1" applyFill="1" applyBorder="1" applyAlignment="1">
      <alignment horizontal="left"/>
    </xf>
    <xf numFmtId="1" fontId="3" fillId="0" borderId="47" xfId="0" applyNumberFormat="1" applyFont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  <xf numFmtId="1" fontId="4" fillId="2" borderId="47" xfId="0" applyNumberFormat="1" applyFont="1" applyFill="1" applyBorder="1" applyAlignment="1">
      <alignment horizontal="left"/>
    </xf>
    <xf numFmtId="1" fontId="3" fillId="0" borderId="49" xfId="0" applyNumberFormat="1" applyFont="1" applyBorder="1" applyAlignment="1">
      <alignment horizontal="center" vertical="center"/>
    </xf>
    <xf numFmtId="164" fontId="3" fillId="0" borderId="49" xfId="0" applyNumberFormat="1" applyFont="1" applyBorder="1" applyAlignment="1">
      <alignment horizontal="center" vertical="center"/>
    </xf>
    <xf numFmtId="1" fontId="3" fillId="0" borderId="38" xfId="0" applyNumberFormat="1" applyFont="1" applyBorder="1" applyAlignment="1">
      <alignment horizontal="center" vertical="center"/>
    </xf>
    <xf numFmtId="1" fontId="3" fillId="0" borderId="50" xfId="0" applyNumberFormat="1" applyFont="1" applyBorder="1" applyAlignment="1">
      <alignment horizontal="center" vertical="center"/>
    </xf>
    <xf numFmtId="1" fontId="3" fillId="0" borderId="51" xfId="0" applyNumberFormat="1" applyFont="1" applyBorder="1" applyAlignment="1">
      <alignment horizontal="center" vertical="center"/>
    </xf>
    <xf numFmtId="1" fontId="4" fillId="2" borderId="50" xfId="0" applyNumberFormat="1" applyFont="1" applyFill="1" applyBorder="1" applyAlignment="1">
      <alignment horizontal="left"/>
    </xf>
    <xf numFmtId="1" fontId="3" fillId="0" borderId="52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9" fontId="3" fillId="0" borderId="9" xfId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167" fontId="3" fillId="0" borderId="9" xfId="0" applyNumberFormat="1" applyFont="1" applyBorder="1" applyAlignment="1">
      <alignment horizontal="center" vertical="center"/>
    </xf>
    <xf numFmtId="1" fontId="1" fillId="0" borderId="30" xfId="0" applyNumberFormat="1" applyFont="1" applyBorder="1" applyAlignment="1">
      <alignment horizontal="center" vertical="center"/>
    </xf>
    <xf numFmtId="1" fontId="1" fillId="0" borderId="52" xfId="0" applyNumberFormat="1" applyFont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1" fontId="3" fillId="5" borderId="23" xfId="0" applyNumberFormat="1" applyFont="1" applyFill="1" applyBorder="1" applyAlignment="1">
      <alignment horizontal="center" vertical="center"/>
    </xf>
    <xf numFmtId="1" fontId="3" fillId="5" borderId="47" xfId="0" applyNumberFormat="1" applyFont="1" applyFill="1" applyBorder="1" applyAlignment="1">
      <alignment horizontal="center" vertical="center"/>
    </xf>
    <xf numFmtId="1" fontId="3" fillId="5" borderId="49" xfId="0" applyNumberFormat="1" applyFont="1" applyFill="1" applyBorder="1" applyAlignment="1">
      <alignment horizontal="center" vertical="center"/>
    </xf>
    <xf numFmtId="1" fontId="3" fillId="5" borderId="45" xfId="0" applyNumberFormat="1" applyFont="1" applyFill="1" applyBorder="1" applyAlignment="1">
      <alignment horizontal="center" vertical="center"/>
    </xf>
    <xf numFmtId="1" fontId="3" fillId="5" borderId="30" xfId="0" applyNumberFormat="1" applyFont="1" applyFill="1" applyBorder="1" applyAlignment="1">
      <alignment horizontal="center" vertical="center"/>
    </xf>
    <xf numFmtId="165" fontId="3" fillId="0" borderId="30" xfId="0" applyNumberFormat="1" applyFont="1" applyBorder="1" applyAlignment="1">
      <alignment horizontal="center" vertical="center"/>
    </xf>
    <xf numFmtId="165" fontId="3" fillId="0" borderId="5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2" fontId="3" fillId="0" borderId="22" xfId="0" applyNumberFormat="1" applyFont="1" applyBorder="1" applyAlignment="1">
      <alignment horizontal="center" vertical="center"/>
    </xf>
    <xf numFmtId="12" fontId="3" fillId="0" borderId="23" xfId="0" applyNumberFormat="1" applyFont="1" applyBorder="1" applyAlignment="1">
      <alignment horizontal="center" vertical="center"/>
    </xf>
    <xf numFmtId="12" fontId="3" fillId="0" borderId="25" xfId="0" applyNumberFormat="1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1" fontId="3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4" fillId="0" borderId="8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1" fontId="3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4" fillId="0" borderId="12" xfId="0" applyNumberFormat="1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64" fontId="3" fillId="0" borderId="13" xfId="0" applyNumberFormat="1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4" fillId="2" borderId="16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" fontId="4" fillId="2" borderId="18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4" fillId="2" borderId="19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" fontId="3" fillId="0" borderId="53" xfId="0" applyNumberFormat="1" applyFont="1" applyBorder="1" applyAlignment="1">
      <alignment horizontal="center" vertical="center"/>
    </xf>
    <xf numFmtId="1" fontId="3" fillId="0" borderId="5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3" fillId="5" borderId="53" xfId="0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3" fillId="5" borderId="23" xfId="0" applyNumberFormat="1" applyFont="1" applyFill="1" applyBorder="1" applyAlignment="1">
      <alignment horizontal="center" vertical="center"/>
    </xf>
    <xf numFmtId="1" fontId="3" fillId="5" borderId="48" xfId="0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3" fillId="5" borderId="8" xfId="0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1" fontId="3" fillId="0" borderId="54" xfId="0" applyNumberFormat="1" applyFont="1" applyBorder="1" applyAlignment="1">
      <alignment horizontal="center" vertical="center"/>
    </xf>
    <xf numFmtId="1" fontId="3" fillId="0" borderId="56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26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1" fontId="4" fillId="3" borderId="32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1" fontId="4" fillId="4" borderId="33" xfId="0" applyNumberFormat="1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4" fillId="2" borderId="8" xfId="0" applyNumberFormat="1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1" fontId="4" fillId="2" borderId="34" xfId="0" applyNumberFormat="1" applyFont="1" applyFill="1" applyBorder="1" applyAlignment="1">
      <alignment horizontal="left"/>
    </xf>
    <xf numFmtId="0" fontId="2" fillId="2" borderId="35" xfId="0" applyFont="1" applyFill="1" applyBorder="1" applyAlignment="1">
      <alignment horizontal="left"/>
    </xf>
    <xf numFmtId="0" fontId="2" fillId="2" borderId="36" xfId="0" applyFont="1" applyFill="1" applyBorder="1" applyAlignment="1">
      <alignment horizontal="left"/>
    </xf>
    <xf numFmtId="1" fontId="4" fillId="2" borderId="12" xfId="0" applyNumberFormat="1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2" fontId="4" fillId="0" borderId="42" xfId="0" applyNumberFormat="1" applyFont="1" applyBorder="1" applyAlignment="1">
      <alignment horizontal="center" vertical="center"/>
    </xf>
    <xf numFmtId="2" fontId="2" fillId="0" borderId="43" xfId="0" applyNumberFormat="1" applyFont="1" applyBorder="1" applyAlignment="1">
      <alignment horizontal="center" vertical="center"/>
    </xf>
    <xf numFmtId="2" fontId="2" fillId="0" borderId="44" xfId="0" applyNumberFormat="1" applyFont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2" fontId="4" fillId="0" borderId="39" xfId="0" applyNumberFormat="1" applyFont="1" applyBorder="1" applyAlignment="1">
      <alignment horizontal="center" vertical="center"/>
    </xf>
    <xf numFmtId="2" fontId="2" fillId="0" borderId="40" xfId="0" applyNumberFormat="1" applyFont="1" applyBorder="1" applyAlignment="1">
      <alignment horizontal="center" vertical="center"/>
    </xf>
    <xf numFmtId="2" fontId="2" fillId="0" borderId="41" xfId="0" applyNumberFormat="1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111770</xdr:rowOff>
    </xdr:from>
    <xdr:to>
      <xdr:col>5</xdr:col>
      <xdr:colOff>594071</xdr:colOff>
      <xdr:row>5</xdr:row>
      <xdr:rowOff>80743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435CE1-BD61-4479-A6F5-F86F42965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11770"/>
          <a:ext cx="3885911" cy="883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7A1D-C17C-463D-9A0F-B4D73C4AD702}">
  <sheetPr>
    <pageSetUpPr fitToPage="1"/>
  </sheetPr>
  <dimension ref="A1:R62"/>
  <sheetViews>
    <sheetView tabSelected="1" topLeftCell="E19" workbookViewId="0">
      <selection activeCell="R26" sqref="R26:R38"/>
    </sheetView>
  </sheetViews>
  <sheetFormatPr baseColWidth="10" defaultColWidth="11.44140625" defaultRowHeight="14.4" x14ac:dyDescent="0.3"/>
  <cols>
    <col min="1" max="1" width="8.77734375" style="1" customWidth="1"/>
    <col min="2" max="3" width="6.77734375" style="1" customWidth="1"/>
    <col min="4" max="17" width="14.77734375" style="1" customWidth="1"/>
    <col min="18" max="16384" width="11.44140625" style="2"/>
  </cols>
  <sheetData>
    <row r="1" spans="1:18" ht="15" thickBot="1" x14ac:dyDescent="0.35"/>
    <row r="2" spans="1:18" ht="15" thickBot="1" x14ac:dyDescent="0.35">
      <c r="G2" s="65" t="s">
        <v>0</v>
      </c>
      <c r="H2" s="66"/>
      <c r="I2" s="66"/>
      <c r="J2" s="66"/>
      <c r="K2" s="66"/>
      <c r="L2" s="66"/>
      <c r="M2" s="66"/>
      <c r="N2" s="66"/>
      <c r="O2" s="66"/>
      <c r="P2" s="66"/>
      <c r="Q2" s="67"/>
    </row>
    <row r="3" spans="1:18" x14ac:dyDescent="0.3">
      <c r="G3" s="68" t="s">
        <v>1</v>
      </c>
      <c r="H3" s="69"/>
      <c r="I3" s="70" t="s">
        <v>96</v>
      </c>
      <c r="J3" s="71"/>
      <c r="K3" s="68" t="s">
        <v>2</v>
      </c>
      <c r="L3" s="69"/>
      <c r="M3" s="70" t="s">
        <v>3</v>
      </c>
      <c r="N3" s="71"/>
      <c r="O3" s="68" t="s">
        <v>4</v>
      </c>
      <c r="P3" s="69"/>
      <c r="Q3" s="5" t="s">
        <v>5</v>
      </c>
    </row>
    <row r="4" spans="1:18" x14ac:dyDescent="0.3">
      <c r="G4" s="72" t="s">
        <v>6</v>
      </c>
      <c r="H4" s="73"/>
      <c r="I4" s="74" t="s">
        <v>97</v>
      </c>
      <c r="J4" s="75"/>
      <c r="K4" s="72" t="s">
        <v>7</v>
      </c>
      <c r="L4" s="73"/>
      <c r="M4" s="74"/>
      <c r="N4" s="75"/>
      <c r="O4" s="72" t="s">
        <v>8</v>
      </c>
      <c r="P4" s="73"/>
      <c r="Q4" s="7" t="s">
        <v>9</v>
      </c>
    </row>
    <row r="5" spans="1:18" ht="15" thickBot="1" x14ac:dyDescent="0.35">
      <c r="G5" s="76" t="s">
        <v>10</v>
      </c>
      <c r="H5" s="77"/>
      <c r="I5" s="78">
        <v>85</v>
      </c>
      <c r="J5" s="79"/>
      <c r="K5" s="76" t="s">
        <v>11</v>
      </c>
      <c r="L5" s="77"/>
      <c r="M5" s="80" t="s">
        <v>90</v>
      </c>
      <c r="N5" s="81"/>
      <c r="O5" s="76" t="s">
        <v>12</v>
      </c>
      <c r="P5" s="77"/>
      <c r="Q5" s="9" t="s">
        <v>13</v>
      </c>
    </row>
    <row r="6" spans="1:18" ht="15" thickBot="1" x14ac:dyDescent="0.35"/>
    <row r="7" spans="1:18" ht="15" thickBot="1" x14ac:dyDescent="0.35">
      <c r="A7" s="82" t="s">
        <v>14</v>
      </c>
      <c r="B7" s="83"/>
      <c r="C7" s="83"/>
      <c r="D7" s="83"/>
      <c r="E7" s="83"/>
      <c r="F7" s="83"/>
      <c r="G7" s="83"/>
      <c r="H7" s="83"/>
      <c r="I7" s="83"/>
      <c r="J7" s="82" t="s">
        <v>15</v>
      </c>
      <c r="K7" s="83"/>
      <c r="L7" s="66"/>
      <c r="M7" s="66"/>
      <c r="N7" s="66"/>
      <c r="O7" s="66"/>
      <c r="P7" s="66"/>
      <c r="Q7" s="67"/>
    </row>
    <row r="8" spans="1:18" ht="15" thickBot="1" x14ac:dyDescent="0.35">
      <c r="A8" s="84" t="s">
        <v>16</v>
      </c>
      <c r="B8" s="84" t="s">
        <v>17</v>
      </c>
      <c r="C8" s="84" t="s">
        <v>18</v>
      </c>
      <c r="D8" s="84" t="s">
        <v>19</v>
      </c>
      <c r="E8" s="84" t="s">
        <v>20</v>
      </c>
      <c r="F8" s="86"/>
      <c r="G8" s="84" t="s">
        <v>21</v>
      </c>
      <c r="H8" s="84" t="s">
        <v>22</v>
      </c>
      <c r="I8" s="87" t="s">
        <v>23</v>
      </c>
      <c r="J8" s="65" t="s">
        <v>24</v>
      </c>
      <c r="K8" s="66"/>
      <c r="L8" s="65" t="s">
        <v>25</v>
      </c>
      <c r="M8" s="65" t="s">
        <v>16</v>
      </c>
      <c r="N8" s="65" t="s">
        <v>26</v>
      </c>
      <c r="O8" s="65" t="s">
        <v>27</v>
      </c>
      <c r="P8" s="65" t="s">
        <v>28</v>
      </c>
      <c r="Q8" s="67"/>
    </row>
    <row r="9" spans="1:18" ht="15" thickBot="1" x14ac:dyDescent="0.35">
      <c r="A9" s="85"/>
      <c r="B9" s="85"/>
      <c r="C9" s="85"/>
      <c r="D9" s="85"/>
      <c r="E9" s="85"/>
      <c r="F9" s="86"/>
      <c r="G9" s="85"/>
      <c r="H9" s="85"/>
      <c r="I9" s="85"/>
      <c r="J9" s="3" t="s">
        <v>29</v>
      </c>
      <c r="K9" s="3" t="s">
        <v>30</v>
      </c>
      <c r="L9" s="85"/>
      <c r="M9" s="85"/>
      <c r="N9" s="85"/>
      <c r="O9" s="85"/>
      <c r="P9" s="85"/>
      <c r="Q9" s="94"/>
      <c r="R9" s="2" t="s">
        <v>113</v>
      </c>
    </row>
    <row r="10" spans="1:18" x14ac:dyDescent="0.3">
      <c r="A10" s="88" t="s">
        <v>31</v>
      </c>
      <c r="B10" s="62">
        <v>1</v>
      </c>
      <c r="C10" s="11">
        <v>1</v>
      </c>
      <c r="D10" s="56">
        <v>5</v>
      </c>
      <c r="E10" s="95" t="s">
        <v>33</v>
      </c>
      <c r="F10" s="71"/>
      <c r="G10" s="20" t="s">
        <v>32</v>
      </c>
      <c r="H10" s="31">
        <f>+D10*1390</f>
        <v>6950</v>
      </c>
      <c r="I10" s="48">
        <v>-22</v>
      </c>
      <c r="J10" s="11">
        <v>1</v>
      </c>
      <c r="K10" s="11"/>
      <c r="L10" s="11"/>
      <c r="M10" s="59">
        <v>0.5</v>
      </c>
      <c r="N10" s="59">
        <v>0.375</v>
      </c>
      <c r="O10" s="11"/>
      <c r="P10" s="90" t="s">
        <v>94</v>
      </c>
      <c r="Q10" s="91"/>
      <c r="R10" s="2">
        <v>20</v>
      </c>
    </row>
    <row r="11" spans="1:18" ht="15" thickBot="1" x14ac:dyDescent="0.35">
      <c r="A11" s="89"/>
      <c r="B11" s="64"/>
      <c r="C11" s="16">
        <v>2</v>
      </c>
      <c r="D11" s="57">
        <v>8</v>
      </c>
      <c r="E11" s="96" t="s">
        <v>33</v>
      </c>
      <c r="F11" s="81"/>
      <c r="G11" s="43" t="s">
        <v>32</v>
      </c>
      <c r="H11" s="40">
        <f>+D11*1390</f>
        <v>11120</v>
      </c>
      <c r="I11" s="49">
        <v>-22</v>
      </c>
      <c r="J11" s="16">
        <v>2</v>
      </c>
      <c r="K11" s="16"/>
      <c r="L11" s="16"/>
      <c r="M11" s="61">
        <v>0.5</v>
      </c>
      <c r="N11" s="61">
        <v>0.375</v>
      </c>
      <c r="O11" s="16"/>
      <c r="P11" s="92" t="s">
        <v>94</v>
      </c>
      <c r="Q11" s="93"/>
      <c r="R11" s="2">
        <v>30</v>
      </c>
    </row>
    <row r="12" spans="1:18" ht="15" thickBot="1" x14ac:dyDescent="0.35">
      <c r="A12" s="88" t="s">
        <v>34</v>
      </c>
      <c r="B12" s="97"/>
      <c r="C12" s="97"/>
      <c r="D12" s="97"/>
      <c r="E12" s="97"/>
      <c r="F12" s="97"/>
      <c r="G12" s="97"/>
      <c r="H12" s="10">
        <f>SUM(H10:H11)</f>
        <v>18070</v>
      </c>
      <c r="I12" s="98"/>
      <c r="J12" s="99"/>
      <c r="K12" s="99"/>
      <c r="L12" s="99"/>
      <c r="M12" s="99"/>
      <c r="N12" s="99"/>
      <c r="O12" s="99"/>
      <c r="P12" s="99"/>
      <c r="Q12" s="100"/>
      <c r="R12" s="2">
        <v>40</v>
      </c>
    </row>
    <row r="13" spans="1:18" ht="15" thickBot="1" x14ac:dyDescent="0.35">
      <c r="A13" s="98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100"/>
      <c r="R13" s="2">
        <v>50</v>
      </c>
    </row>
    <row r="14" spans="1:18" x14ac:dyDescent="0.3">
      <c r="A14" s="88" t="s">
        <v>35</v>
      </c>
      <c r="B14" s="62">
        <v>2</v>
      </c>
      <c r="C14" s="11">
        <v>3</v>
      </c>
      <c r="D14" s="55">
        <f>12.5*3.28</f>
        <v>41</v>
      </c>
      <c r="E14" s="101" t="s">
        <v>100</v>
      </c>
      <c r="F14" s="102"/>
      <c r="G14" s="55" t="s">
        <v>40</v>
      </c>
      <c r="H14" s="54">
        <f>D14*1485</f>
        <v>60885</v>
      </c>
      <c r="I14" s="58">
        <v>23</v>
      </c>
      <c r="J14" s="11">
        <v>4</v>
      </c>
      <c r="K14" s="11"/>
      <c r="L14" s="11"/>
      <c r="M14" s="59">
        <v>0.875</v>
      </c>
      <c r="N14" s="59">
        <v>0.5</v>
      </c>
      <c r="O14" s="11"/>
      <c r="P14" s="103" t="s">
        <v>41</v>
      </c>
      <c r="Q14" s="104"/>
      <c r="R14" s="2">
        <v>60</v>
      </c>
    </row>
    <row r="15" spans="1:18" x14ac:dyDescent="0.3">
      <c r="A15" s="89"/>
      <c r="B15" s="63"/>
      <c r="C15" s="13">
        <v>4</v>
      </c>
      <c r="D15" s="53">
        <f>11.25*3.28</f>
        <v>36.9</v>
      </c>
      <c r="E15" s="105" t="s">
        <v>100</v>
      </c>
      <c r="F15" s="106"/>
      <c r="G15" s="53" t="s">
        <v>40</v>
      </c>
      <c r="H15" s="52">
        <f>D15*1485</f>
        <v>54796.5</v>
      </c>
      <c r="I15" s="13">
        <v>23</v>
      </c>
      <c r="J15" s="13">
        <v>3</v>
      </c>
      <c r="K15" s="13"/>
      <c r="L15" s="13"/>
      <c r="M15" s="60">
        <v>0.875</v>
      </c>
      <c r="N15" s="60">
        <v>0.5</v>
      </c>
      <c r="O15" s="13"/>
      <c r="P15" s="107" t="s">
        <v>41</v>
      </c>
      <c r="Q15" s="108"/>
      <c r="R15" s="2">
        <v>70</v>
      </c>
    </row>
    <row r="16" spans="1:18" x14ac:dyDescent="0.3">
      <c r="A16" s="89"/>
      <c r="B16" s="63"/>
      <c r="C16" s="13">
        <v>5</v>
      </c>
      <c r="D16" s="53">
        <f>8.87*3.28</f>
        <v>29.093599999999995</v>
      </c>
      <c r="E16" s="105" t="s">
        <v>100</v>
      </c>
      <c r="F16" s="106"/>
      <c r="G16" s="53" t="s">
        <v>40</v>
      </c>
      <c r="H16" s="52">
        <f>D16*1485</f>
        <v>43203.995999999992</v>
      </c>
      <c r="I16" s="13">
        <v>23</v>
      </c>
      <c r="J16" s="13">
        <v>3</v>
      </c>
      <c r="K16" s="13"/>
      <c r="L16" s="13"/>
      <c r="M16" s="60">
        <v>0.625</v>
      </c>
      <c r="N16" s="60">
        <v>0.5</v>
      </c>
      <c r="O16" s="13"/>
      <c r="P16" s="107" t="s">
        <v>41</v>
      </c>
      <c r="Q16" s="108"/>
      <c r="R16" s="2">
        <v>80</v>
      </c>
    </row>
    <row r="17" spans="1:18" ht="15" thickBot="1" x14ac:dyDescent="0.35">
      <c r="A17" s="89"/>
      <c r="B17" s="64"/>
      <c r="C17" s="13">
        <v>6</v>
      </c>
      <c r="D17" s="53">
        <f>3.87*3.28</f>
        <v>12.6936</v>
      </c>
      <c r="E17" s="105" t="s">
        <v>100</v>
      </c>
      <c r="F17" s="106"/>
      <c r="G17" s="53" t="s">
        <v>43</v>
      </c>
      <c r="H17" s="52">
        <f>D17*1485</f>
        <v>18849.995999999999</v>
      </c>
      <c r="I17" s="13">
        <v>23</v>
      </c>
      <c r="J17" s="13">
        <v>1</v>
      </c>
      <c r="K17" s="13"/>
      <c r="L17" s="13"/>
      <c r="M17" s="60">
        <v>0.5</v>
      </c>
      <c r="N17" s="60">
        <v>0.375</v>
      </c>
      <c r="O17" s="13"/>
      <c r="P17" s="107" t="s">
        <v>41</v>
      </c>
      <c r="Q17" s="108"/>
      <c r="R17" s="2">
        <v>90</v>
      </c>
    </row>
    <row r="18" spans="1:18" x14ac:dyDescent="0.3">
      <c r="A18" s="89"/>
      <c r="B18" s="63">
        <v>3</v>
      </c>
      <c r="C18" s="13">
        <v>7</v>
      </c>
      <c r="D18" s="53">
        <f>8.87*3.28</f>
        <v>29.093599999999995</v>
      </c>
      <c r="E18" s="105" t="s">
        <v>44</v>
      </c>
      <c r="F18" s="106"/>
      <c r="G18" s="53" t="s">
        <v>95</v>
      </c>
      <c r="H18" s="52">
        <f>D18*890</f>
        <v>25893.303999999996</v>
      </c>
      <c r="I18" s="15">
        <v>18</v>
      </c>
      <c r="J18" s="13">
        <v>3</v>
      </c>
      <c r="K18" s="13"/>
      <c r="L18" s="13"/>
      <c r="M18" s="60">
        <v>0.5</v>
      </c>
      <c r="N18" s="60">
        <v>0.375</v>
      </c>
      <c r="O18" s="13"/>
      <c r="P18" s="92" t="s">
        <v>94</v>
      </c>
      <c r="Q18" s="93"/>
      <c r="R18" s="2">
        <v>100</v>
      </c>
    </row>
    <row r="19" spans="1:18" x14ac:dyDescent="0.3">
      <c r="A19" s="89"/>
      <c r="B19" s="63"/>
      <c r="C19" s="13">
        <v>8</v>
      </c>
      <c r="D19" s="53">
        <f>7.5*3.28</f>
        <v>24.599999999999998</v>
      </c>
      <c r="E19" s="109" t="s">
        <v>101</v>
      </c>
      <c r="F19" s="110"/>
      <c r="G19" s="53" t="s">
        <v>36</v>
      </c>
      <c r="H19" s="51">
        <f>D19*550</f>
        <v>13529.999999999998</v>
      </c>
      <c r="I19" s="15">
        <v>18</v>
      </c>
      <c r="J19" s="13">
        <v>3</v>
      </c>
      <c r="K19" s="13"/>
      <c r="L19" s="13"/>
      <c r="M19" s="60">
        <v>0.5</v>
      </c>
      <c r="N19" s="60">
        <v>0.375</v>
      </c>
      <c r="O19" s="13"/>
      <c r="P19" s="92" t="s">
        <v>94</v>
      </c>
      <c r="Q19" s="93"/>
      <c r="R19" s="2">
        <v>110</v>
      </c>
    </row>
    <row r="20" spans="1:18" x14ac:dyDescent="0.3">
      <c r="A20" s="89"/>
      <c r="B20" s="63"/>
      <c r="C20" s="13">
        <v>9</v>
      </c>
      <c r="D20" s="53">
        <f>7.5*3.28</f>
        <v>24.599999999999998</v>
      </c>
      <c r="E20" s="109" t="s">
        <v>101</v>
      </c>
      <c r="F20" s="110"/>
      <c r="G20" s="53" t="s">
        <v>36</v>
      </c>
      <c r="H20" s="51">
        <f>D20*550</f>
        <v>13529.999999999998</v>
      </c>
      <c r="I20" s="13">
        <v>23</v>
      </c>
      <c r="J20" s="13">
        <v>3</v>
      </c>
      <c r="K20" s="13"/>
      <c r="L20" s="13"/>
      <c r="M20" s="60">
        <v>0.5</v>
      </c>
      <c r="N20" s="60">
        <v>0.375</v>
      </c>
      <c r="O20" s="13"/>
      <c r="P20" s="107" t="s">
        <v>41</v>
      </c>
      <c r="Q20" s="108"/>
      <c r="R20" s="2">
        <v>120</v>
      </c>
    </row>
    <row r="21" spans="1:18" x14ac:dyDescent="0.3">
      <c r="A21" s="89"/>
      <c r="B21" s="63"/>
      <c r="C21" s="13">
        <v>10</v>
      </c>
      <c r="D21" s="37" t="s">
        <v>102</v>
      </c>
      <c r="E21" s="111" t="s">
        <v>39</v>
      </c>
      <c r="F21" s="75"/>
      <c r="G21" s="13" t="s">
        <v>42</v>
      </c>
      <c r="H21" s="13">
        <v>12658</v>
      </c>
      <c r="I21" s="13">
        <v>32</v>
      </c>
      <c r="J21" s="13">
        <v>3</v>
      </c>
      <c r="K21" s="13" t="s">
        <v>103</v>
      </c>
      <c r="L21" s="13"/>
      <c r="M21" s="60">
        <v>0.5</v>
      </c>
      <c r="N21" s="60">
        <v>0.375</v>
      </c>
      <c r="O21" s="13"/>
      <c r="P21" s="107" t="s">
        <v>41</v>
      </c>
      <c r="Q21" s="108"/>
      <c r="R21" s="2">
        <v>130</v>
      </c>
    </row>
    <row r="22" spans="1:18" x14ac:dyDescent="0.3">
      <c r="A22" s="89"/>
      <c r="B22" s="63"/>
      <c r="C22" s="13">
        <v>11</v>
      </c>
      <c r="D22" s="37" t="s">
        <v>104</v>
      </c>
      <c r="E22" s="112" t="s">
        <v>39</v>
      </c>
      <c r="F22" s="113"/>
      <c r="G22" s="13" t="s">
        <v>36</v>
      </c>
      <c r="H22" s="13">
        <v>5877</v>
      </c>
      <c r="I22" s="15">
        <v>18</v>
      </c>
      <c r="J22" s="13">
        <v>1</v>
      </c>
      <c r="K22" s="13" t="s">
        <v>105</v>
      </c>
      <c r="L22" s="13"/>
      <c r="M22" s="60">
        <v>0.375</v>
      </c>
      <c r="N22" s="60">
        <v>0.375</v>
      </c>
      <c r="O22" s="13"/>
      <c r="P22" s="92" t="s">
        <v>94</v>
      </c>
      <c r="Q22" s="93"/>
      <c r="R22" s="2">
        <v>140</v>
      </c>
    </row>
    <row r="23" spans="1:18" x14ac:dyDescent="0.3">
      <c r="A23" s="89"/>
      <c r="B23" s="63"/>
      <c r="C23" s="13">
        <v>12</v>
      </c>
      <c r="D23" s="37" t="s">
        <v>106</v>
      </c>
      <c r="E23" s="111" t="s">
        <v>39</v>
      </c>
      <c r="F23" s="75"/>
      <c r="G23" s="13" t="s">
        <v>38</v>
      </c>
      <c r="H23" s="13">
        <v>4702</v>
      </c>
      <c r="I23" s="15">
        <v>18</v>
      </c>
      <c r="J23" s="13">
        <v>1</v>
      </c>
      <c r="K23" s="13" t="s">
        <v>105</v>
      </c>
      <c r="L23" s="13"/>
      <c r="M23" s="60">
        <v>0.375</v>
      </c>
      <c r="N23" s="60">
        <v>0.375</v>
      </c>
      <c r="O23" s="13"/>
      <c r="P23" s="92" t="s">
        <v>94</v>
      </c>
      <c r="Q23" s="93"/>
      <c r="R23" s="2">
        <v>150</v>
      </c>
    </row>
    <row r="24" spans="1:18" x14ac:dyDescent="0.3">
      <c r="A24" s="89"/>
      <c r="B24" s="63"/>
      <c r="C24" s="13">
        <v>13</v>
      </c>
      <c r="D24" s="37" t="s">
        <v>107</v>
      </c>
      <c r="E24" s="111" t="s">
        <v>39</v>
      </c>
      <c r="F24" s="75"/>
      <c r="G24" s="13" t="s">
        <v>37</v>
      </c>
      <c r="H24" s="13">
        <v>5102</v>
      </c>
      <c r="I24" s="15">
        <v>18</v>
      </c>
      <c r="J24" s="13">
        <v>1</v>
      </c>
      <c r="K24" s="13" t="s">
        <v>105</v>
      </c>
      <c r="L24" s="13"/>
      <c r="M24" s="60">
        <v>0.375</v>
      </c>
      <c r="N24" s="60">
        <v>0.375</v>
      </c>
      <c r="O24" s="13"/>
      <c r="P24" s="92" t="s">
        <v>94</v>
      </c>
      <c r="Q24" s="93"/>
      <c r="R24" s="2">
        <v>160</v>
      </c>
    </row>
    <row r="25" spans="1:18" ht="15" thickBot="1" x14ac:dyDescent="0.35">
      <c r="A25" s="89"/>
      <c r="B25" s="64"/>
      <c r="C25" s="13">
        <v>14</v>
      </c>
      <c r="D25" s="43" t="s">
        <v>108</v>
      </c>
      <c r="E25" s="111" t="s">
        <v>39</v>
      </c>
      <c r="F25" s="75"/>
      <c r="G25" s="13" t="s">
        <v>109</v>
      </c>
      <c r="H25" s="13">
        <v>4303</v>
      </c>
      <c r="I25" s="15">
        <v>18</v>
      </c>
      <c r="J25" s="16">
        <v>1</v>
      </c>
      <c r="K25" s="16" t="s">
        <v>110</v>
      </c>
      <c r="L25" s="16"/>
      <c r="M25" s="61">
        <v>0.375</v>
      </c>
      <c r="N25" s="61">
        <v>0.375</v>
      </c>
      <c r="O25" s="16"/>
      <c r="P25" s="92" t="s">
        <v>94</v>
      </c>
      <c r="Q25" s="93"/>
      <c r="R25" s="2">
        <v>170</v>
      </c>
    </row>
    <row r="26" spans="1:18" ht="15" thickBot="1" x14ac:dyDescent="0.35">
      <c r="A26" s="124" t="s">
        <v>45</v>
      </c>
      <c r="B26" s="125"/>
      <c r="C26" s="125"/>
      <c r="D26" s="125"/>
      <c r="E26" s="125"/>
      <c r="F26" s="125"/>
      <c r="G26" s="125"/>
      <c r="H26" s="18">
        <f>SUM(H14:H25)</f>
        <v>263330.79599999997</v>
      </c>
      <c r="I26" s="117"/>
      <c r="J26" s="126"/>
      <c r="K26" s="126"/>
      <c r="L26" s="126"/>
      <c r="M26" s="126"/>
      <c r="N26" s="126"/>
      <c r="O26" s="126"/>
      <c r="P26" s="126"/>
      <c r="Q26" s="118"/>
    </row>
    <row r="27" spans="1:18" ht="15" thickBot="1" x14ac:dyDescent="0.35"/>
    <row r="28" spans="1:18" ht="15" thickBot="1" x14ac:dyDescent="0.35">
      <c r="K28" s="10" t="s">
        <v>31</v>
      </c>
      <c r="L28" s="19" t="s">
        <v>35</v>
      </c>
      <c r="P28" s="88" t="s">
        <v>46</v>
      </c>
      <c r="Q28" s="127"/>
    </row>
    <row r="29" spans="1:18" ht="15" thickBot="1" x14ac:dyDescent="0.35">
      <c r="J29" s="10" t="s">
        <v>47</v>
      </c>
      <c r="K29" s="11">
        <f>SUM(F47:G47)</f>
        <v>27466.600000000002</v>
      </c>
      <c r="L29" s="20">
        <f>SUM(H47:J47)</f>
        <v>325914.23999999999</v>
      </c>
      <c r="M29" s="44"/>
      <c r="N29" s="44"/>
      <c r="P29" s="114">
        <f>SUM(F48:G48)</f>
        <v>0</v>
      </c>
      <c r="Q29" s="104"/>
    </row>
    <row r="30" spans="1:18" ht="15" thickBot="1" x14ac:dyDescent="0.35">
      <c r="J30" s="10" t="s">
        <v>48</v>
      </c>
      <c r="K30" s="16">
        <f>H12</f>
        <v>18070</v>
      </c>
      <c r="L30" s="17">
        <f>H26</f>
        <v>263330.79599999997</v>
      </c>
      <c r="M30" s="44"/>
      <c r="N30" s="44"/>
      <c r="P30" s="115">
        <f>SUM(H48:J48)</f>
        <v>518248.68</v>
      </c>
      <c r="Q30" s="116"/>
    </row>
    <row r="31" spans="1:18" ht="15" thickBot="1" x14ac:dyDescent="0.35">
      <c r="J31" s="18" t="s">
        <v>49</v>
      </c>
      <c r="K31" s="21">
        <f>(K29-K30)/K30</f>
        <v>0.52001106806862218</v>
      </c>
      <c r="L31" s="22">
        <f>(L29-L30)/L30</f>
        <v>0.23766093806969704</v>
      </c>
      <c r="P31" s="117">
        <f>P29+P30</f>
        <v>518248.68</v>
      </c>
      <c r="Q31" s="118"/>
    </row>
    <row r="32" spans="1:18" ht="15" thickBot="1" x14ac:dyDescent="0.35"/>
    <row r="33" spans="1:17" ht="15" thickBot="1" x14ac:dyDescent="0.35">
      <c r="A33" s="65" t="s">
        <v>50</v>
      </c>
      <c r="B33" s="66"/>
      <c r="C33" s="66"/>
      <c r="D33" s="66"/>
      <c r="E33" s="66"/>
      <c r="F33" s="83"/>
      <c r="G33" s="83"/>
      <c r="H33" s="83"/>
      <c r="I33" s="83"/>
      <c r="J33" s="83"/>
      <c r="K33" s="12"/>
      <c r="L33" s="4"/>
      <c r="M33" s="4"/>
      <c r="N33" s="4"/>
      <c r="O33" s="4"/>
      <c r="P33" s="4"/>
      <c r="Q33" s="5"/>
    </row>
    <row r="34" spans="1:17" ht="15" thickBot="1" x14ac:dyDescent="0.35">
      <c r="A34" s="82" t="s">
        <v>51</v>
      </c>
      <c r="B34" s="83"/>
      <c r="C34" s="83"/>
      <c r="D34" s="83"/>
      <c r="E34" s="119"/>
      <c r="F34" s="120" t="s">
        <v>31</v>
      </c>
      <c r="G34" s="121"/>
      <c r="H34" s="122" t="s">
        <v>35</v>
      </c>
      <c r="I34" s="123"/>
      <c r="J34" s="123"/>
      <c r="K34" s="14"/>
      <c r="L34" s="6"/>
      <c r="M34" s="6"/>
      <c r="N34" s="6"/>
      <c r="O34" s="6"/>
      <c r="P34" s="6"/>
      <c r="Q34" s="7"/>
    </row>
    <row r="35" spans="1:17" ht="15" thickBot="1" x14ac:dyDescent="0.35">
      <c r="A35" s="131" t="s">
        <v>52</v>
      </c>
      <c r="B35" s="132"/>
      <c r="C35" s="132"/>
      <c r="D35" s="132"/>
      <c r="E35" s="133"/>
      <c r="F35" s="23">
        <v>1</v>
      </c>
      <c r="G35" s="23">
        <v>2</v>
      </c>
      <c r="H35" s="23">
        <v>3</v>
      </c>
      <c r="I35" s="23">
        <v>4</v>
      </c>
      <c r="J35" s="23">
        <v>5</v>
      </c>
      <c r="K35" s="14"/>
      <c r="L35" s="6"/>
      <c r="M35" s="6"/>
      <c r="N35" s="6"/>
      <c r="O35" s="6"/>
      <c r="P35" s="6"/>
      <c r="Q35" s="7"/>
    </row>
    <row r="36" spans="1:17" x14ac:dyDescent="0.3">
      <c r="A36" s="128" t="s">
        <v>53</v>
      </c>
      <c r="B36" s="129"/>
      <c r="C36" s="129"/>
      <c r="D36" s="129"/>
      <c r="E36" s="130"/>
      <c r="F36" s="24" t="s">
        <v>111</v>
      </c>
      <c r="G36" s="24" t="s">
        <v>111</v>
      </c>
      <c r="H36" s="24" t="s">
        <v>92</v>
      </c>
      <c r="I36" s="24" t="s">
        <v>92</v>
      </c>
      <c r="J36" s="24" t="s">
        <v>92</v>
      </c>
      <c r="K36" s="14"/>
      <c r="L36" s="6"/>
      <c r="M36" s="6"/>
      <c r="N36" s="6"/>
      <c r="O36" s="6"/>
      <c r="P36" s="6"/>
      <c r="Q36" s="7"/>
    </row>
    <row r="37" spans="1:17" x14ac:dyDescent="0.3">
      <c r="A37" s="128" t="s">
        <v>54</v>
      </c>
      <c r="B37" s="129"/>
      <c r="C37" s="129"/>
      <c r="D37" s="129"/>
      <c r="E37" s="130"/>
      <c r="F37" s="13" t="s">
        <v>55</v>
      </c>
      <c r="G37" s="13" t="s">
        <v>55</v>
      </c>
      <c r="H37" s="13" t="s">
        <v>55</v>
      </c>
      <c r="I37" s="13" t="s">
        <v>55</v>
      </c>
      <c r="J37" s="13" t="s">
        <v>55</v>
      </c>
      <c r="K37" s="14"/>
      <c r="L37" s="6"/>
      <c r="M37" s="6"/>
      <c r="N37" s="6"/>
      <c r="O37" s="6"/>
      <c r="P37" s="6"/>
      <c r="Q37" s="7"/>
    </row>
    <row r="38" spans="1:17" x14ac:dyDescent="0.3">
      <c r="A38" s="128" t="s">
        <v>56</v>
      </c>
      <c r="B38" s="129"/>
      <c r="C38" s="129"/>
      <c r="D38" s="129"/>
      <c r="E38" s="130"/>
      <c r="F38" s="13" t="s">
        <v>55</v>
      </c>
      <c r="G38" s="13" t="s">
        <v>55</v>
      </c>
      <c r="H38" s="13" t="s">
        <v>112</v>
      </c>
      <c r="I38" s="13" t="s">
        <v>55</v>
      </c>
      <c r="J38" s="13" t="s">
        <v>55</v>
      </c>
      <c r="K38" s="14"/>
      <c r="L38" s="6"/>
      <c r="M38" s="6"/>
      <c r="N38" s="6"/>
      <c r="O38" s="6"/>
      <c r="P38" s="6"/>
      <c r="Q38" s="7"/>
    </row>
    <row r="39" spans="1:17" x14ac:dyDescent="0.3">
      <c r="A39" s="128" t="s">
        <v>58</v>
      </c>
      <c r="B39" s="129"/>
      <c r="C39" s="129"/>
      <c r="D39" s="129"/>
      <c r="E39" s="130"/>
      <c r="F39" s="13" t="s">
        <v>57</v>
      </c>
      <c r="G39" s="13" t="s">
        <v>57</v>
      </c>
      <c r="H39" s="13" t="s">
        <v>57</v>
      </c>
      <c r="I39" s="13" t="s">
        <v>57</v>
      </c>
      <c r="J39" s="13" t="s">
        <v>57</v>
      </c>
      <c r="K39" s="14"/>
      <c r="L39" s="6"/>
      <c r="M39" s="6"/>
      <c r="N39" s="6"/>
      <c r="O39" s="6"/>
      <c r="P39" s="6"/>
      <c r="Q39" s="7"/>
    </row>
    <row r="40" spans="1:17" x14ac:dyDescent="0.3">
      <c r="A40" s="128" t="s">
        <v>59</v>
      </c>
      <c r="B40" s="129"/>
      <c r="C40" s="129"/>
      <c r="D40" s="129"/>
      <c r="E40" s="130"/>
      <c r="F40" s="13" t="s">
        <v>57</v>
      </c>
      <c r="G40" s="13" t="s">
        <v>57</v>
      </c>
      <c r="H40" s="13" t="s">
        <v>57</v>
      </c>
      <c r="I40" s="13" t="s">
        <v>57</v>
      </c>
      <c r="J40" s="13" t="s">
        <v>57</v>
      </c>
      <c r="K40" s="14"/>
      <c r="L40" s="46"/>
      <c r="M40" s="45"/>
      <c r="N40" s="47"/>
      <c r="O40" s="6"/>
      <c r="P40" s="6"/>
      <c r="Q40" s="7"/>
    </row>
    <row r="41" spans="1:17" x14ac:dyDescent="0.3">
      <c r="A41" s="128" t="s">
        <v>60</v>
      </c>
      <c r="B41" s="129"/>
      <c r="C41" s="129"/>
      <c r="D41" s="129"/>
      <c r="E41" s="130"/>
      <c r="F41" s="13" t="s">
        <v>93</v>
      </c>
      <c r="G41" s="13" t="s">
        <v>55</v>
      </c>
      <c r="H41" s="13" t="s">
        <v>93</v>
      </c>
      <c r="I41" s="13" t="s">
        <v>55</v>
      </c>
      <c r="J41" s="13" t="s">
        <v>55</v>
      </c>
      <c r="K41" s="14"/>
      <c r="L41" s="46"/>
      <c r="M41" s="6"/>
      <c r="N41" s="6"/>
      <c r="O41" s="6"/>
      <c r="P41" s="6"/>
      <c r="Q41" s="7"/>
    </row>
    <row r="42" spans="1:17" x14ac:dyDescent="0.3">
      <c r="A42" s="128" t="s">
        <v>61</v>
      </c>
      <c r="B42" s="129"/>
      <c r="C42" s="129"/>
      <c r="D42" s="129"/>
      <c r="E42" s="130"/>
      <c r="F42" s="13" t="s">
        <v>57</v>
      </c>
      <c r="G42" s="13" t="s">
        <v>57</v>
      </c>
      <c r="H42" s="13" t="s">
        <v>57</v>
      </c>
      <c r="I42" s="13" t="s">
        <v>57</v>
      </c>
      <c r="J42" s="13" t="s">
        <v>57</v>
      </c>
      <c r="K42" s="14"/>
      <c r="L42" s="46"/>
      <c r="M42" s="6"/>
      <c r="N42" s="6"/>
      <c r="O42" s="6"/>
      <c r="P42" s="6"/>
      <c r="Q42" s="7"/>
    </row>
    <row r="43" spans="1:17" x14ac:dyDescent="0.3">
      <c r="A43" s="128" t="s">
        <v>62</v>
      </c>
      <c r="B43" s="129"/>
      <c r="C43" s="129"/>
      <c r="D43" s="129"/>
      <c r="E43" s="130"/>
      <c r="F43" s="13">
        <v>1</v>
      </c>
      <c r="G43" s="13">
        <v>1</v>
      </c>
      <c r="H43" s="13">
        <v>15</v>
      </c>
      <c r="I43" s="13">
        <v>15</v>
      </c>
      <c r="J43" s="13">
        <v>15</v>
      </c>
      <c r="K43" s="14"/>
      <c r="L43" s="6"/>
      <c r="M43" s="6"/>
      <c r="N43" s="6"/>
      <c r="O43" s="6"/>
      <c r="P43" s="25"/>
      <c r="Q43" s="7"/>
    </row>
    <row r="44" spans="1:17" ht="15" thickBot="1" x14ac:dyDescent="0.35">
      <c r="A44" s="128" t="s">
        <v>63</v>
      </c>
      <c r="B44" s="129"/>
      <c r="C44" s="129"/>
      <c r="D44" s="129"/>
      <c r="E44" s="130"/>
      <c r="F44" s="16" t="s">
        <v>90</v>
      </c>
      <c r="G44" s="16" t="s">
        <v>90</v>
      </c>
      <c r="H44" s="16" t="s">
        <v>90</v>
      </c>
      <c r="I44" s="16" t="s">
        <v>90</v>
      </c>
      <c r="J44" s="16" t="s">
        <v>90</v>
      </c>
      <c r="K44" s="14"/>
      <c r="L44" s="6"/>
      <c r="M44" s="6"/>
      <c r="N44" s="6"/>
      <c r="O44" s="6"/>
      <c r="P44" s="6"/>
      <c r="Q44" s="7"/>
    </row>
    <row r="45" spans="1:17" ht="15" thickBot="1" x14ac:dyDescent="0.35">
      <c r="A45" s="128" t="s">
        <v>64</v>
      </c>
      <c r="B45" s="129"/>
      <c r="C45" s="129"/>
      <c r="D45" s="129"/>
      <c r="E45" s="130"/>
      <c r="F45" s="50">
        <v>-22</v>
      </c>
      <c r="G45" s="50">
        <v>-22</v>
      </c>
      <c r="H45" s="26">
        <v>18</v>
      </c>
      <c r="I45" s="26">
        <v>18</v>
      </c>
      <c r="J45" s="26">
        <v>18</v>
      </c>
      <c r="K45" s="14"/>
      <c r="L45" s="6"/>
      <c r="M45" s="6"/>
      <c r="N45" s="6"/>
      <c r="O45" s="6"/>
      <c r="P45" s="6"/>
      <c r="Q45" s="7"/>
    </row>
    <row r="46" spans="1:17" x14ac:dyDescent="0.3">
      <c r="A46" s="128" t="s">
        <v>65</v>
      </c>
      <c r="B46" s="129"/>
      <c r="C46" s="129"/>
      <c r="D46" s="129"/>
      <c r="E46" s="130"/>
      <c r="F46" s="27">
        <v>18</v>
      </c>
      <c r="G46" s="27">
        <v>18</v>
      </c>
      <c r="H46" s="27">
        <v>85</v>
      </c>
      <c r="I46" s="27">
        <v>85</v>
      </c>
      <c r="J46" s="27">
        <v>85</v>
      </c>
      <c r="K46" s="14"/>
      <c r="L46" s="6"/>
      <c r="M46" s="6"/>
      <c r="N46" s="6"/>
      <c r="O46" s="6"/>
      <c r="P46" s="6"/>
      <c r="Q46" s="7"/>
    </row>
    <row r="47" spans="1:17" x14ac:dyDescent="0.3">
      <c r="A47" s="128" t="s">
        <v>66</v>
      </c>
      <c r="B47" s="129"/>
      <c r="C47" s="129"/>
      <c r="D47" s="129"/>
      <c r="E47" s="130"/>
      <c r="F47" s="13">
        <v>13733.300000000001</v>
      </c>
      <c r="G47" s="13">
        <v>13733.300000000001</v>
      </c>
      <c r="H47" s="13">
        <f>31.84*3412</f>
        <v>108638.08</v>
      </c>
      <c r="I47" s="13">
        <f>31.84*3412</f>
        <v>108638.08</v>
      </c>
      <c r="J47" s="13">
        <f>31.84*3412</f>
        <v>108638.08</v>
      </c>
      <c r="K47" s="14"/>
      <c r="L47" s="6"/>
      <c r="M47" s="6"/>
      <c r="N47" s="6"/>
      <c r="O47" s="6"/>
      <c r="P47" s="6"/>
      <c r="Q47" s="7"/>
    </row>
    <row r="48" spans="1:17" x14ac:dyDescent="0.3">
      <c r="A48" s="128" t="s">
        <v>67</v>
      </c>
      <c r="B48" s="129"/>
      <c r="C48" s="129"/>
      <c r="D48" s="129"/>
      <c r="E48" s="130"/>
      <c r="F48" s="13"/>
      <c r="G48" s="13"/>
      <c r="H48" s="13">
        <f t="shared" ref="H48:I48" si="0">50.63*3412</f>
        <v>172749.56</v>
      </c>
      <c r="I48" s="13">
        <f t="shared" si="0"/>
        <v>172749.56</v>
      </c>
      <c r="J48" s="13">
        <f>50.63*3412</f>
        <v>172749.56</v>
      </c>
      <c r="K48" s="14"/>
      <c r="L48" s="6"/>
      <c r="M48" s="6"/>
      <c r="N48" s="6"/>
      <c r="O48" s="6"/>
      <c r="P48" s="6"/>
      <c r="Q48" s="7"/>
    </row>
    <row r="49" spans="1:17" x14ac:dyDescent="0.3">
      <c r="A49" s="128" t="s">
        <v>68</v>
      </c>
      <c r="B49" s="129"/>
      <c r="C49" s="129"/>
      <c r="D49" s="129"/>
      <c r="E49" s="130"/>
      <c r="F49" s="28">
        <v>6</v>
      </c>
      <c r="G49" s="28">
        <v>6</v>
      </c>
      <c r="H49" s="28">
        <v>70.599999999999994</v>
      </c>
      <c r="I49" s="28">
        <v>70.599999999999994</v>
      </c>
      <c r="J49" s="28">
        <v>70.599999999999994</v>
      </c>
      <c r="K49" s="14"/>
      <c r="L49" s="6"/>
      <c r="M49" s="6"/>
      <c r="N49" s="6"/>
      <c r="O49" s="6"/>
      <c r="P49" s="6"/>
      <c r="Q49" s="7"/>
    </row>
    <row r="50" spans="1:17" ht="15" thickBot="1" x14ac:dyDescent="0.35">
      <c r="A50" s="128" t="s">
        <v>69</v>
      </c>
      <c r="B50" s="129"/>
      <c r="C50" s="129"/>
      <c r="D50" s="129"/>
      <c r="E50" s="130"/>
      <c r="F50" s="29">
        <v>4</v>
      </c>
      <c r="G50" s="29">
        <v>4</v>
      </c>
      <c r="H50" s="29">
        <v>47.19</v>
      </c>
      <c r="I50" s="29">
        <v>47.19</v>
      </c>
      <c r="J50" s="29">
        <v>47.19</v>
      </c>
      <c r="K50" s="14"/>
      <c r="L50" s="6"/>
      <c r="M50" s="6"/>
      <c r="N50" s="6"/>
      <c r="O50" s="6"/>
      <c r="P50" s="6"/>
      <c r="Q50" s="7"/>
    </row>
    <row r="51" spans="1:17" ht="15" thickBot="1" x14ac:dyDescent="0.35">
      <c r="A51" s="128" t="s">
        <v>70</v>
      </c>
      <c r="B51" s="129"/>
      <c r="C51" s="129"/>
      <c r="D51" s="129"/>
      <c r="E51" s="130"/>
      <c r="F51" s="143">
        <f>SUM(F49:J49)</f>
        <v>223.79999999999998</v>
      </c>
      <c r="G51" s="144"/>
      <c r="H51" s="144"/>
      <c r="I51" s="144"/>
      <c r="J51" s="145"/>
      <c r="K51" s="14"/>
      <c r="L51" s="6"/>
      <c r="M51" s="6"/>
      <c r="N51" s="6"/>
      <c r="O51" s="6"/>
      <c r="P51" s="6"/>
      <c r="Q51" s="7"/>
    </row>
    <row r="52" spans="1:17" ht="15" thickBot="1" x14ac:dyDescent="0.35">
      <c r="A52" s="134" t="s">
        <v>71</v>
      </c>
      <c r="B52" s="135"/>
      <c r="C52" s="135"/>
      <c r="D52" s="135"/>
      <c r="E52" s="136"/>
      <c r="F52" s="137">
        <f>SUM(F50:J50)</f>
        <v>149.57</v>
      </c>
      <c r="G52" s="138"/>
      <c r="H52" s="138"/>
      <c r="I52" s="138"/>
      <c r="J52" s="139"/>
      <c r="K52" s="30"/>
      <c r="L52" s="8"/>
      <c r="M52" s="8"/>
      <c r="N52" s="8"/>
      <c r="O52" s="8"/>
      <c r="P52" s="8"/>
      <c r="Q52" s="9"/>
    </row>
    <row r="53" spans="1:17" ht="15" thickBot="1" x14ac:dyDescent="0.35"/>
    <row r="54" spans="1:17" ht="15" thickBot="1" x14ac:dyDescent="0.35">
      <c r="A54" s="65" t="s">
        <v>72</v>
      </c>
      <c r="B54" s="66"/>
      <c r="C54" s="66"/>
      <c r="D54" s="66"/>
      <c r="E54" s="66"/>
      <c r="F54" s="66"/>
      <c r="G54" s="66"/>
      <c r="H54" s="66"/>
      <c r="I54" s="66"/>
      <c r="J54" s="67"/>
      <c r="K54" s="140" t="s">
        <v>73</v>
      </c>
      <c r="L54" s="67"/>
      <c r="N54" s="65" t="s">
        <v>74</v>
      </c>
      <c r="O54" s="66"/>
      <c r="P54" s="66"/>
      <c r="Q54" s="67"/>
    </row>
    <row r="55" spans="1:17" x14ac:dyDescent="0.3">
      <c r="A55" s="11"/>
      <c r="B55" s="31"/>
      <c r="C55" s="31"/>
      <c r="D55" s="31"/>
      <c r="E55" s="31"/>
      <c r="F55" s="31"/>
      <c r="G55" s="31"/>
      <c r="H55" s="31"/>
      <c r="I55" s="31"/>
      <c r="J55" s="32"/>
      <c r="K55" s="33" t="s">
        <v>30</v>
      </c>
      <c r="L55" s="20"/>
      <c r="N55" s="141" t="s">
        <v>75</v>
      </c>
      <c r="O55" s="142"/>
      <c r="P55" s="114" t="s">
        <v>76</v>
      </c>
      <c r="Q55" s="104"/>
    </row>
    <row r="56" spans="1:17" x14ac:dyDescent="0.3">
      <c r="A56" s="13"/>
      <c r="B56" s="34"/>
      <c r="C56" s="34"/>
      <c r="D56" s="34"/>
      <c r="E56" s="34"/>
      <c r="F56" s="34"/>
      <c r="G56" s="34"/>
      <c r="H56" s="34"/>
      <c r="I56" s="34"/>
      <c r="J56" s="35"/>
      <c r="K56" s="36" t="s">
        <v>29</v>
      </c>
      <c r="L56" s="37"/>
      <c r="N56" s="128" t="s">
        <v>77</v>
      </c>
      <c r="O56" s="130"/>
      <c r="P56" s="107"/>
      <c r="Q56" s="108"/>
    </row>
    <row r="57" spans="1:17" x14ac:dyDescent="0.3">
      <c r="A57" s="13"/>
      <c r="B57" s="34"/>
      <c r="C57" s="34"/>
      <c r="D57" s="34"/>
      <c r="E57" s="34"/>
      <c r="F57" s="34"/>
      <c r="G57" s="34"/>
      <c r="H57" s="34"/>
      <c r="I57" s="34"/>
      <c r="J57" s="35"/>
      <c r="K57" s="36" t="s">
        <v>78</v>
      </c>
      <c r="L57" s="37"/>
      <c r="N57" s="128" t="s">
        <v>77</v>
      </c>
      <c r="O57" s="130"/>
      <c r="P57" s="107"/>
      <c r="Q57" s="108"/>
    </row>
    <row r="58" spans="1:17" x14ac:dyDescent="0.3">
      <c r="A58" s="13"/>
      <c r="B58" s="34"/>
      <c r="C58" s="34"/>
      <c r="D58" s="34"/>
      <c r="E58" s="34"/>
      <c r="F58" s="34"/>
      <c r="G58" s="34"/>
      <c r="H58" s="34"/>
      <c r="I58" s="34"/>
      <c r="J58" s="35"/>
      <c r="K58" s="36" t="s">
        <v>79</v>
      </c>
      <c r="L58" s="37"/>
      <c r="N58" s="128" t="s">
        <v>80</v>
      </c>
      <c r="O58" s="130"/>
      <c r="P58" s="148" t="s">
        <v>81</v>
      </c>
      <c r="Q58" s="149"/>
    </row>
    <row r="59" spans="1:17" x14ac:dyDescent="0.3">
      <c r="A59" s="13"/>
      <c r="B59" s="34"/>
      <c r="C59" s="34"/>
      <c r="D59" s="34"/>
      <c r="E59" s="34"/>
      <c r="F59" s="34"/>
      <c r="G59" s="34"/>
      <c r="H59" s="34"/>
      <c r="I59" s="34"/>
      <c r="J59" s="35"/>
      <c r="K59" s="36" t="s">
        <v>82</v>
      </c>
      <c r="L59" s="37"/>
      <c r="N59" s="128" t="s">
        <v>83</v>
      </c>
      <c r="O59" s="130"/>
      <c r="P59" s="148" t="str">
        <f>I3</f>
        <v>ZAPATOCA FLORESTA</v>
      </c>
      <c r="Q59" s="149"/>
    </row>
    <row r="60" spans="1:17" x14ac:dyDescent="0.3">
      <c r="A60" s="13"/>
      <c r="B60" s="34"/>
      <c r="C60" s="34"/>
      <c r="D60" s="34"/>
      <c r="E60" s="34"/>
      <c r="F60" s="34"/>
      <c r="G60" s="34"/>
      <c r="H60" s="34"/>
      <c r="I60" s="34"/>
      <c r="J60" s="35"/>
      <c r="K60" s="36" t="s">
        <v>84</v>
      </c>
      <c r="L60" s="37" t="s">
        <v>91</v>
      </c>
      <c r="N60" s="128" t="s">
        <v>85</v>
      </c>
      <c r="O60" s="130"/>
      <c r="P60" s="107" t="s">
        <v>98</v>
      </c>
      <c r="Q60" s="108"/>
    </row>
    <row r="61" spans="1:17" x14ac:dyDescent="0.3">
      <c r="A61" s="13"/>
      <c r="B61" s="34"/>
      <c r="C61" s="34"/>
      <c r="D61" s="34"/>
      <c r="E61" s="34"/>
      <c r="F61" s="34"/>
      <c r="G61" s="34"/>
      <c r="H61" s="34"/>
      <c r="I61" s="34"/>
      <c r="J61" s="35"/>
      <c r="K61" s="36" t="s">
        <v>86</v>
      </c>
      <c r="L61" s="38">
        <v>85</v>
      </c>
      <c r="N61" s="128" t="s">
        <v>87</v>
      </c>
      <c r="O61" s="130"/>
      <c r="P61" s="107" t="s">
        <v>99</v>
      </c>
      <c r="Q61" s="108"/>
    </row>
    <row r="62" spans="1:17" ht="15" thickBot="1" x14ac:dyDescent="0.35">
      <c r="A62" s="39"/>
      <c r="B62" s="40"/>
      <c r="C62" s="40"/>
      <c r="D62" s="40"/>
      <c r="E62" s="40"/>
      <c r="F62" s="40"/>
      <c r="G62" s="40"/>
      <c r="H62" s="40"/>
      <c r="I62" s="40"/>
      <c r="J62" s="41"/>
      <c r="K62" s="42" t="s">
        <v>88</v>
      </c>
      <c r="L62" s="43"/>
      <c r="N62" s="134" t="s">
        <v>89</v>
      </c>
      <c r="O62" s="136"/>
      <c r="P62" s="146">
        <v>2</v>
      </c>
      <c r="Q62" s="147"/>
    </row>
  </sheetData>
  <mergeCells count="117">
    <mergeCell ref="N62:O62"/>
    <mergeCell ref="P62:Q62"/>
    <mergeCell ref="N59:O59"/>
    <mergeCell ref="P59:Q59"/>
    <mergeCell ref="N60:O60"/>
    <mergeCell ref="P60:Q60"/>
    <mergeCell ref="N61:O61"/>
    <mergeCell ref="P61:Q61"/>
    <mergeCell ref="N56:O56"/>
    <mergeCell ref="P56:Q56"/>
    <mergeCell ref="N57:O57"/>
    <mergeCell ref="P57:Q57"/>
    <mergeCell ref="N58:O58"/>
    <mergeCell ref="P58:Q58"/>
    <mergeCell ref="A52:E52"/>
    <mergeCell ref="F52:J52"/>
    <mergeCell ref="A54:J54"/>
    <mergeCell ref="K54:L54"/>
    <mergeCell ref="N54:Q54"/>
    <mergeCell ref="N55:O55"/>
    <mergeCell ref="P55:Q55"/>
    <mergeCell ref="A47:E47"/>
    <mergeCell ref="A48:E48"/>
    <mergeCell ref="A49:E49"/>
    <mergeCell ref="A50:E50"/>
    <mergeCell ref="A51:E51"/>
    <mergeCell ref="F51:J51"/>
    <mergeCell ref="A41:E41"/>
    <mergeCell ref="A42:E42"/>
    <mergeCell ref="A43:E43"/>
    <mergeCell ref="A44:E44"/>
    <mergeCell ref="A45:E45"/>
    <mergeCell ref="A46:E46"/>
    <mergeCell ref="A35:E35"/>
    <mergeCell ref="A36:E36"/>
    <mergeCell ref="A37:E37"/>
    <mergeCell ref="A38:E38"/>
    <mergeCell ref="A39:E39"/>
    <mergeCell ref="A40:E40"/>
    <mergeCell ref="E24:F24"/>
    <mergeCell ref="P29:Q29"/>
    <mergeCell ref="P30:Q30"/>
    <mergeCell ref="P31:Q31"/>
    <mergeCell ref="A33:J33"/>
    <mergeCell ref="A34:E34"/>
    <mergeCell ref="F34:G34"/>
    <mergeCell ref="H34:J34"/>
    <mergeCell ref="P24:Q24"/>
    <mergeCell ref="E25:F25"/>
    <mergeCell ref="P25:Q25"/>
    <mergeCell ref="A26:G26"/>
    <mergeCell ref="I26:Q26"/>
    <mergeCell ref="P28:Q28"/>
    <mergeCell ref="A12:G12"/>
    <mergeCell ref="I12:Q12"/>
    <mergeCell ref="A13:Q13"/>
    <mergeCell ref="A14:A25"/>
    <mergeCell ref="E14:F14"/>
    <mergeCell ref="P14:Q14"/>
    <mergeCell ref="E15:F15"/>
    <mergeCell ref="P15:Q15"/>
    <mergeCell ref="E16:F16"/>
    <mergeCell ref="E20:F20"/>
    <mergeCell ref="P20:Q20"/>
    <mergeCell ref="E21:F21"/>
    <mergeCell ref="P21:Q21"/>
    <mergeCell ref="P16:Q16"/>
    <mergeCell ref="E17:F17"/>
    <mergeCell ref="P17:Q17"/>
    <mergeCell ref="E18:F18"/>
    <mergeCell ref="P18:Q18"/>
    <mergeCell ref="E19:F19"/>
    <mergeCell ref="P19:Q19"/>
    <mergeCell ref="E22:F22"/>
    <mergeCell ref="P22:Q22"/>
    <mergeCell ref="E23:F23"/>
    <mergeCell ref="P23:Q23"/>
    <mergeCell ref="E8:F9"/>
    <mergeCell ref="G8:G9"/>
    <mergeCell ref="H8:H9"/>
    <mergeCell ref="I8:I9"/>
    <mergeCell ref="A10:A11"/>
    <mergeCell ref="B10:B11"/>
    <mergeCell ref="P10:Q10"/>
    <mergeCell ref="P11:Q11"/>
    <mergeCell ref="J8:K8"/>
    <mergeCell ref="L8:L9"/>
    <mergeCell ref="M8:M9"/>
    <mergeCell ref="N8:N9"/>
    <mergeCell ref="O8:O9"/>
    <mergeCell ref="P8:Q9"/>
    <mergeCell ref="E10:F10"/>
    <mergeCell ref="E11:F11"/>
    <mergeCell ref="B14:B17"/>
    <mergeCell ref="B18:B25"/>
    <mergeCell ref="G2:Q2"/>
    <mergeCell ref="G3:H3"/>
    <mergeCell ref="I3:J3"/>
    <mergeCell ref="K3:L3"/>
    <mergeCell ref="M3:N3"/>
    <mergeCell ref="O3:P3"/>
    <mergeCell ref="G4:H4"/>
    <mergeCell ref="I4:J4"/>
    <mergeCell ref="K4:L4"/>
    <mergeCell ref="M4:N4"/>
    <mergeCell ref="O4:P4"/>
    <mergeCell ref="G5:H5"/>
    <mergeCell ref="I5:J5"/>
    <mergeCell ref="K5:L5"/>
    <mergeCell ref="M5:N5"/>
    <mergeCell ref="O5:P5"/>
    <mergeCell ref="A7:I7"/>
    <mergeCell ref="J7:Q7"/>
    <mergeCell ref="A8:A9"/>
    <mergeCell ref="B8:B9"/>
    <mergeCell ref="C8:C9"/>
    <mergeCell ref="D8:D9"/>
  </mergeCells>
  <printOptions horizontalCentered="1" verticalCentered="1"/>
  <pageMargins left="0.7" right="0.7" top="0.75" bottom="0.75" header="0.3" footer="0.3"/>
  <pageSetup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Pardo</dc:creator>
  <cp:lastModifiedBy>Juan David Lozano</cp:lastModifiedBy>
  <cp:lastPrinted>2024-07-16T16:11:12Z</cp:lastPrinted>
  <dcterms:created xsi:type="dcterms:W3CDTF">2024-05-22T17:02:12Z</dcterms:created>
  <dcterms:modified xsi:type="dcterms:W3CDTF">2025-11-25T23:17:44Z</dcterms:modified>
</cp:coreProperties>
</file>