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 PARDO\carpetas clientes\Almacenes Exito\Licitaciones Exito\2025\CARULLA CASTILLA\"/>
    </mc:Choice>
  </mc:AlternateContent>
  <xr:revisionPtr revIDLastSave="0" documentId="13_ncr:1_{47A84750-ED4E-4D00-A9AF-3ED7671958F5}" xr6:coauthVersionLast="47" xr6:coauthVersionMax="47" xr10:uidLastSave="{00000000-0000-0000-0000-000000000000}"/>
  <bookViews>
    <workbookView xWindow="-108" yWindow="-108" windowWidth="23256" windowHeight="12456" xr2:uid="{989C8846-C7FC-4714-A1A5-1CF7A5E40963}"/>
  </bookViews>
  <sheets>
    <sheet name="Hoja1" sheetId="1" r:id="rId1"/>
  </sheets>
  <definedNames>
    <definedName name="_xlnm.Print_Area" localSheetId="0">Hoja1!$A$1:$Q$68</definedName>
  </definedNames>
  <calcPr calcId="191029" iterate="1" iterateCount="5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5" i="1" l="1"/>
  <c r="F58" i="1"/>
  <c r="F57" i="1"/>
  <c r="J54" i="1"/>
  <c r="I54" i="1"/>
  <c r="H54" i="1"/>
  <c r="P36" i="1" s="1"/>
  <c r="P37" i="1" s="1"/>
  <c r="G54" i="1"/>
  <c r="F54" i="1"/>
  <c r="J53" i="1"/>
  <c r="I53" i="1"/>
  <c r="H53" i="1"/>
  <c r="L35" i="1" s="1"/>
  <c r="G53" i="1"/>
  <c r="F53" i="1"/>
  <c r="K35" i="1" s="1"/>
  <c r="P35" i="1"/>
  <c r="D27" i="1"/>
  <c r="H27" i="1" s="1"/>
  <c r="D26" i="1"/>
  <c r="H26" i="1" s="1"/>
  <c r="D25" i="1"/>
  <c r="H25" i="1" s="1"/>
  <c r="H24" i="1"/>
  <c r="D24" i="1"/>
  <c r="D23" i="1"/>
  <c r="H23" i="1" s="1"/>
  <c r="D22" i="1"/>
  <c r="H22" i="1" s="1"/>
  <c r="D21" i="1"/>
  <c r="H21" i="1" s="1"/>
  <c r="D20" i="1"/>
  <c r="H20" i="1" s="1"/>
  <c r="D19" i="1"/>
  <c r="H19" i="1" s="1"/>
  <c r="H18" i="1"/>
  <c r="D18" i="1"/>
  <c r="D17" i="1"/>
  <c r="H17" i="1" s="1"/>
  <c r="D16" i="1"/>
  <c r="H16" i="1" s="1"/>
  <c r="D15" i="1"/>
  <c r="H15" i="1" s="1"/>
  <c r="H11" i="1"/>
  <c r="H10" i="1"/>
  <c r="H13" i="1" s="1"/>
  <c r="K36" i="1" s="1"/>
  <c r="H32" i="1" l="1"/>
  <c r="L36" i="1" s="1"/>
  <c r="L37" i="1" s="1"/>
  <c r="K37" i="1"/>
</calcChain>
</file>

<file path=xl/sharedStrings.xml><?xml version="1.0" encoding="utf-8"?>
<sst xmlns="http://schemas.openxmlformats.org/spreadsheetml/2006/main" count="200" uniqueCount="110">
  <si>
    <t>ESPECIFICACIONES TECNICAS</t>
  </si>
  <si>
    <t>Proyecto:</t>
  </si>
  <si>
    <t>CARULLA CASTILLA</t>
  </si>
  <si>
    <t>Tipo Sistema:</t>
  </si>
  <si>
    <t>Rack</t>
  </si>
  <si>
    <t>Voltaje Principal:</t>
  </si>
  <si>
    <t xml:space="preserve"> 220/60Hz/3PH</t>
  </si>
  <si>
    <t>Ciudad:</t>
  </si>
  <si>
    <t>BOGOTÁ</t>
  </si>
  <si>
    <t>Medidas:</t>
  </si>
  <si>
    <t>Voltaje Control:</t>
  </si>
  <si>
    <t xml:space="preserve"> 220/3PH + N + T</t>
  </si>
  <si>
    <t>T. Condensación:</t>
  </si>
  <si>
    <t>Refrigerante:</t>
  </si>
  <si>
    <t>R-449a</t>
  </si>
  <si>
    <t>Controlador:</t>
  </si>
  <si>
    <t>AKSM-880</t>
  </si>
  <si>
    <t>DESCRIPCIÓN TECNICA</t>
  </si>
  <si>
    <t>OBSERVACIONES</t>
  </si>
  <si>
    <t>SUCCION</t>
  </si>
  <si>
    <t>LOOP</t>
  </si>
  <si>
    <t>RAMAL</t>
  </si>
  <si>
    <t>DIM (FT)</t>
  </si>
  <si>
    <t>EQUIPO</t>
  </si>
  <si>
    <t>USO</t>
  </si>
  <si>
    <t>CARGA (BTU/Hr)</t>
  </si>
  <si>
    <t>Tevap (°F)</t>
  </si>
  <si>
    <t>EVAPORADORES</t>
  </si>
  <si>
    <t>CONTROL</t>
  </si>
  <si>
    <t>LIQUIDA</t>
  </si>
  <si>
    <t>DIRECCIÓN</t>
  </si>
  <si>
    <t>DESHIELO</t>
  </si>
  <si>
    <t>CANTIDAD</t>
  </si>
  <si>
    <t>MODELO</t>
  </si>
  <si>
    <t>BAJA</t>
  </si>
  <si>
    <t>MULTIPUERTA CONGELACIÓN</t>
  </si>
  <si>
    <t>CC</t>
  </si>
  <si>
    <t>DESHIELO ELECTRICO</t>
  </si>
  <si>
    <t>7 X 9 X 10</t>
  </si>
  <si>
    <t>CUARTO CONGELACIÓN</t>
  </si>
  <si>
    <t>WEF-1130</t>
  </si>
  <si>
    <t>CARGA TOTAL BAJA</t>
  </si>
  <si>
    <t>MEDIA</t>
  </si>
  <si>
    <t>AUTOSERVICIO ARGOS</t>
  </si>
  <si>
    <t>BEBIDAS</t>
  </si>
  <si>
    <t>DESHIELO POR TIEMPO</t>
  </si>
  <si>
    <t>CARNE</t>
  </si>
  <si>
    <t>VITRINA FENIX</t>
  </si>
  <si>
    <t>POLLO</t>
  </si>
  <si>
    <t>DELI</t>
  </si>
  <si>
    <t>LÁCTEOS</t>
  </si>
  <si>
    <t>FRUVER</t>
  </si>
  <si>
    <t>PANADERIA</t>
  </si>
  <si>
    <t>17 X 10 X 10</t>
  </si>
  <si>
    <t>CUARTO CONSERVACIÓN</t>
  </si>
  <si>
    <t>WED-500</t>
  </si>
  <si>
    <t>WED-250</t>
  </si>
  <si>
    <t>PREP</t>
  </si>
  <si>
    <t>WED-125</t>
  </si>
  <si>
    <t>CARGA TOTAL MEDIA</t>
  </si>
  <si>
    <t>RH</t>
  </si>
  <si>
    <t>CAP</t>
  </si>
  <si>
    <t>CARGA</t>
  </si>
  <si>
    <t>RESERVA %</t>
  </si>
  <si>
    <t>SISTEMA PARALELO</t>
  </si>
  <si>
    <t>COMPRESORES Y ACESORIOS</t>
  </si>
  <si>
    <t>POSICION DE  COMPRESOR EN EL RACK</t>
  </si>
  <si>
    <t>MODELO DE COMPRESOR</t>
  </si>
  <si>
    <t>H405CS</t>
  </si>
  <si>
    <t>H2201CC</t>
  </si>
  <si>
    <t>DEMAND COOLING / CIC</t>
  </si>
  <si>
    <t>Si</t>
  </si>
  <si>
    <t>NO</t>
  </si>
  <si>
    <t>VENTILADOR DE CABEZA</t>
  </si>
  <si>
    <t>SI</t>
  </si>
  <si>
    <t>CONTACTOR</t>
  </si>
  <si>
    <t>BREAKER</t>
  </si>
  <si>
    <t>CONTROL DE CAPACIDAD</t>
  </si>
  <si>
    <t>VARIADOR</t>
  </si>
  <si>
    <t>UNLOADER</t>
  </si>
  <si>
    <t>REGULADOR DE NIVEL DE ACEITE</t>
  </si>
  <si>
    <t>HP NOMINAL</t>
  </si>
  <si>
    <t>REFRIGERANTE</t>
  </si>
  <si>
    <t>TEMPERATURA  DE SUCCIÓN</t>
  </si>
  <si>
    <t>TEMPERATURA DE CONDENSACION</t>
  </si>
  <si>
    <t>CAPACIDAD   BTU/Hr</t>
  </si>
  <si>
    <t>RH   BTU/Hr</t>
  </si>
  <si>
    <t>RLA</t>
  </si>
  <si>
    <t>CONSUMO EN PUNTO DE OPERACIÓN</t>
  </si>
  <si>
    <t>RLA TOTAL</t>
  </si>
  <si>
    <t>CONSUMO TOTAL  PUNTO OPERACIÓN</t>
  </si>
  <si>
    <t>NOTAS:</t>
  </si>
  <si>
    <t>CONDENSADOR</t>
  </si>
  <si>
    <t>WESTON SAS - BOGOTA - COLOMBIA</t>
  </si>
  <si>
    <t>CALCULO</t>
  </si>
  <si>
    <t>ING. JAVIER PARDO</t>
  </si>
  <si>
    <t>REVISO</t>
  </si>
  <si>
    <t>CAPACIDAD</t>
  </si>
  <si>
    <t>RPM</t>
  </si>
  <si>
    <t>VENDEDOR</t>
  </si>
  <si>
    <t>WILSON LOZANO</t>
  </si>
  <si>
    <t>dBA</t>
  </si>
  <si>
    <t>CLIENTE</t>
  </si>
  <si>
    <t>REFR.</t>
  </si>
  <si>
    <t>FECHA</t>
  </si>
  <si>
    <t>AGOSTO 15 DE 2025</t>
  </si>
  <si>
    <t>T. COND</t>
  </si>
  <si>
    <t>ULRIMA REFORMA</t>
  </si>
  <si>
    <t>DIMENSION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</si>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</sst>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\°&quot;  F&quot;"/>
    <numFmt numFmtId="165" formatCode="0\ &quot;PUERTAS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0"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" fontId="5" fillId="2" borderId="1" xfId="0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9" fontId="5" fillId="0" borderId="33" xfId="0" applyNumberFormat="1" applyFont="1" applyBorder="1" applyAlignment="1">
      <alignment horizontal="center" vertical="center"/>
    </xf>
    <xf numFmtId="1" fontId="4" fillId="0" borderId="35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4" fillId="4" borderId="16" xfId="0" applyNumberFormat="1" applyFont="1" applyFill="1" applyBorder="1" applyAlignment="1">
      <alignment horizontal="center" vertical="center"/>
    </xf>
    <xf numFmtId="164" fontId="4" fillId="0" borderId="39" xfId="0" applyNumberFormat="1" applyFont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0" borderId="40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47" xfId="0" applyNumberFormat="1" applyFont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 vertical="center"/>
    </xf>
    <xf numFmtId="1" fontId="5" fillId="2" borderId="47" xfId="0" applyNumberFormat="1" applyFont="1" applyFill="1" applyBorder="1" applyAlignment="1">
      <alignment horizontal="left"/>
    </xf>
    <xf numFmtId="1" fontId="4" fillId="0" borderId="49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1" fontId="5" fillId="2" borderId="49" xfId="0" applyNumberFormat="1" applyFont="1" applyFill="1" applyBorder="1" applyAlignment="1">
      <alignment horizontal="left"/>
    </xf>
    <xf numFmtId="1" fontId="4" fillId="0" borderId="51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 vertical="center"/>
    </xf>
    <xf numFmtId="1" fontId="4" fillId="0" borderId="53" xfId="0" applyNumberFormat="1" applyFont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left"/>
    </xf>
    <xf numFmtId="1" fontId="4" fillId="0" borderId="54" xfId="0" applyNumberFormat="1" applyFont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1" fontId="4" fillId="0" borderId="1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1" fontId="4" fillId="0" borderId="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13" xfId="0" applyFont="1" applyFill="1" applyBorder="1" applyAlignment="1">
      <alignment horizontal="left"/>
    </xf>
    <xf numFmtId="2" fontId="5" fillId="0" borderId="44" xfId="0" applyNumberFormat="1" applyFont="1" applyBorder="1" applyAlignment="1">
      <alignment horizontal="center" vertical="center"/>
    </xf>
    <xf numFmtId="2" fontId="3" fillId="0" borderId="45" xfId="0" applyNumberFormat="1" applyFon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1" fontId="4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9" xfId="0" applyFont="1" applyFill="1" applyBorder="1" applyAlignment="1">
      <alignment horizontal="left"/>
    </xf>
    <xf numFmtId="2" fontId="5" fillId="0" borderId="41" xfId="0" applyNumberFormat="1" applyFont="1" applyBorder="1" applyAlignment="1">
      <alignment horizontal="center" vertical="center"/>
    </xf>
    <xf numFmtId="2" fontId="3" fillId="0" borderId="42" xfId="0" applyNumberFormat="1" applyFont="1" applyBorder="1" applyAlignment="1">
      <alignment horizontal="center" vertical="center"/>
    </xf>
    <xf numFmtId="2" fontId="3" fillId="0" borderId="43" xfId="0" applyNumberFormat="1" applyFont="1" applyBorder="1" applyAlignment="1">
      <alignment horizontal="center" vertical="center"/>
    </xf>
    <xf numFmtId="1" fontId="5" fillId="2" borderId="36" xfId="0" applyNumberFormat="1" applyFont="1" applyFill="1" applyBorder="1" applyAlignment="1">
      <alignment horizontal="left"/>
    </xf>
    <xf numFmtId="0" fontId="3" fillId="2" borderId="37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" fontId="5" fillId="2" borderId="16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" fontId="5" fillId="3" borderId="34" xfId="0" applyNumberFormat="1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" fontId="4" fillId="0" borderId="21" xfId="1" applyNumberFormat="1" applyFont="1" applyFill="1" applyBorder="1" applyAlignment="1">
      <alignment horizontal="center" vertical="center"/>
    </xf>
    <xf numFmtId="1" fontId="4" fillId="0" borderId="19" xfId="1" applyNumberFormat="1" applyFont="1" applyFill="1" applyBorder="1" applyAlignment="1">
      <alignment horizontal="center" vertical="center"/>
    </xf>
    <xf numFmtId="1" fontId="4" fillId="0" borderId="29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" fontId="5" fillId="2" borderId="1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64" fontId="4" fillId="0" borderId="13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5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" fontId="4" fillId="0" borderId="5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38883</xdr:rowOff>
    </xdr:from>
    <xdr:to>
      <xdr:col>5</xdr:col>
      <xdr:colOff>545039</xdr:colOff>
      <xdr:row>5</xdr:row>
      <xdr:rowOff>124061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389604-467A-4C74-B23A-D81C2B15F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38883"/>
          <a:ext cx="4042618" cy="999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2F4E-B610-4076-A8F8-E6328478606B}">
  <sheetPr>
    <pageSetUpPr fitToPage="1"/>
  </sheetPr>
  <dimension ref="A1:Q68"/>
  <sheetViews>
    <sheetView tabSelected="1" topLeftCell="E1" workbookViewId="0">
      <selection activeCell="H43" sqref="H43"/>
    </sheetView>
  </sheetViews>
  <sheetFormatPr baseColWidth="10" defaultColWidth="11.44140625" defaultRowHeight="14.4" x14ac:dyDescent="0.3"/>
  <cols>
    <col min="1" max="1" width="8.77734375" style="1" customWidth="1"/>
    <col min="2" max="3" width="6.77734375" style="1" customWidth="1"/>
    <col min="4" max="17" width="14.77734375" style="1" customWidth="1"/>
    <col min="18" max="16384" width="11.44140625" style="2"/>
  </cols>
  <sheetData>
    <row r="1" spans="1:17" ht="15" thickBot="1" x14ac:dyDescent="0.35"/>
    <row r="2" spans="1:17" ht="15" thickBot="1" x14ac:dyDescent="0.35">
      <c r="G2" s="60" t="s">
        <v>0</v>
      </c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1:17" x14ac:dyDescent="0.3">
      <c r="G3" s="127" t="s">
        <v>1</v>
      </c>
      <c r="H3" s="128"/>
      <c r="I3" s="129" t="s">
        <v>2</v>
      </c>
      <c r="J3" s="107"/>
      <c r="K3" s="127" t="s">
        <v>3</v>
      </c>
      <c r="L3" s="128"/>
      <c r="M3" s="129" t="s">
        <v>4</v>
      </c>
      <c r="N3" s="107"/>
      <c r="O3" s="127" t="s">
        <v>5</v>
      </c>
      <c r="P3" s="128"/>
      <c r="Q3" s="5" t="s">
        <v>6</v>
      </c>
    </row>
    <row r="4" spans="1:17" x14ac:dyDescent="0.3">
      <c r="G4" s="118" t="s">
        <v>7</v>
      </c>
      <c r="H4" s="119"/>
      <c r="I4" s="120" t="s">
        <v>8</v>
      </c>
      <c r="J4" s="90"/>
      <c r="K4" s="118" t="s">
        <v>9</v>
      </c>
      <c r="L4" s="119"/>
      <c r="M4" s="120"/>
      <c r="N4" s="90"/>
      <c r="O4" s="118" t="s">
        <v>10</v>
      </c>
      <c r="P4" s="119"/>
      <c r="Q4" s="7" t="s">
        <v>11</v>
      </c>
    </row>
    <row r="5" spans="1:17" ht="15" thickBot="1" x14ac:dyDescent="0.35">
      <c r="G5" s="121" t="s">
        <v>12</v>
      </c>
      <c r="H5" s="122"/>
      <c r="I5" s="123">
        <v>90</v>
      </c>
      <c r="J5" s="124"/>
      <c r="K5" s="121" t="s">
        <v>13</v>
      </c>
      <c r="L5" s="122"/>
      <c r="M5" s="125" t="s">
        <v>14</v>
      </c>
      <c r="N5" s="126"/>
      <c r="O5" s="121" t="s">
        <v>15</v>
      </c>
      <c r="P5" s="122"/>
      <c r="Q5" s="9" t="s">
        <v>16</v>
      </c>
    </row>
    <row r="6" spans="1:17" ht="15" thickBot="1" x14ac:dyDescent="0.35"/>
    <row r="7" spans="1:17" ht="15" thickBot="1" x14ac:dyDescent="0.35">
      <c r="A7" s="82" t="s">
        <v>17</v>
      </c>
      <c r="B7" s="81"/>
      <c r="C7" s="81"/>
      <c r="D7" s="81"/>
      <c r="E7" s="81"/>
      <c r="F7" s="81"/>
      <c r="G7" s="81"/>
      <c r="H7" s="81"/>
      <c r="I7" s="81"/>
      <c r="J7" s="82" t="s">
        <v>18</v>
      </c>
      <c r="K7" s="81"/>
      <c r="L7" s="61"/>
      <c r="M7" s="61"/>
      <c r="N7" s="61"/>
      <c r="O7" s="61"/>
      <c r="P7" s="61"/>
      <c r="Q7" s="62"/>
    </row>
    <row r="8" spans="1:17" ht="15" thickBot="1" x14ac:dyDescent="0.35">
      <c r="A8" s="115" t="s">
        <v>19</v>
      </c>
      <c r="B8" s="115" t="s">
        <v>20</v>
      </c>
      <c r="C8" s="115" t="s">
        <v>21</v>
      </c>
      <c r="D8" s="115" t="s">
        <v>22</v>
      </c>
      <c r="E8" s="115" t="s">
        <v>23</v>
      </c>
      <c r="F8" s="116"/>
      <c r="G8" s="115" t="s">
        <v>24</v>
      </c>
      <c r="H8" s="115" t="s">
        <v>25</v>
      </c>
      <c r="I8" s="117" t="s">
        <v>26</v>
      </c>
      <c r="J8" s="60" t="s">
        <v>27</v>
      </c>
      <c r="K8" s="61"/>
      <c r="L8" s="60" t="s">
        <v>28</v>
      </c>
      <c r="M8" s="60" t="s">
        <v>19</v>
      </c>
      <c r="N8" s="60" t="s">
        <v>29</v>
      </c>
      <c r="O8" s="60" t="s">
        <v>30</v>
      </c>
      <c r="P8" s="60" t="s">
        <v>31</v>
      </c>
      <c r="Q8" s="62"/>
    </row>
    <row r="9" spans="1:17" ht="15" thickBot="1" x14ac:dyDescent="0.35">
      <c r="A9" s="113"/>
      <c r="B9" s="113"/>
      <c r="C9" s="113"/>
      <c r="D9" s="113"/>
      <c r="E9" s="113"/>
      <c r="F9" s="116"/>
      <c r="G9" s="113"/>
      <c r="H9" s="113"/>
      <c r="I9" s="113"/>
      <c r="J9" s="3" t="s">
        <v>32</v>
      </c>
      <c r="K9" s="3" t="s">
        <v>33</v>
      </c>
      <c r="L9" s="113"/>
      <c r="M9" s="113"/>
      <c r="N9" s="113"/>
      <c r="O9" s="113"/>
      <c r="P9" s="113"/>
      <c r="Q9" s="114"/>
    </row>
    <row r="10" spans="1:17" x14ac:dyDescent="0.3">
      <c r="A10" s="75" t="s">
        <v>34</v>
      </c>
      <c r="B10" s="108">
        <v>1</v>
      </c>
      <c r="C10" s="11">
        <v>1</v>
      </c>
      <c r="D10" s="12">
        <v>10</v>
      </c>
      <c r="E10" s="66" t="s">
        <v>35</v>
      </c>
      <c r="F10" s="107"/>
      <c r="G10" s="11" t="s">
        <v>36</v>
      </c>
      <c r="H10" s="11">
        <f>D10*1390</f>
        <v>13900</v>
      </c>
      <c r="I10" s="14">
        <v>-25</v>
      </c>
      <c r="J10" s="11"/>
      <c r="K10" s="11"/>
      <c r="L10" s="11"/>
      <c r="M10" s="11"/>
      <c r="N10" s="11"/>
      <c r="O10" s="11"/>
      <c r="P10" s="109" t="s">
        <v>37</v>
      </c>
      <c r="Q10" s="110"/>
    </row>
    <row r="11" spans="1:17" x14ac:dyDescent="0.3">
      <c r="A11" s="103"/>
      <c r="B11" s="96"/>
      <c r="C11" s="15">
        <v>2</v>
      </c>
      <c r="D11" s="16">
        <v>4</v>
      </c>
      <c r="E11" s="54" t="s">
        <v>35</v>
      </c>
      <c r="F11" s="90"/>
      <c r="G11" s="15" t="s">
        <v>36</v>
      </c>
      <c r="H11" s="15">
        <f>D11*1390</f>
        <v>5560</v>
      </c>
      <c r="I11" s="18">
        <v>-25</v>
      </c>
      <c r="J11" s="15"/>
      <c r="K11" s="15"/>
      <c r="L11" s="15"/>
      <c r="M11" s="15"/>
      <c r="N11" s="15"/>
      <c r="O11" s="15"/>
      <c r="P11" s="88" t="s">
        <v>37</v>
      </c>
      <c r="Q11" s="89"/>
    </row>
    <row r="12" spans="1:17" ht="15" thickBot="1" x14ac:dyDescent="0.35">
      <c r="A12" s="103"/>
      <c r="B12" s="97"/>
      <c r="C12" s="19">
        <v>3</v>
      </c>
      <c r="D12" s="19" t="s">
        <v>38</v>
      </c>
      <c r="E12" s="77" t="s">
        <v>39</v>
      </c>
      <c r="F12" s="91"/>
      <c r="G12" s="19" t="s">
        <v>36</v>
      </c>
      <c r="H12" s="19">
        <v>7934.9999999999991</v>
      </c>
      <c r="I12" s="20">
        <v>-25</v>
      </c>
      <c r="J12" s="19">
        <v>1</v>
      </c>
      <c r="K12" s="19" t="s">
        <v>40</v>
      </c>
      <c r="L12" s="19"/>
      <c r="M12" s="19"/>
      <c r="N12" s="19"/>
      <c r="O12" s="19"/>
      <c r="P12" s="111" t="s">
        <v>37</v>
      </c>
      <c r="Q12" s="112"/>
    </row>
    <row r="13" spans="1:17" ht="15" thickBot="1" x14ac:dyDescent="0.35">
      <c r="A13" s="75" t="s">
        <v>41</v>
      </c>
      <c r="B13" s="99"/>
      <c r="C13" s="99"/>
      <c r="D13" s="99"/>
      <c r="E13" s="99"/>
      <c r="F13" s="99"/>
      <c r="G13" s="99"/>
      <c r="H13" s="10">
        <f>SUM(H10:H12)</f>
        <v>27395</v>
      </c>
      <c r="I13" s="100"/>
      <c r="J13" s="101"/>
      <c r="K13" s="101"/>
      <c r="L13" s="101"/>
      <c r="M13" s="101"/>
      <c r="N13" s="101"/>
      <c r="O13" s="101"/>
      <c r="P13" s="101"/>
      <c r="Q13" s="102"/>
    </row>
    <row r="14" spans="1:17" ht="15" thickBot="1" x14ac:dyDescent="0.35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2"/>
    </row>
    <row r="15" spans="1:17" x14ac:dyDescent="0.3">
      <c r="A15" s="75" t="s">
        <v>42</v>
      </c>
      <c r="B15" s="104">
        <v>2</v>
      </c>
      <c r="C15" s="11">
        <v>4</v>
      </c>
      <c r="D15" s="11">
        <f>8.75*3.28</f>
        <v>28.7</v>
      </c>
      <c r="E15" s="66" t="s">
        <v>43</v>
      </c>
      <c r="F15" s="107"/>
      <c r="G15" s="11" t="s">
        <v>44</v>
      </c>
      <c r="H15" s="11">
        <f>D15*1485</f>
        <v>42619.5</v>
      </c>
      <c r="I15" s="11">
        <v>20</v>
      </c>
      <c r="J15" s="11"/>
      <c r="K15" s="11"/>
      <c r="L15" s="11"/>
      <c r="M15" s="11"/>
      <c r="N15" s="11"/>
      <c r="O15" s="11"/>
      <c r="P15" s="66" t="s">
        <v>45</v>
      </c>
      <c r="Q15" s="67"/>
    </row>
    <row r="16" spans="1:17" x14ac:dyDescent="0.3">
      <c r="A16" s="103"/>
      <c r="B16" s="105"/>
      <c r="C16" s="15">
        <v>5</v>
      </c>
      <c r="D16" s="15">
        <f>7.5*3.28</f>
        <v>24.599999999999998</v>
      </c>
      <c r="E16" s="54" t="s">
        <v>43</v>
      </c>
      <c r="F16" s="90"/>
      <c r="G16" s="15" t="s">
        <v>44</v>
      </c>
      <c r="H16" s="15">
        <f>D16*1485</f>
        <v>36531</v>
      </c>
      <c r="I16" s="15">
        <v>20</v>
      </c>
      <c r="J16" s="15"/>
      <c r="K16" s="15"/>
      <c r="L16" s="15"/>
      <c r="M16" s="15"/>
      <c r="N16" s="15"/>
      <c r="O16" s="15"/>
      <c r="P16" s="54" t="s">
        <v>45</v>
      </c>
      <c r="Q16" s="55"/>
    </row>
    <row r="17" spans="1:17" x14ac:dyDescent="0.3">
      <c r="A17" s="103"/>
      <c r="B17" s="106"/>
      <c r="C17" s="15">
        <v>6</v>
      </c>
      <c r="D17" s="15">
        <f>7.5*3.28</f>
        <v>24.599999999999998</v>
      </c>
      <c r="E17" s="54" t="s">
        <v>43</v>
      </c>
      <c r="F17" s="90"/>
      <c r="G17" s="15" t="s">
        <v>46</v>
      </c>
      <c r="H17" s="15">
        <f>D17*1924</f>
        <v>47330.399999999994</v>
      </c>
      <c r="I17" s="18">
        <v>15</v>
      </c>
      <c r="J17" s="15"/>
      <c r="K17" s="15"/>
      <c r="L17" s="15"/>
      <c r="M17" s="15"/>
      <c r="N17" s="15"/>
      <c r="O17" s="15"/>
      <c r="P17" s="88" t="s">
        <v>37</v>
      </c>
      <c r="Q17" s="89"/>
    </row>
    <row r="18" spans="1:17" x14ac:dyDescent="0.3">
      <c r="A18" s="103"/>
      <c r="B18" s="95">
        <v>3</v>
      </c>
      <c r="C18" s="15">
        <v>7</v>
      </c>
      <c r="D18" s="15">
        <f>3.75*3.28</f>
        <v>12.299999999999999</v>
      </c>
      <c r="E18" s="54" t="s">
        <v>43</v>
      </c>
      <c r="F18" s="90"/>
      <c r="G18" s="15" t="s">
        <v>46</v>
      </c>
      <c r="H18" s="15">
        <f>D18*1924</f>
        <v>23665.199999999997</v>
      </c>
      <c r="I18" s="18">
        <v>15</v>
      </c>
      <c r="J18" s="15"/>
      <c r="K18" s="15"/>
      <c r="L18" s="15"/>
      <c r="M18" s="15"/>
      <c r="N18" s="15"/>
      <c r="O18" s="15"/>
      <c r="P18" s="88" t="s">
        <v>37</v>
      </c>
      <c r="Q18" s="89"/>
    </row>
    <row r="19" spans="1:17" x14ac:dyDescent="0.3">
      <c r="A19" s="103"/>
      <c r="B19" s="96"/>
      <c r="C19" s="15">
        <v>8</v>
      </c>
      <c r="D19" s="15">
        <f>2.5*3.28</f>
        <v>8.1999999999999993</v>
      </c>
      <c r="E19" s="54" t="s">
        <v>47</v>
      </c>
      <c r="F19" s="90"/>
      <c r="G19" s="15" t="s">
        <v>46</v>
      </c>
      <c r="H19" s="15">
        <f>D19*426</f>
        <v>3493.2</v>
      </c>
      <c r="I19" s="18">
        <v>15</v>
      </c>
      <c r="J19" s="15"/>
      <c r="K19" s="15"/>
      <c r="L19" s="15"/>
      <c r="M19" s="15"/>
      <c r="N19" s="15"/>
      <c r="O19" s="15"/>
      <c r="P19" s="88" t="s">
        <v>37</v>
      </c>
      <c r="Q19" s="89"/>
    </row>
    <row r="20" spans="1:17" x14ac:dyDescent="0.3">
      <c r="A20" s="103"/>
      <c r="B20" s="96"/>
      <c r="C20" s="15">
        <v>9</v>
      </c>
      <c r="D20" s="15">
        <f>2.5*3.28</f>
        <v>8.1999999999999993</v>
      </c>
      <c r="E20" s="54" t="s">
        <v>47</v>
      </c>
      <c r="F20" s="90"/>
      <c r="G20" s="15" t="s">
        <v>48</v>
      </c>
      <c r="H20" s="15">
        <f>D20*426</f>
        <v>3493.2</v>
      </c>
      <c r="I20" s="18">
        <v>15</v>
      </c>
      <c r="J20" s="15"/>
      <c r="K20" s="15"/>
      <c r="L20" s="15"/>
      <c r="M20" s="15"/>
      <c r="N20" s="15"/>
      <c r="O20" s="15"/>
      <c r="P20" s="88" t="s">
        <v>37</v>
      </c>
      <c r="Q20" s="89"/>
    </row>
    <row r="21" spans="1:17" x14ac:dyDescent="0.3">
      <c r="A21" s="103"/>
      <c r="B21" s="96"/>
      <c r="C21" s="15">
        <v>10</v>
      </c>
      <c r="D21" s="15">
        <f>11.25*3.28</f>
        <v>36.9</v>
      </c>
      <c r="E21" s="54" t="s">
        <v>47</v>
      </c>
      <c r="F21" s="90"/>
      <c r="G21" s="15" t="s">
        <v>46</v>
      </c>
      <c r="H21" s="15">
        <f>D21*426</f>
        <v>15719.4</v>
      </c>
      <c r="I21" s="18">
        <v>15</v>
      </c>
      <c r="J21" s="15"/>
      <c r="K21" s="15"/>
      <c r="L21" s="15"/>
      <c r="M21" s="15"/>
      <c r="N21" s="15"/>
      <c r="O21" s="15"/>
      <c r="P21" s="88" t="s">
        <v>37</v>
      </c>
      <c r="Q21" s="89"/>
    </row>
    <row r="22" spans="1:17" x14ac:dyDescent="0.3">
      <c r="A22" s="103"/>
      <c r="B22" s="96"/>
      <c r="C22" s="15">
        <v>11</v>
      </c>
      <c r="D22" s="15">
        <f>7.25*3.28</f>
        <v>23.779999999999998</v>
      </c>
      <c r="E22" s="54" t="s">
        <v>47</v>
      </c>
      <c r="F22" s="90"/>
      <c r="G22" s="15" t="s">
        <v>49</v>
      </c>
      <c r="H22" s="15">
        <f>D22*426</f>
        <v>10130.279999999999</v>
      </c>
      <c r="I22" s="15">
        <v>20</v>
      </c>
      <c r="J22" s="15"/>
      <c r="K22" s="15"/>
      <c r="L22" s="15"/>
      <c r="M22" s="15"/>
      <c r="N22" s="15"/>
      <c r="O22" s="15"/>
      <c r="P22" s="54" t="s">
        <v>45</v>
      </c>
      <c r="Q22" s="55"/>
    </row>
    <row r="23" spans="1:17" x14ac:dyDescent="0.3">
      <c r="A23" s="103"/>
      <c r="B23" s="96"/>
      <c r="C23" s="15">
        <v>12</v>
      </c>
      <c r="D23" s="15">
        <f>10.75*3.28</f>
        <v>35.26</v>
      </c>
      <c r="E23" s="54" t="s">
        <v>47</v>
      </c>
      <c r="F23" s="90"/>
      <c r="G23" s="15" t="s">
        <v>49</v>
      </c>
      <c r="H23" s="15">
        <f>D23*426</f>
        <v>15020.759999999998</v>
      </c>
      <c r="I23" s="15">
        <v>20</v>
      </c>
      <c r="J23" s="15"/>
      <c r="K23" s="15"/>
      <c r="L23" s="15"/>
      <c r="M23" s="15"/>
      <c r="N23" s="15"/>
      <c r="O23" s="15"/>
      <c r="P23" s="54" t="s">
        <v>45</v>
      </c>
      <c r="Q23" s="55"/>
    </row>
    <row r="24" spans="1:17" x14ac:dyDescent="0.3">
      <c r="A24" s="103"/>
      <c r="B24" s="96"/>
      <c r="C24" s="15">
        <v>13</v>
      </c>
      <c r="D24" s="15">
        <f>7.5*3.28</f>
        <v>24.599999999999998</v>
      </c>
      <c r="E24" s="54" t="s">
        <v>43</v>
      </c>
      <c r="F24" s="90"/>
      <c r="G24" s="15" t="s">
        <v>50</v>
      </c>
      <c r="H24" s="15">
        <f>D24*1485</f>
        <v>36531</v>
      </c>
      <c r="I24" s="15">
        <v>20</v>
      </c>
      <c r="J24" s="15"/>
      <c r="K24" s="15"/>
      <c r="L24" s="15"/>
      <c r="M24" s="15"/>
      <c r="N24" s="15"/>
      <c r="O24" s="15"/>
      <c r="P24" s="54" t="s">
        <v>45</v>
      </c>
      <c r="Q24" s="55"/>
    </row>
    <row r="25" spans="1:17" ht="16.2" customHeight="1" x14ac:dyDescent="0.3">
      <c r="A25" s="103"/>
      <c r="B25" s="98"/>
      <c r="C25" s="15">
        <v>14</v>
      </c>
      <c r="D25" s="15">
        <f>7.5*3.28</f>
        <v>24.599999999999998</v>
      </c>
      <c r="E25" s="54" t="s">
        <v>43</v>
      </c>
      <c r="F25" s="90"/>
      <c r="G25" s="15" t="s">
        <v>50</v>
      </c>
      <c r="H25" s="15">
        <f>D25*1485</f>
        <v>36531</v>
      </c>
      <c r="I25" s="15">
        <v>20</v>
      </c>
      <c r="J25" s="15"/>
      <c r="K25" s="15"/>
      <c r="L25" s="15"/>
      <c r="M25" s="15"/>
      <c r="N25" s="15"/>
      <c r="O25" s="15"/>
      <c r="P25" s="54" t="s">
        <v>45</v>
      </c>
      <c r="Q25" s="55"/>
    </row>
    <row r="26" spans="1:17" x14ac:dyDescent="0.3">
      <c r="A26" s="103"/>
      <c r="B26" s="95">
        <v>3</v>
      </c>
      <c r="C26" s="15">
        <v>15</v>
      </c>
      <c r="D26" s="15">
        <f>11.25*3.28</f>
        <v>36.9</v>
      </c>
      <c r="E26" s="54" t="s">
        <v>43</v>
      </c>
      <c r="F26" s="90"/>
      <c r="G26" s="15" t="s">
        <v>51</v>
      </c>
      <c r="H26" s="15">
        <f>D26*1485</f>
        <v>54796.5</v>
      </c>
      <c r="I26" s="15">
        <v>25</v>
      </c>
      <c r="J26" s="15"/>
      <c r="K26" s="15"/>
      <c r="L26" s="15"/>
      <c r="M26" s="15"/>
      <c r="N26" s="15"/>
      <c r="O26" s="15"/>
      <c r="P26" s="54" t="s">
        <v>45</v>
      </c>
      <c r="Q26" s="55"/>
    </row>
    <row r="27" spans="1:17" x14ac:dyDescent="0.3">
      <c r="A27" s="103"/>
      <c r="B27" s="96"/>
      <c r="C27" s="15">
        <v>16</v>
      </c>
      <c r="D27" s="15">
        <f>1.25*3.28</f>
        <v>4.0999999999999996</v>
      </c>
      <c r="E27" s="54" t="s">
        <v>43</v>
      </c>
      <c r="F27" s="90"/>
      <c r="G27" s="15" t="s">
        <v>52</v>
      </c>
      <c r="H27" s="15">
        <f>D27*1485</f>
        <v>6088.4999999999991</v>
      </c>
      <c r="I27" s="15">
        <v>20</v>
      </c>
      <c r="J27" s="15"/>
      <c r="K27" s="15"/>
      <c r="L27" s="15"/>
      <c r="M27" s="15"/>
      <c r="N27" s="15"/>
      <c r="O27" s="15"/>
      <c r="P27" s="54" t="s">
        <v>45</v>
      </c>
      <c r="Q27" s="55"/>
    </row>
    <row r="28" spans="1:17" x14ac:dyDescent="0.3">
      <c r="A28" s="103"/>
      <c r="B28" s="96"/>
      <c r="C28" s="15">
        <v>17</v>
      </c>
      <c r="D28" s="15" t="s">
        <v>53</v>
      </c>
      <c r="E28" s="54" t="s">
        <v>54</v>
      </c>
      <c r="F28" s="90"/>
      <c r="G28" s="15" t="s">
        <v>46</v>
      </c>
      <c r="H28" s="15">
        <v>15007.499999999998</v>
      </c>
      <c r="I28" s="18">
        <v>15</v>
      </c>
      <c r="J28" s="15">
        <v>1</v>
      </c>
      <c r="K28" s="15" t="s">
        <v>55</v>
      </c>
      <c r="L28" s="15"/>
      <c r="M28" s="15"/>
      <c r="N28" s="15"/>
      <c r="O28" s="15"/>
      <c r="P28" s="88" t="s">
        <v>37</v>
      </c>
      <c r="Q28" s="89"/>
    </row>
    <row r="29" spans="1:17" x14ac:dyDescent="0.3">
      <c r="A29" s="103"/>
      <c r="B29" s="96"/>
      <c r="C29" s="15">
        <v>18</v>
      </c>
      <c r="D29" s="15" t="s">
        <v>38</v>
      </c>
      <c r="E29" s="54" t="s">
        <v>54</v>
      </c>
      <c r="F29" s="90"/>
      <c r="G29" s="15" t="s">
        <v>48</v>
      </c>
      <c r="H29" s="15">
        <v>7359.9999999999991</v>
      </c>
      <c r="I29" s="18">
        <v>15</v>
      </c>
      <c r="J29" s="15">
        <v>1</v>
      </c>
      <c r="K29" s="15" t="s">
        <v>56</v>
      </c>
      <c r="L29" s="15"/>
      <c r="M29" s="15"/>
      <c r="N29" s="15"/>
      <c r="O29" s="15"/>
      <c r="P29" s="88" t="s">
        <v>37</v>
      </c>
      <c r="Q29" s="89"/>
    </row>
    <row r="30" spans="1:17" x14ac:dyDescent="0.3">
      <c r="A30" s="103"/>
      <c r="B30" s="96"/>
      <c r="C30" s="15">
        <v>19</v>
      </c>
      <c r="D30" s="15" t="s">
        <v>38</v>
      </c>
      <c r="E30" s="54" t="s">
        <v>54</v>
      </c>
      <c r="F30" s="90"/>
      <c r="G30" s="15" t="s">
        <v>50</v>
      </c>
      <c r="H30" s="15">
        <v>6669.9999999999991</v>
      </c>
      <c r="I30" s="15">
        <v>20</v>
      </c>
      <c r="J30" s="15">
        <v>1</v>
      </c>
      <c r="K30" s="15" t="s">
        <v>40</v>
      </c>
      <c r="L30" s="15"/>
      <c r="M30" s="15"/>
      <c r="N30" s="15"/>
      <c r="O30" s="15"/>
      <c r="P30" s="54" t="s">
        <v>45</v>
      </c>
      <c r="Q30" s="55"/>
    </row>
    <row r="31" spans="1:17" ht="15" thickBot="1" x14ac:dyDescent="0.35">
      <c r="A31" s="103"/>
      <c r="B31" s="97"/>
      <c r="C31" s="19">
        <v>20</v>
      </c>
      <c r="D31" s="19" t="s">
        <v>38</v>
      </c>
      <c r="E31" s="77" t="s">
        <v>54</v>
      </c>
      <c r="F31" s="91"/>
      <c r="G31" s="19" t="s">
        <v>57</v>
      </c>
      <c r="H31" s="19">
        <v>5402.7</v>
      </c>
      <c r="I31" s="19">
        <v>32</v>
      </c>
      <c r="J31" s="19">
        <v>1</v>
      </c>
      <c r="K31" s="19" t="s">
        <v>58</v>
      </c>
      <c r="L31" s="19"/>
      <c r="M31" s="19"/>
      <c r="N31" s="19"/>
      <c r="O31" s="19"/>
      <c r="P31" s="77" t="s">
        <v>45</v>
      </c>
      <c r="Q31" s="78"/>
    </row>
    <row r="32" spans="1:17" ht="15" thickBot="1" x14ac:dyDescent="0.35">
      <c r="A32" s="92" t="s">
        <v>59</v>
      </c>
      <c r="B32" s="93"/>
      <c r="C32" s="93"/>
      <c r="D32" s="93"/>
      <c r="E32" s="93"/>
      <c r="F32" s="93"/>
      <c r="G32" s="93"/>
      <c r="H32" s="22">
        <f>SUM(H15:H31)</f>
        <v>366390.14</v>
      </c>
      <c r="I32" s="79"/>
      <c r="J32" s="94"/>
      <c r="K32" s="94"/>
      <c r="L32" s="94"/>
      <c r="M32" s="94"/>
      <c r="N32" s="94"/>
      <c r="O32" s="94"/>
      <c r="P32" s="94"/>
      <c r="Q32" s="80"/>
    </row>
    <row r="33" spans="1:17" ht="15" thickBot="1" x14ac:dyDescent="0.35"/>
    <row r="34" spans="1:17" ht="15" thickBot="1" x14ac:dyDescent="0.35">
      <c r="K34" s="10" t="s">
        <v>34</v>
      </c>
      <c r="L34" s="23" t="s">
        <v>42</v>
      </c>
      <c r="P34" s="75" t="s">
        <v>60</v>
      </c>
      <c r="Q34" s="76"/>
    </row>
    <row r="35" spans="1:17" ht="15" thickBot="1" x14ac:dyDescent="0.35">
      <c r="J35" s="10" t="s">
        <v>61</v>
      </c>
      <c r="K35" s="11">
        <f>SUM(F53:G53)</f>
        <v>32755.199999999997</v>
      </c>
      <c r="L35" s="24">
        <f>SUM(H53:J53)</f>
        <v>457242.12</v>
      </c>
      <c r="P35" s="66">
        <f>SUM(F54:G54)</f>
        <v>53022.479999999996</v>
      </c>
      <c r="Q35" s="67"/>
    </row>
    <row r="36" spans="1:17" ht="15" thickBot="1" x14ac:dyDescent="0.35">
      <c r="J36" s="10" t="s">
        <v>62</v>
      </c>
      <c r="K36" s="19">
        <f>H13</f>
        <v>27395</v>
      </c>
      <c r="L36" s="21">
        <f>H32</f>
        <v>366390.14</v>
      </c>
      <c r="P36" s="77">
        <f>SUM(H54:J54)</f>
        <v>619073.27999999991</v>
      </c>
      <c r="Q36" s="78"/>
    </row>
    <row r="37" spans="1:17" ht="15" thickBot="1" x14ac:dyDescent="0.35">
      <c r="J37" s="22" t="s">
        <v>63</v>
      </c>
      <c r="K37" s="25">
        <f>(K35-K36)/K36</f>
        <v>0.19566344223398419</v>
      </c>
      <c r="L37" s="26">
        <f>(L35-L36)/L36</f>
        <v>0.24796513355954386</v>
      </c>
      <c r="P37" s="79">
        <f>P35+P36</f>
        <v>672095.75999999989</v>
      </c>
      <c r="Q37" s="80"/>
    </row>
    <row r="38" spans="1:17" ht="15" thickBot="1" x14ac:dyDescent="0.35"/>
    <row r="39" spans="1:17" ht="15" thickBot="1" x14ac:dyDescent="0.35">
      <c r="A39" s="60" t="s">
        <v>64</v>
      </c>
      <c r="B39" s="61"/>
      <c r="C39" s="61"/>
      <c r="D39" s="61"/>
      <c r="E39" s="61"/>
      <c r="F39" s="81"/>
      <c r="G39" s="81"/>
      <c r="H39" s="81"/>
      <c r="I39" s="81"/>
      <c r="J39" s="81"/>
      <c r="K39" s="13"/>
      <c r="L39" s="4"/>
      <c r="M39" s="4"/>
      <c r="N39" s="4"/>
      <c r="O39" s="4"/>
      <c r="P39" s="4"/>
      <c r="Q39" s="5"/>
    </row>
    <row r="40" spans="1:17" ht="15" thickBot="1" x14ac:dyDescent="0.35">
      <c r="A40" s="82" t="s">
        <v>65</v>
      </c>
      <c r="B40" s="81"/>
      <c r="C40" s="81"/>
      <c r="D40" s="81"/>
      <c r="E40" s="83"/>
      <c r="F40" s="84" t="s">
        <v>34</v>
      </c>
      <c r="G40" s="85"/>
      <c r="H40" s="86" t="s">
        <v>42</v>
      </c>
      <c r="I40" s="87"/>
      <c r="J40" s="87"/>
      <c r="K40" s="17"/>
      <c r="L40" s="6"/>
      <c r="M40" s="6"/>
      <c r="N40" s="6"/>
      <c r="O40" s="6"/>
      <c r="P40" s="6"/>
      <c r="Q40" s="7"/>
    </row>
    <row r="41" spans="1:17" ht="15" thickBot="1" x14ac:dyDescent="0.35">
      <c r="A41" s="72" t="s">
        <v>66</v>
      </c>
      <c r="B41" s="73"/>
      <c r="C41" s="73"/>
      <c r="D41" s="73"/>
      <c r="E41" s="74"/>
      <c r="F41" s="27">
        <v>1</v>
      </c>
      <c r="G41" s="27">
        <v>2</v>
      </c>
      <c r="H41" s="27">
        <v>3</v>
      </c>
      <c r="I41" s="27">
        <v>4</v>
      </c>
      <c r="J41" s="27">
        <v>5</v>
      </c>
      <c r="K41" s="17"/>
      <c r="L41" s="6"/>
      <c r="M41" s="6"/>
      <c r="N41" s="6"/>
      <c r="O41" s="6"/>
      <c r="P41" s="6"/>
      <c r="Q41" s="7"/>
    </row>
    <row r="42" spans="1:17" x14ac:dyDescent="0.3">
      <c r="A42" s="52" t="s">
        <v>67</v>
      </c>
      <c r="B42" s="68"/>
      <c r="C42" s="68"/>
      <c r="D42" s="68"/>
      <c r="E42" s="53"/>
      <c r="F42" s="28" t="s">
        <v>68</v>
      </c>
      <c r="G42" s="28" t="s">
        <v>68</v>
      </c>
      <c r="H42" s="28" t="s">
        <v>69</v>
      </c>
      <c r="I42" s="28" t="s">
        <v>69</v>
      </c>
      <c r="J42" s="28" t="s">
        <v>69</v>
      </c>
      <c r="K42" s="17"/>
      <c r="L42" s="6"/>
      <c r="M42" s="6"/>
      <c r="N42" s="6"/>
      <c r="O42" s="6"/>
      <c r="P42" s="6"/>
      <c r="Q42" s="7"/>
    </row>
    <row r="43" spans="1:17" x14ac:dyDescent="0.3">
      <c r="A43" s="52" t="s">
        <v>70</v>
      </c>
      <c r="B43" s="68"/>
      <c r="C43" s="68"/>
      <c r="D43" s="68"/>
      <c r="E43" s="53"/>
      <c r="F43" s="15" t="s">
        <v>71</v>
      </c>
      <c r="G43" s="15" t="s">
        <v>71</v>
      </c>
      <c r="H43" s="15" t="s">
        <v>72</v>
      </c>
      <c r="I43" s="15" t="s">
        <v>72</v>
      </c>
      <c r="J43" s="15" t="s">
        <v>72</v>
      </c>
      <c r="K43" s="17"/>
      <c r="L43" s="6"/>
      <c r="M43" s="6"/>
      <c r="N43" s="6"/>
      <c r="O43" s="6"/>
      <c r="P43" s="6"/>
      <c r="Q43" s="7"/>
    </row>
    <row r="44" spans="1:17" x14ac:dyDescent="0.3">
      <c r="A44" s="52" t="s">
        <v>73</v>
      </c>
      <c r="B44" s="68"/>
      <c r="C44" s="68"/>
      <c r="D44" s="68"/>
      <c r="E44" s="53"/>
      <c r="F44" s="15" t="s">
        <v>74</v>
      </c>
      <c r="G44" s="15" t="s">
        <v>74</v>
      </c>
      <c r="H44" s="15" t="s">
        <v>72</v>
      </c>
      <c r="I44" s="15" t="s">
        <v>72</v>
      </c>
      <c r="J44" s="15" t="s">
        <v>72</v>
      </c>
      <c r="K44" s="17"/>
      <c r="L44" s="6"/>
      <c r="M44" s="6"/>
      <c r="N44" s="6"/>
      <c r="O44" s="6"/>
      <c r="P44" s="6"/>
      <c r="Q44" s="7"/>
    </row>
    <row r="45" spans="1:17" x14ac:dyDescent="0.3">
      <c r="A45" s="52" t="s">
        <v>75</v>
      </c>
      <c r="B45" s="68"/>
      <c r="C45" s="68"/>
      <c r="D45" s="68"/>
      <c r="E45" s="53"/>
      <c r="F45" s="15" t="s">
        <v>74</v>
      </c>
      <c r="G45" s="15" t="s">
        <v>74</v>
      </c>
      <c r="H45" s="15" t="s">
        <v>74</v>
      </c>
      <c r="I45" s="15" t="s">
        <v>74</v>
      </c>
      <c r="J45" s="15" t="s">
        <v>74</v>
      </c>
      <c r="K45" s="17"/>
      <c r="L45" s="6"/>
      <c r="M45" s="6"/>
      <c r="N45" s="6"/>
      <c r="O45" s="6"/>
      <c r="P45" s="6"/>
      <c r="Q45" s="7"/>
    </row>
    <row r="46" spans="1:17" x14ac:dyDescent="0.3">
      <c r="A46" s="52" t="s">
        <v>76</v>
      </c>
      <c r="B46" s="68"/>
      <c r="C46" s="68"/>
      <c r="D46" s="68"/>
      <c r="E46" s="53"/>
      <c r="F46" s="15" t="s">
        <v>74</v>
      </c>
      <c r="G46" s="15" t="s">
        <v>74</v>
      </c>
      <c r="H46" s="15" t="s">
        <v>74</v>
      </c>
      <c r="I46" s="15" t="s">
        <v>74</v>
      </c>
      <c r="J46" s="15" t="s">
        <v>74</v>
      </c>
      <c r="K46" s="17"/>
      <c r="L46" s="6"/>
      <c r="M46" s="6"/>
      <c r="N46" s="6"/>
      <c r="O46" s="6"/>
      <c r="P46" s="6"/>
      <c r="Q46" s="7"/>
    </row>
    <row r="47" spans="1:17" x14ac:dyDescent="0.3">
      <c r="A47" s="52" t="s">
        <v>77</v>
      </c>
      <c r="B47" s="68"/>
      <c r="C47" s="68"/>
      <c r="D47" s="68"/>
      <c r="E47" s="53"/>
      <c r="F47" s="15" t="s">
        <v>78</v>
      </c>
      <c r="G47" s="15" t="s">
        <v>79</v>
      </c>
      <c r="H47" s="15" t="s">
        <v>78</v>
      </c>
      <c r="I47" s="15" t="s">
        <v>79</v>
      </c>
      <c r="J47" s="15" t="s">
        <v>72</v>
      </c>
      <c r="K47" s="17"/>
      <c r="L47" s="6"/>
      <c r="M47" s="6"/>
      <c r="N47" s="6"/>
      <c r="O47" s="6"/>
      <c r="P47" s="6"/>
      <c r="Q47" s="7"/>
    </row>
    <row r="48" spans="1:17" x14ac:dyDescent="0.3">
      <c r="A48" s="52" t="s">
        <v>80</v>
      </c>
      <c r="B48" s="68"/>
      <c r="C48" s="68"/>
      <c r="D48" s="68"/>
      <c r="E48" s="53"/>
      <c r="F48" s="15" t="s">
        <v>74</v>
      </c>
      <c r="G48" s="15" t="s">
        <v>74</v>
      </c>
      <c r="H48" s="15" t="s">
        <v>74</v>
      </c>
      <c r="I48" s="15" t="s">
        <v>74</v>
      </c>
      <c r="J48" s="15" t="s">
        <v>74</v>
      </c>
      <c r="K48" s="17"/>
      <c r="L48" s="6"/>
      <c r="M48" s="6"/>
      <c r="N48" s="6"/>
      <c r="O48" s="6"/>
      <c r="P48" s="6"/>
      <c r="Q48" s="7"/>
    </row>
    <row r="49" spans="1:17" x14ac:dyDescent="0.3">
      <c r="A49" s="52" t="s">
        <v>81</v>
      </c>
      <c r="B49" s="68"/>
      <c r="C49" s="68"/>
      <c r="D49" s="68"/>
      <c r="E49" s="53"/>
      <c r="F49" s="15">
        <v>4</v>
      </c>
      <c r="G49" s="15">
        <v>4</v>
      </c>
      <c r="H49" s="15">
        <v>22</v>
      </c>
      <c r="I49" s="15">
        <v>22</v>
      </c>
      <c r="J49" s="15">
        <v>22</v>
      </c>
      <c r="K49" s="17"/>
      <c r="L49" s="6"/>
      <c r="M49" s="6"/>
      <c r="N49" s="6"/>
      <c r="O49" s="6"/>
      <c r="P49" s="6"/>
      <c r="Q49" s="7"/>
    </row>
    <row r="50" spans="1:17" ht="15" thickBot="1" x14ac:dyDescent="0.35">
      <c r="A50" s="52" t="s">
        <v>82</v>
      </c>
      <c r="B50" s="68"/>
      <c r="C50" s="68"/>
      <c r="D50" s="68"/>
      <c r="E50" s="53"/>
      <c r="F50" s="19" t="s">
        <v>14</v>
      </c>
      <c r="G50" s="19" t="s">
        <v>14</v>
      </c>
      <c r="H50" s="19" t="s">
        <v>14</v>
      </c>
      <c r="I50" s="19" t="s">
        <v>14</v>
      </c>
      <c r="J50" s="19" t="s">
        <v>14</v>
      </c>
      <c r="K50" s="17"/>
      <c r="L50" s="6"/>
      <c r="M50" s="6"/>
      <c r="N50" s="6"/>
      <c r="O50" s="6"/>
      <c r="P50" s="6"/>
      <c r="Q50" s="7"/>
    </row>
    <row r="51" spans="1:17" ht="15" thickBot="1" x14ac:dyDescent="0.35">
      <c r="A51" s="52" t="s">
        <v>83</v>
      </c>
      <c r="B51" s="68"/>
      <c r="C51" s="68"/>
      <c r="D51" s="68"/>
      <c r="E51" s="53"/>
      <c r="F51" s="29">
        <v>-28</v>
      </c>
      <c r="G51" s="29">
        <v>-28</v>
      </c>
      <c r="H51" s="30">
        <v>15</v>
      </c>
      <c r="I51" s="30">
        <v>15</v>
      </c>
      <c r="J51" s="30">
        <v>15</v>
      </c>
      <c r="K51" s="17"/>
      <c r="L51" s="6"/>
      <c r="M51" s="6"/>
      <c r="N51" s="6"/>
      <c r="O51" s="6"/>
      <c r="P51" s="6"/>
      <c r="Q51" s="7"/>
    </row>
    <row r="52" spans="1:17" x14ac:dyDescent="0.3">
      <c r="A52" s="52" t="s">
        <v>84</v>
      </c>
      <c r="B52" s="68"/>
      <c r="C52" s="68"/>
      <c r="D52" s="68"/>
      <c r="E52" s="53"/>
      <c r="F52" s="31">
        <v>90</v>
      </c>
      <c r="G52" s="31">
        <v>90</v>
      </c>
      <c r="H52" s="31">
        <v>90</v>
      </c>
      <c r="I52" s="31">
        <v>90</v>
      </c>
      <c r="J52" s="31">
        <v>90</v>
      </c>
      <c r="K52" s="17"/>
      <c r="L52" s="6"/>
      <c r="M52" s="6"/>
      <c r="N52" s="6"/>
      <c r="O52" s="6"/>
      <c r="P52" s="6"/>
      <c r="Q52" s="7"/>
    </row>
    <row r="53" spans="1:17" x14ac:dyDescent="0.3">
      <c r="A53" s="52" t="s">
        <v>85</v>
      </c>
      <c r="B53" s="68"/>
      <c r="C53" s="68"/>
      <c r="D53" s="68"/>
      <c r="E53" s="53"/>
      <c r="F53" s="15">
        <f>4.8*3412</f>
        <v>16377.599999999999</v>
      </c>
      <c r="G53" s="15">
        <f>4.8*3412</f>
        <v>16377.599999999999</v>
      </c>
      <c r="H53" s="15">
        <f>44.67*3412</f>
        <v>152414.04</v>
      </c>
      <c r="I53" s="15">
        <f>44.67*3412</f>
        <v>152414.04</v>
      </c>
      <c r="J53" s="15">
        <f>44.67*3412</f>
        <v>152414.04</v>
      </c>
      <c r="K53" s="17"/>
      <c r="L53" s="6"/>
      <c r="M53" s="6"/>
      <c r="N53" s="6"/>
      <c r="O53" s="6"/>
      <c r="P53" s="6"/>
      <c r="Q53" s="7"/>
    </row>
    <row r="54" spans="1:17" x14ac:dyDescent="0.3">
      <c r="A54" s="52" t="s">
        <v>86</v>
      </c>
      <c r="B54" s="68"/>
      <c r="C54" s="68"/>
      <c r="D54" s="68"/>
      <c r="E54" s="53"/>
      <c r="F54" s="15">
        <f>7.77*3412</f>
        <v>26511.239999999998</v>
      </c>
      <c r="G54" s="15">
        <f>7.77*3412</f>
        <v>26511.239999999998</v>
      </c>
      <c r="H54" s="15">
        <f>60.48*3412</f>
        <v>206357.75999999998</v>
      </c>
      <c r="I54" s="15">
        <f t="shared" ref="I54:J54" si="0">60.48*3412</f>
        <v>206357.75999999998</v>
      </c>
      <c r="J54" s="15">
        <f t="shared" si="0"/>
        <v>206357.75999999998</v>
      </c>
      <c r="K54" s="17"/>
      <c r="L54" s="6"/>
      <c r="M54" s="6"/>
      <c r="N54" s="6"/>
      <c r="O54" s="6"/>
      <c r="P54" s="6"/>
      <c r="Q54" s="7"/>
    </row>
    <row r="55" spans="1:17" x14ac:dyDescent="0.3">
      <c r="A55" s="52" t="s">
        <v>87</v>
      </c>
      <c r="B55" s="68"/>
      <c r="C55" s="68"/>
      <c r="D55" s="68"/>
      <c r="E55" s="53"/>
      <c r="F55" s="32">
        <v>21.7</v>
      </c>
      <c r="G55" s="32">
        <v>21.7</v>
      </c>
      <c r="H55" s="32">
        <v>93.5</v>
      </c>
      <c r="I55" s="32">
        <v>93.5</v>
      </c>
      <c r="J55" s="32">
        <v>93.5</v>
      </c>
      <c r="K55" s="17"/>
      <c r="L55" s="6"/>
      <c r="M55" s="6"/>
      <c r="N55" s="6"/>
      <c r="O55" s="6"/>
      <c r="P55" s="6"/>
      <c r="Q55" s="7"/>
    </row>
    <row r="56" spans="1:17" ht="15" thickBot="1" x14ac:dyDescent="0.35">
      <c r="A56" s="52" t="s">
        <v>88</v>
      </c>
      <c r="B56" s="68"/>
      <c r="C56" s="68"/>
      <c r="D56" s="68"/>
      <c r="E56" s="53"/>
      <c r="F56" s="33">
        <v>11.4</v>
      </c>
      <c r="G56" s="33">
        <v>11.4</v>
      </c>
      <c r="H56" s="33">
        <v>53.2</v>
      </c>
      <c r="I56" s="33">
        <v>53.2</v>
      </c>
      <c r="J56" s="33">
        <v>53.2</v>
      </c>
      <c r="K56" s="17"/>
      <c r="L56" s="6"/>
      <c r="M56" s="6"/>
      <c r="N56" s="6"/>
      <c r="O56" s="6"/>
      <c r="P56" s="6"/>
      <c r="Q56" s="7"/>
    </row>
    <row r="57" spans="1:17" ht="15" thickBot="1" x14ac:dyDescent="0.35">
      <c r="A57" s="52" t="s">
        <v>89</v>
      </c>
      <c r="B57" s="68"/>
      <c r="C57" s="68"/>
      <c r="D57" s="68"/>
      <c r="E57" s="53"/>
      <c r="F57" s="69">
        <f>SUM(F55:J55)</f>
        <v>323.89999999999998</v>
      </c>
      <c r="G57" s="70"/>
      <c r="H57" s="70"/>
      <c r="I57" s="70"/>
      <c r="J57" s="71"/>
      <c r="K57" s="17"/>
      <c r="L57" s="6"/>
      <c r="M57" s="6"/>
      <c r="N57" s="6"/>
      <c r="O57" s="6"/>
      <c r="P57" s="6"/>
      <c r="Q57" s="7"/>
    </row>
    <row r="58" spans="1:17" ht="15" thickBot="1" x14ac:dyDescent="0.35">
      <c r="A58" s="48" t="s">
        <v>90</v>
      </c>
      <c r="B58" s="56"/>
      <c r="C58" s="56"/>
      <c r="D58" s="56"/>
      <c r="E58" s="49"/>
      <c r="F58" s="57">
        <f>SUM(F56:J56)</f>
        <v>182.39999999999998</v>
      </c>
      <c r="G58" s="58"/>
      <c r="H58" s="58"/>
      <c r="I58" s="58"/>
      <c r="J58" s="59"/>
      <c r="K58" s="34"/>
      <c r="L58" s="8"/>
      <c r="M58" s="8"/>
      <c r="N58" s="8"/>
      <c r="O58" s="8"/>
      <c r="P58" s="8"/>
      <c r="Q58" s="9"/>
    </row>
    <row r="59" spans="1:17" ht="15" thickBot="1" x14ac:dyDescent="0.35"/>
    <row r="60" spans="1:17" ht="15" thickBot="1" x14ac:dyDescent="0.35">
      <c r="A60" s="60" t="s">
        <v>91</v>
      </c>
      <c r="B60" s="61"/>
      <c r="C60" s="61"/>
      <c r="D60" s="61"/>
      <c r="E60" s="61"/>
      <c r="F60" s="61"/>
      <c r="G60" s="61"/>
      <c r="H60" s="61"/>
      <c r="I60" s="61"/>
      <c r="J60" s="62"/>
      <c r="K60" s="63" t="s">
        <v>92</v>
      </c>
      <c r="L60" s="62"/>
      <c r="N60" s="60" t="s">
        <v>93</v>
      </c>
      <c r="O60" s="61"/>
      <c r="P60" s="61"/>
      <c r="Q60" s="62"/>
    </row>
    <row r="61" spans="1:17" x14ac:dyDescent="0.3">
      <c r="A61" s="11"/>
      <c r="B61" s="35"/>
      <c r="C61" s="35"/>
      <c r="D61" s="35"/>
      <c r="E61" s="35"/>
      <c r="F61" s="35"/>
      <c r="G61" s="35"/>
      <c r="H61" s="35"/>
      <c r="I61" s="35"/>
      <c r="J61" s="36"/>
      <c r="K61" s="37" t="s">
        <v>33</v>
      </c>
      <c r="L61" s="24"/>
      <c r="N61" s="64" t="s">
        <v>94</v>
      </c>
      <c r="O61" s="65"/>
      <c r="P61" s="66" t="s">
        <v>95</v>
      </c>
      <c r="Q61" s="67"/>
    </row>
    <row r="62" spans="1:17" x14ac:dyDescent="0.3">
      <c r="A62" s="15"/>
      <c r="B62" s="38"/>
      <c r="C62" s="38"/>
      <c r="D62" s="38"/>
      <c r="E62" s="38"/>
      <c r="F62" s="38"/>
      <c r="G62" s="38"/>
      <c r="H62" s="38"/>
      <c r="I62" s="38"/>
      <c r="J62" s="39"/>
      <c r="K62" s="40" t="s">
        <v>32</v>
      </c>
      <c r="L62" s="41"/>
      <c r="N62" s="52" t="s">
        <v>96</v>
      </c>
      <c r="O62" s="53"/>
      <c r="P62" s="54"/>
      <c r="Q62" s="55"/>
    </row>
    <row r="63" spans="1:17" x14ac:dyDescent="0.3">
      <c r="A63" s="15"/>
      <c r="B63" s="38"/>
      <c r="C63" s="38"/>
      <c r="D63" s="38"/>
      <c r="E63" s="38"/>
      <c r="F63" s="38"/>
      <c r="G63" s="38"/>
      <c r="H63" s="38"/>
      <c r="I63" s="38"/>
      <c r="J63" s="39"/>
      <c r="K63" s="40" t="s">
        <v>97</v>
      </c>
      <c r="L63" s="41"/>
      <c r="N63" s="52" t="s">
        <v>96</v>
      </c>
      <c r="O63" s="53"/>
      <c r="P63" s="54"/>
      <c r="Q63" s="55"/>
    </row>
    <row r="64" spans="1:17" x14ac:dyDescent="0.3">
      <c r="A64" s="15"/>
      <c r="B64" s="38"/>
      <c r="C64" s="38"/>
      <c r="D64" s="38"/>
      <c r="E64" s="38"/>
      <c r="F64" s="38"/>
      <c r="G64" s="38"/>
      <c r="H64" s="38"/>
      <c r="I64" s="38"/>
      <c r="J64" s="39"/>
      <c r="K64" s="40" t="s">
        <v>98</v>
      </c>
      <c r="L64" s="41"/>
      <c r="N64" s="52" t="s">
        <v>99</v>
      </c>
      <c r="O64" s="53"/>
      <c r="P64" s="54" t="s">
        <v>100</v>
      </c>
      <c r="Q64" s="55"/>
    </row>
    <row r="65" spans="1:17" x14ac:dyDescent="0.3">
      <c r="A65" s="15"/>
      <c r="B65" s="38"/>
      <c r="C65" s="38"/>
      <c r="D65" s="38"/>
      <c r="E65" s="38"/>
      <c r="F65" s="38"/>
      <c r="G65" s="38"/>
      <c r="H65" s="38"/>
      <c r="I65" s="38"/>
      <c r="J65" s="39"/>
      <c r="K65" s="40" t="s">
        <v>101</v>
      </c>
      <c r="L65" s="41"/>
      <c r="N65" s="52" t="s">
        <v>102</v>
      </c>
      <c r="O65" s="53"/>
      <c r="P65" s="54" t="str">
        <f>I3</f>
        <v>CARULLA CASTILLA</v>
      </c>
      <c r="Q65" s="55"/>
    </row>
    <row r="66" spans="1:17" x14ac:dyDescent="0.3">
      <c r="A66" s="15"/>
      <c r="B66" s="38"/>
      <c r="C66" s="38"/>
      <c r="D66" s="38"/>
      <c r="E66" s="38"/>
      <c r="F66" s="38"/>
      <c r="G66" s="38"/>
      <c r="H66" s="38"/>
      <c r="I66" s="38"/>
      <c r="J66" s="39"/>
      <c r="K66" s="40" t="s">
        <v>103</v>
      </c>
      <c r="L66" s="41" t="s">
        <v>14</v>
      </c>
      <c r="N66" s="52" t="s">
        <v>104</v>
      </c>
      <c r="O66" s="53"/>
      <c r="P66" s="54" t="s">
        <v>105</v>
      </c>
      <c r="Q66" s="55"/>
    </row>
    <row r="67" spans="1:17" x14ac:dyDescent="0.3">
      <c r="A67" s="15"/>
      <c r="B67" s="38"/>
      <c r="C67" s="38"/>
      <c r="D67" s="38"/>
      <c r="E67" s="38"/>
      <c r="F67" s="38"/>
      <c r="G67" s="38"/>
      <c r="H67" s="38"/>
      <c r="I67" s="38"/>
      <c r="J67" s="39"/>
      <c r="K67" s="40" t="s">
        <v>106</v>
      </c>
      <c r="L67" s="42">
        <v>90</v>
      </c>
      <c r="N67" s="52" t="s">
        <v>107</v>
      </c>
      <c r="O67" s="53"/>
      <c r="P67" s="54"/>
      <c r="Q67" s="55"/>
    </row>
    <row r="68" spans="1:17" ht="15" thickBot="1" x14ac:dyDescent="0.35">
      <c r="A68" s="43"/>
      <c r="B68" s="44"/>
      <c r="C68" s="44"/>
      <c r="D68" s="44"/>
      <c r="E68" s="44"/>
      <c r="F68" s="44"/>
      <c r="G68" s="44"/>
      <c r="H68" s="44"/>
      <c r="I68" s="44"/>
      <c r="J68" s="45"/>
      <c r="K68" s="46" t="s">
        <v>108</v>
      </c>
      <c r="L68" s="47"/>
      <c r="N68" s="48" t="s">
        <v>109</v>
      </c>
      <c r="O68" s="49"/>
      <c r="P68" s="50">
        <v>1</v>
      </c>
      <c r="Q68" s="51"/>
    </row>
  </sheetData>
  <mergeCells count="130">
    <mergeCell ref="G2:Q2"/>
    <mergeCell ref="G3:H3"/>
    <mergeCell ref="I3:J3"/>
    <mergeCell ref="K3:L3"/>
    <mergeCell ref="M3:N3"/>
    <mergeCell ref="O3:P3"/>
    <mergeCell ref="G4:H4"/>
    <mergeCell ref="I4:J4"/>
    <mergeCell ref="K4:L4"/>
    <mergeCell ref="M4:N4"/>
    <mergeCell ref="O4:P4"/>
    <mergeCell ref="G5:H5"/>
    <mergeCell ref="I5:J5"/>
    <mergeCell ref="K5:L5"/>
    <mergeCell ref="M5:N5"/>
    <mergeCell ref="O5:P5"/>
    <mergeCell ref="A7:I7"/>
    <mergeCell ref="J7:Q7"/>
    <mergeCell ref="A8:A9"/>
    <mergeCell ref="B8:B9"/>
    <mergeCell ref="C8:C9"/>
    <mergeCell ref="D8:D9"/>
    <mergeCell ref="E8:F9"/>
    <mergeCell ref="G8:G9"/>
    <mergeCell ref="H8:H9"/>
    <mergeCell ref="I8:I9"/>
    <mergeCell ref="A10:A12"/>
    <mergeCell ref="B10:B12"/>
    <mergeCell ref="E10:F10"/>
    <mergeCell ref="P10:Q10"/>
    <mergeCell ref="E11:F11"/>
    <mergeCell ref="P11:Q11"/>
    <mergeCell ref="E12:F12"/>
    <mergeCell ref="P12:Q12"/>
    <mergeCell ref="J8:K8"/>
    <mergeCell ref="L8:L9"/>
    <mergeCell ref="M8:M9"/>
    <mergeCell ref="N8:N9"/>
    <mergeCell ref="O8:O9"/>
    <mergeCell ref="P8:Q9"/>
    <mergeCell ref="A13:G13"/>
    <mergeCell ref="I13:Q13"/>
    <mergeCell ref="A14:Q14"/>
    <mergeCell ref="A15:A31"/>
    <mergeCell ref="B15:B17"/>
    <mergeCell ref="E15:F15"/>
    <mergeCell ref="P15:Q15"/>
    <mergeCell ref="E16:F16"/>
    <mergeCell ref="P16:Q16"/>
    <mergeCell ref="E17:F17"/>
    <mergeCell ref="E22:F22"/>
    <mergeCell ref="P22:Q22"/>
    <mergeCell ref="E23:F23"/>
    <mergeCell ref="P23:Q23"/>
    <mergeCell ref="E24:F24"/>
    <mergeCell ref="P24:Q24"/>
    <mergeCell ref="P17:Q17"/>
    <mergeCell ref="B18:B25"/>
    <mergeCell ref="E18:F18"/>
    <mergeCell ref="P18:Q18"/>
    <mergeCell ref="E19:F19"/>
    <mergeCell ref="P19:Q19"/>
    <mergeCell ref="E20:F20"/>
    <mergeCell ref="P20:Q20"/>
    <mergeCell ref="E21:F21"/>
    <mergeCell ref="P21:Q21"/>
    <mergeCell ref="E25:F25"/>
    <mergeCell ref="P25:Q25"/>
    <mergeCell ref="B26:B31"/>
    <mergeCell ref="E26:F26"/>
    <mergeCell ref="P26:Q26"/>
    <mergeCell ref="E27:F27"/>
    <mergeCell ref="P27:Q27"/>
    <mergeCell ref="E28:F28"/>
    <mergeCell ref="P28:Q28"/>
    <mergeCell ref="E29:F29"/>
    <mergeCell ref="P34:Q34"/>
    <mergeCell ref="P35:Q35"/>
    <mergeCell ref="P36:Q36"/>
    <mergeCell ref="P37:Q37"/>
    <mergeCell ref="A39:J39"/>
    <mergeCell ref="A40:E40"/>
    <mergeCell ref="F40:G40"/>
    <mergeCell ref="H40:J40"/>
    <mergeCell ref="P29:Q29"/>
    <mergeCell ref="E30:F30"/>
    <mergeCell ref="P30:Q30"/>
    <mergeCell ref="E31:F31"/>
    <mergeCell ref="P31:Q31"/>
    <mergeCell ref="A32:G32"/>
    <mergeCell ref="I32:Q32"/>
    <mergeCell ref="A47:E47"/>
    <mergeCell ref="A48:E48"/>
    <mergeCell ref="A49:E49"/>
    <mergeCell ref="A50:E50"/>
    <mergeCell ref="A51:E51"/>
    <mergeCell ref="A52:E52"/>
    <mergeCell ref="A41:E41"/>
    <mergeCell ref="A42:E42"/>
    <mergeCell ref="A43:E43"/>
    <mergeCell ref="A44:E44"/>
    <mergeCell ref="A45:E45"/>
    <mergeCell ref="A46:E46"/>
    <mergeCell ref="A58:E58"/>
    <mergeCell ref="F58:J58"/>
    <mergeCell ref="A60:J60"/>
    <mergeCell ref="K60:L60"/>
    <mergeCell ref="N60:Q60"/>
    <mergeCell ref="N61:O61"/>
    <mergeCell ref="P61:Q61"/>
    <mergeCell ref="A53:E53"/>
    <mergeCell ref="A54:E54"/>
    <mergeCell ref="A55:E55"/>
    <mergeCell ref="A56:E56"/>
    <mergeCell ref="A57:E57"/>
    <mergeCell ref="F57:J57"/>
    <mergeCell ref="N68:O68"/>
    <mergeCell ref="P68:Q68"/>
    <mergeCell ref="N65:O65"/>
    <mergeCell ref="P65:Q65"/>
    <mergeCell ref="N66:O66"/>
    <mergeCell ref="P66:Q66"/>
    <mergeCell ref="N67:O67"/>
    <mergeCell ref="P67:Q67"/>
    <mergeCell ref="N62:O62"/>
    <mergeCell ref="P62:Q62"/>
    <mergeCell ref="N63:O63"/>
    <mergeCell ref="P63:Q63"/>
    <mergeCell ref="N64:O64"/>
    <mergeCell ref="P64:Q64"/>
  </mergeCells>
  <printOptions horizontalCentered="1" verticalCentered="1"/>
  <pageMargins left="0.7" right="0.7" top="0.75" bottom="0.75" header="0.3" footer="0.3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ANDRES PARDO SIERRA</dc:creator>
  <cp:lastModifiedBy>JAVIER ANDRES PARDO SIERRA</cp:lastModifiedBy>
  <cp:lastPrinted>2025-08-15T16:38:15Z</cp:lastPrinted>
  <dcterms:created xsi:type="dcterms:W3CDTF">2025-08-15T16:36:31Z</dcterms:created>
  <dcterms:modified xsi:type="dcterms:W3CDTF">2025-08-15T16:43:21Z</dcterms:modified>
</cp:coreProperties>
</file>