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'MASTER'!$A$1:$AC$2218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30" customWidth="1" min="4" max="4"/>
    <col width="12" customWidth="1" min="5" max="5"/>
    <col width="12" customWidth="1" min="6" max="6"/>
    <col width="19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3" customWidth="1" min="16" max="16"/>
    <col width="24" customWidth="1" min="17" max="17"/>
    <col width="23" customWidth="1" min="18" max="18"/>
    <col width="24" customWidth="1" min="19" max="19"/>
    <col width="19" customWidth="1" min="20" max="20"/>
    <col width="12" customWidth="1" min="21" max="21"/>
    <col width="12" customWidth="1" min="22" max="22"/>
    <col width="12" customWidth="1" min="23" max="23"/>
    <col width="21" customWidth="1" min="24" max="24"/>
    <col width="16" customWidth="1" min="25" max="25"/>
    <col width="15" customWidth="1" min="26" max="26"/>
    <col width="30" customWidth="1" min="27" max="27"/>
    <col width="22" customWidth="1" min="28" max="28"/>
    <col width="22" customWidth="1" min="29" max="29"/>
  </cols>
  <sheetData>
    <row r="1" ht="28" customHeight="1">
      <c r="A1" s="1" t="inlineStr">
        <is>
          <t>Manufacturer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Technology</t>
        </is>
      </c>
      <c r="E1" s="1" t="inlineStr">
        <is>
          <t>Phase</t>
        </is>
      </c>
      <c r="F1" s="1" t="inlineStr">
        <is>
          <t>Freq_Hz</t>
        </is>
      </c>
      <c r="G1" s="1" t="inlineStr">
        <is>
          <t>Voltage_Nominal_V</t>
        </is>
      </c>
      <c r="H1" s="1" t="inlineStr">
        <is>
          <t>Voltage_Label</t>
        </is>
      </c>
      <c r="I1" s="1" t="inlineStr">
        <is>
          <t>Voltage_Min_V</t>
        </is>
      </c>
      <c r="J1" s="1" t="inlineStr">
        <is>
          <t>Voltage_Max_V</t>
        </is>
      </c>
      <c r="K1" s="1" t="inlineStr">
        <is>
          <t>Connection</t>
        </is>
      </c>
      <c r="L1" s="1" t="inlineStr">
        <is>
          <t>MCC_A</t>
        </is>
      </c>
      <c r="M1" s="1" t="inlineStr">
        <is>
          <t>MOC_A</t>
        </is>
      </c>
      <c r="N1" s="1" t="inlineStr">
        <is>
          <t>RLA_UL_A</t>
        </is>
      </c>
      <c r="O1" s="1" t="inlineStr">
        <is>
          <t>RLA_IEC_A</t>
        </is>
      </c>
      <c r="P1" s="1" t="inlineStr">
        <is>
          <t>RLA_calc_MCC_div1p4_A</t>
        </is>
      </c>
      <c r="Q1" s="1" t="inlineStr">
        <is>
          <t>RLA_calc_MCC_div1p56_A</t>
        </is>
      </c>
      <c r="R1" s="1" t="inlineStr">
        <is>
          <t>RLA_calc_MOC_div1p4_A</t>
        </is>
      </c>
      <c r="S1" s="1" t="inlineStr">
        <is>
          <t>RLA_calc_MOC_div1p56_A</t>
        </is>
      </c>
      <c r="T1" s="1" t="inlineStr">
        <is>
          <t>RLA_Recommended_A</t>
        </is>
      </c>
      <c r="U1" s="1" t="inlineStr">
        <is>
          <t>LRA_ATL_A</t>
        </is>
      </c>
      <c r="V1" s="1" t="inlineStr">
        <is>
          <t>LRA_PW_A</t>
        </is>
      </c>
      <c r="W1" s="1" t="inlineStr">
        <is>
          <t>LRA_A</t>
        </is>
      </c>
      <c r="X1" s="1" t="inlineStr">
        <is>
          <t>MaxAbsorbedPower_kW</t>
        </is>
      </c>
      <c r="Y1" s="1" t="inlineStr">
        <is>
          <t>Resistance_Ohm</t>
        </is>
      </c>
      <c r="Z1" s="1" t="inlineStr">
        <is>
          <t>Smax_kVA_calc</t>
        </is>
      </c>
      <c r="AA1" s="1" t="inlineStr">
        <is>
          <t>Notes</t>
        </is>
      </c>
      <c r="AB1" s="1" t="inlineStr">
        <is>
          <t>Source_File</t>
        </is>
      </c>
      <c r="AC1" s="1" t="inlineStr">
        <is>
          <t>Source_Sheet</t>
        </is>
      </c>
    </row>
    <row r="2">
      <c r="A2" t="inlineStr">
        <is>
          <t>BITZER</t>
        </is>
      </c>
      <c r="B2" t="inlineStr">
        <is>
          <t>2CES-3</t>
        </is>
      </c>
      <c r="C2" t="inlineStr">
        <is>
          <t>2.0</t>
        </is>
      </c>
      <c r="D2" t="inlineStr">
        <is>
          <t>Reciprocating Semi-hermetic</t>
        </is>
      </c>
      <c r="E2" s="2" t="n">
        <v>3</v>
      </c>
      <c r="F2" s="2" t="n">
        <v>60</v>
      </c>
      <c r="G2" s="2" t="n">
        <v>230</v>
      </c>
      <c r="H2" t="inlineStr">
        <is>
          <t>230</t>
        </is>
      </c>
      <c r="I2" s="2" t="n">
        <v>230</v>
      </c>
      <c r="J2" s="2" t="n">
        <v>230</v>
      </c>
      <c r="L2" s="3" t="n">
        <v>20.9</v>
      </c>
      <c r="M2" s="3" t="n">
        <v>18.2</v>
      </c>
      <c r="N2" s="3" t="n">
        <v>13.4</v>
      </c>
      <c r="O2" s="3" t="n">
        <v>14.9</v>
      </c>
      <c r="P2" s="3">
        <f>IF(L2&lt;&gt;"",L2/1.4,"")</f>
        <v/>
      </c>
      <c r="Q2" s="3">
        <f>IF(L2&lt;&gt;"",L2/1.56,"")</f>
        <v/>
      </c>
      <c r="R2" s="3">
        <f>IF(M2&lt;&gt;"",M2/1.4,"")</f>
        <v/>
      </c>
      <c r="S2" s="3">
        <f>IF(M2&lt;&gt;"",M2/1.56,"")</f>
        <v/>
      </c>
      <c r="T2" s="3">
        <f>IF(N2&lt;&gt;"",N2,IF(O2&lt;&gt;"",O2,IF(L2&lt;&gt;"",L2/1.56,IF(M2&lt;&gt;"",M2/1.56,""))))</f>
        <v/>
      </c>
      <c r="U2" s="3" t="n"/>
      <c r="V2" s="3" t="n">
        <v>97</v>
      </c>
      <c r="W2" s="3" t="n"/>
      <c r="X2" s="4" t="n">
        <v>6</v>
      </c>
      <c r="Y2" s="5" t="n"/>
      <c r="Z2" s="4">
        <f>IF(L2&lt;&gt;"",SQRT(3)*G2*L2/1000,"")</f>
        <v/>
      </c>
      <c r="AB2" t="inlineStr">
        <is>
          <t>Bitzer_RLA_230_460_3ph_60Hz.xlsx</t>
        </is>
      </c>
      <c r="AC2" t="inlineStr">
        <is>
          <t>BITZER_RLA_230_460_3PH</t>
        </is>
      </c>
    </row>
    <row r="3">
      <c r="A3" t="inlineStr">
        <is>
          <t>BITZER</t>
        </is>
      </c>
      <c r="B3" t="inlineStr">
        <is>
          <t>2CES-3</t>
        </is>
      </c>
      <c r="C3" t="inlineStr">
        <is>
          <t>2.0</t>
        </is>
      </c>
      <c r="D3" t="inlineStr">
        <is>
          <t>Reciprocating Semi-hermetic</t>
        </is>
      </c>
      <c r="E3" s="2" t="n">
        <v>3</v>
      </c>
      <c r="F3" s="2" t="n">
        <v>60</v>
      </c>
      <c r="G3" s="2" t="n">
        <v>460</v>
      </c>
      <c r="H3" t="inlineStr">
        <is>
          <t>460</t>
        </is>
      </c>
      <c r="I3" s="2" t="n">
        <v>460</v>
      </c>
      <c r="J3" s="2" t="n">
        <v>460</v>
      </c>
      <c r="L3" s="3" t="n">
        <v>9.800000000000001</v>
      </c>
      <c r="M3" s="3" t="n">
        <v>9.1</v>
      </c>
      <c r="N3" s="3" t="n">
        <v>6.3</v>
      </c>
      <c r="O3" s="3" t="n">
        <v>7</v>
      </c>
      <c r="P3" s="3">
        <f>IF(L3&lt;&gt;"",L3/1.4,"")</f>
        <v/>
      </c>
      <c r="Q3" s="3">
        <f>IF(L3&lt;&gt;"",L3/1.56,"")</f>
        <v/>
      </c>
      <c r="R3" s="3">
        <f>IF(M3&lt;&gt;"",M3/1.4,"")</f>
        <v/>
      </c>
      <c r="S3" s="3">
        <f>IF(M3&lt;&gt;"",M3/1.56,"")</f>
        <v/>
      </c>
      <c r="T3" s="3">
        <f>IF(N3&lt;&gt;"",N3,IF(O3&lt;&gt;"",O3,IF(L3&lt;&gt;"",L3/1.56,IF(M3&lt;&gt;"",M3/1.56,""))))</f>
        <v/>
      </c>
      <c r="U3" s="3" t="n"/>
      <c r="V3" s="3" t="n">
        <v>39.5</v>
      </c>
      <c r="W3" s="3" t="n"/>
      <c r="X3" s="4" t="n">
        <v>6</v>
      </c>
      <c r="Y3" s="5" t="n"/>
      <c r="Z3" s="4">
        <f>IF(L3&lt;&gt;"",SQRT(3)*G3*L3/1000,"")</f>
        <v/>
      </c>
      <c r="AB3" t="inlineStr">
        <is>
          <t>Bitzer_RLA_230_460_3ph_60Hz.xlsx</t>
        </is>
      </c>
      <c r="AC3" t="inlineStr">
        <is>
          <t>BITZER_RLA_230_460_3PH</t>
        </is>
      </c>
    </row>
    <row r="4">
      <c r="A4" t="inlineStr">
        <is>
          <t>BITZER</t>
        </is>
      </c>
      <c r="B4" t="inlineStr">
        <is>
          <t>2CES-4</t>
        </is>
      </c>
      <c r="C4" t="inlineStr">
        <is>
          <t>1.0</t>
        </is>
      </c>
      <c r="D4" t="inlineStr">
        <is>
          <t>Reciprocating Semi-hermetic</t>
        </is>
      </c>
      <c r="E4" s="2" t="n">
        <v>3</v>
      </c>
      <c r="F4" s="2" t="n">
        <v>60</v>
      </c>
      <c r="G4" s="2" t="n">
        <v>230</v>
      </c>
      <c r="H4" t="inlineStr">
        <is>
          <t>230</t>
        </is>
      </c>
      <c r="I4" s="2" t="n">
        <v>230</v>
      </c>
      <c r="J4" s="2" t="n">
        <v>230</v>
      </c>
      <c r="L4" s="3" t="n">
        <v>28.4</v>
      </c>
      <c r="M4" s="3" t="n">
        <v>20</v>
      </c>
      <c r="N4" s="3" t="n">
        <v>18.2</v>
      </c>
      <c r="O4" s="3" t="n">
        <v>20.3</v>
      </c>
      <c r="P4" s="3">
        <f>IF(L4&lt;&gt;"",L4/1.4,"")</f>
        <v/>
      </c>
      <c r="Q4" s="3">
        <f>IF(L4&lt;&gt;"",L4/1.56,"")</f>
        <v/>
      </c>
      <c r="R4" s="3">
        <f>IF(M4&lt;&gt;"",M4/1.4,"")</f>
        <v/>
      </c>
      <c r="S4" s="3">
        <f>IF(M4&lt;&gt;"",M4/1.56,"")</f>
        <v/>
      </c>
      <c r="T4" s="3">
        <f>IF(N4&lt;&gt;"",N4,IF(O4&lt;&gt;"",O4,IF(L4&lt;&gt;"",L4/1.56,IF(M4&lt;&gt;"",M4/1.56,""))))</f>
        <v/>
      </c>
      <c r="U4" s="3" t="n"/>
      <c r="V4" s="3" t="n">
        <v>115.5</v>
      </c>
      <c r="W4" s="3" t="n"/>
      <c r="X4" s="4" t="n">
        <v>6.8</v>
      </c>
      <c r="Y4" s="5" t="n"/>
      <c r="Z4" s="4">
        <f>IF(L4&lt;&gt;"",SQRT(3)*G4*L4/1000,"")</f>
        <v/>
      </c>
      <c r="AB4" t="inlineStr">
        <is>
          <t>Bitzer_RLA_230_460_3ph_60Hz.xlsx</t>
        </is>
      </c>
      <c r="AC4" t="inlineStr">
        <is>
          <t>BITZER_RLA_230_460_3PH</t>
        </is>
      </c>
    </row>
    <row r="5">
      <c r="A5" t="inlineStr">
        <is>
          <t>BITZER</t>
        </is>
      </c>
      <c r="B5" t="inlineStr">
        <is>
          <t>2CES-4</t>
        </is>
      </c>
      <c r="C5" t="inlineStr">
        <is>
          <t>1.0</t>
        </is>
      </c>
      <c r="D5" t="inlineStr">
        <is>
          <t>Reciprocating Semi-hermetic</t>
        </is>
      </c>
      <c r="E5" s="2" t="n">
        <v>3</v>
      </c>
      <c r="F5" s="2" t="n">
        <v>60</v>
      </c>
      <c r="G5" s="2" t="n">
        <v>460</v>
      </c>
      <c r="H5" t="inlineStr">
        <is>
          <t>460</t>
        </is>
      </c>
      <c r="I5" s="2" t="n">
        <v>460</v>
      </c>
      <c r="J5" s="2" t="n">
        <v>460</v>
      </c>
      <c r="L5" s="3" t="n">
        <v>12.7</v>
      </c>
      <c r="M5" s="3" t="n">
        <v>10</v>
      </c>
      <c r="N5" s="3" t="n">
        <v>8.1</v>
      </c>
      <c r="O5" s="3" t="n">
        <v>9.1</v>
      </c>
      <c r="P5" s="3">
        <f>IF(L5&lt;&gt;"",L5/1.4,"")</f>
        <v/>
      </c>
      <c r="Q5" s="3">
        <f>IF(L5&lt;&gt;"",L5/1.56,"")</f>
        <v/>
      </c>
      <c r="R5" s="3">
        <f>IF(M5&lt;&gt;"",M5/1.4,"")</f>
        <v/>
      </c>
      <c r="S5" s="3">
        <f>IF(M5&lt;&gt;"",M5/1.56,"")</f>
        <v/>
      </c>
      <c r="T5" s="3">
        <f>IF(N5&lt;&gt;"",N5,IF(O5&lt;&gt;"",O5,IF(L5&lt;&gt;"",L5/1.56,IF(M5&lt;&gt;"",M5/1.56,""))))</f>
        <v/>
      </c>
      <c r="U5" s="3" t="n"/>
      <c r="V5" s="3" t="n">
        <v>47.5</v>
      </c>
      <c r="W5" s="3" t="n"/>
      <c r="X5" s="4" t="n">
        <v>6.8</v>
      </c>
      <c r="Y5" s="5" t="n"/>
      <c r="Z5" s="4">
        <f>IF(L5&lt;&gt;"",SQRT(3)*G5*L5/1000,"")</f>
        <v/>
      </c>
      <c r="AB5" t="inlineStr">
        <is>
          <t>Bitzer_RLA_230_460_3ph_60Hz.xlsx</t>
        </is>
      </c>
      <c r="AC5" t="inlineStr">
        <is>
          <t>BITZER_RLA_230_460_3PH</t>
        </is>
      </c>
    </row>
    <row r="6">
      <c r="A6" t="inlineStr">
        <is>
          <t>BITZER</t>
        </is>
      </c>
      <c r="B6" t="inlineStr">
        <is>
          <t>2DES-2</t>
        </is>
      </c>
      <c r="C6" t="inlineStr">
        <is>
          <t>2.0</t>
        </is>
      </c>
      <c r="D6" t="inlineStr">
        <is>
          <t>Reciprocating Semi-hermetic</t>
        </is>
      </c>
      <c r="E6" s="2" t="n">
        <v>3</v>
      </c>
      <c r="F6" s="2" t="n">
        <v>60</v>
      </c>
      <c r="G6" s="2" t="n">
        <v>230</v>
      </c>
      <c r="H6" t="inlineStr">
        <is>
          <t>230</t>
        </is>
      </c>
      <c r="I6" s="2" t="n">
        <v>230</v>
      </c>
      <c r="J6" s="2" t="n">
        <v>230</v>
      </c>
      <c r="L6" s="3" t="n">
        <v>18.3</v>
      </c>
      <c r="M6" s="3" t="n">
        <v>15</v>
      </c>
      <c r="N6" s="3" t="n">
        <v>11.7</v>
      </c>
      <c r="O6" s="3" t="n">
        <v>13.1</v>
      </c>
      <c r="P6" s="3">
        <f>IF(L6&lt;&gt;"",L6/1.4,"")</f>
        <v/>
      </c>
      <c r="Q6" s="3">
        <f>IF(L6&lt;&gt;"",L6/1.56,"")</f>
        <v/>
      </c>
      <c r="R6" s="3">
        <f>IF(M6&lt;&gt;"",M6/1.4,"")</f>
        <v/>
      </c>
      <c r="S6" s="3">
        <f>IF(M6&lt;&gt;"",M6/1.56,"")</f>
        <v/>
      </c>
      <c r="T6" s="3">
        <f>IF(N6&lt;&gt;"",N6,IF(O6&lt;&gt;"",O6,IF(L6&lt;&gt;"",L6/1.56,IF(M6&lt;&gt;"",M6/1.56,""))))</f>
        <v/>
      </c>
      <c r="U6" s="3" t="n"/>
      <c r="V6" s="3" t="n">
        <v>80.5</v>
      </c>
      <c r="W6" s="3" t="n"/>
      <c r="X6" s="4" t="n"/>
      <c r="Y6" s="5" t="n"/>
      <c r="Z6" s="4">
        <f>IF(L6&lt;&gt;"",SQRT(3)*G6*L6/1000,"")</f>
        <v/>
      </c>
      <c r="AB6" t="inlineStr">
        <is>
          <t>Bitzer_RLA_230_460_3ph_60Hz.xlsx</t>
        </is>
      </c>
      <c r="AC6" t="inlineStr">
        <is>
          <t>BITZER_RLA_230_460_3PH</t>
        </is>
      </c>
    </row>
    <row r="7">
      <c r="A7" t="inlineStr">
        <is>
          <t>BITZER</t>
        </is>
      </c>
      <c r="B7" t="inlineStr">
        <is>
          <t>2DES-2</t>
        </is>
      </c>
      <c r="C7" t="inlineStr">
        <is>
          <t>2.0</t>
        </is>
      </c>
      <c r="D7" t="inlineStr">
        <is>
          <t>Reciprocating Semi-hermetic</t>
        </is>
      </c>
      <c r="E7" s="2" t="n">
        <v>3</v>
      </c>
      <c r="F7" s="2" t="n">
        <v>60</v>
      </c>
      <c r="G7" s="2" t="n">
        <v>460</v>
      </c>
      <c r="H7" t="inlineStr">
        <is>
          <t>460</t>
        </is>
      </c>
      <c r="I7" s="2" t="n">
        <v>460</v>
      </c>
      <c r="J7" s="2" t="n">
        <v>460</v>
      </c>
      <c r="L7" s="3" t="n">
        <v>9</v>
      </c>
      <c r="M7" s="3" t="n">
        <v>7.5</v>
      </c>
      <c r="N7" s="3" t="n">
        <v>5.8</v>
      </c>
      <c r="O7" s="3" t="n">
        <v>6.4</v>
      </c>
      <c r="P7" s="3">
        <f>IF(L7&lt;&gt;"",L7/1.4,"")</f>
        <v/>
      </c>
      <c r="Q7" s="3">
        <f>IF(L7&lt;&gt;"",L7/1.56,"")</f>
        <v/>
      </c>
      <c r="R7" s="3">
        <f>IF(M7&lt;&gt;"",M7/1.4,"")</f>
        <v/>
      </c>
      <c r="S7" s="3">
        <f>IF(M7&lt;&gt;"",M7/1.56,"")</f>
        <v/>
      </c>
      <c r="T7" s="3">
        <f>IF(N7&lt;&gt;"",N7,IF(O7&lt;&gt;"",O7,IF(L7&lt;&gt;"",L7/1.56,IF(M7&lt;&gt;"",M7/1.56,""))))</f>
        <v/>
      </c>
      <c r="U7" s="3" t="n"/>
      <c r="V7" s="3" t="n">
        <v>33</v>
      </c>
      <c r="W7" s="3" t="n"/>
      <c r="X7" s="4" t="n"/>
      <c r="Y7" s="5" t="n"/>
      <c r="Z7" s="4">
        <f>IF(L7&lt;&gt;"",SQRT(3)*G7*L7/1000,"")</f>
        <v/>
      </c>
      <c r="AB7" t="inlineStr">
        <is>
          <t>Bitzer_RLA_230_460_3ph_60Hz.xlsx</t>
        </is>
      </c>
      <c r="AC7" t="inlineStr">
        <is>
          <t>BITZER_RLA_230_460_3PH</t>
        </is>
      </c>
    </row>
    <row r="8">
      <c r="A8" t="inlineStr">
        <is>
          <t>BITZER</t>
        </is>
      </c>
      <c r="B8" t="inlineStr">
        <is>
          <t>2DES-3</t>
        </is>
      </c>
      <c r="C8" t="inlineStr">
        <is>
          <t>1.0</t>
        </is>
      </c>
      <c r="D8" t="inlineStr">
        <is>
          <t>Reciprocating Semi-hermetic</t>
        </is>
      </c>
      <c r="E8" s="2" t="n">
        <v>3</v>
      </c>
      <c r="F8" s="2" t="n">
        <v>60</v>
      </c>
      <c r="G8" s="2" t="n">
        <v>230</v>
      </c>
      <c r="H8" t="inlineStr">
        <is>
          <t>230</t>
        </is>
      </c>
      <c r="I8" s="2" t="n">
        <v>230</v>
      </c>
      <c r="J8" s="2" t="n">
        <v>230</v>
      </c>
      <c r="L8" s="3" t="n">
        <v>23.8</v>
      </c>
      <c r="M8" s="3" t="n">
        <v>17.2</v>
      </c>
      <c r="N8" s="3" t="n">
        <v>15.3</v>
      </c>
      <c r="O8" s="3" t="n">
        <v>17</v>
      </c>
      <c r="P8" s="3">
        <f>IF(L8&lt;&gt;"",L8/1.4,"")</f>
        <v/>
      </c>
      <c r="Q8" s="3">
        <f>IF(L8&lt;&gt;"",L8/1.56,"")</f>
        <v/>
      </c>
      <c r="R8" s="3">
        <f>IF(M8&lt;&gt;"",M8/1.4,"")</f>
        <v/>
      </c>
      <c r="S8" s="3">
        <f>IF(M8&lt;&gt;"",M8/1.56,"")</f>
        <v/>
      </c>
      <c r="T8" s="3">
        <f>IF(N8&lt;&gt;"",N8,IF(O8&lt;&gt;"",O8,IF(L8&lt;&gt;"",L8/1.56,IF(M8&lt;&gt;"",M8/1.56,""))))</f>
        <v/>
      </c>
      <c r="U8" s="3" t="n"/>
      <c r="V8" s="3" t="n">
        <v>97</v>
      </c>
      <c r="W8" s="3" t="n"/>
      <c r="X8" s="4" t="n"/>
      <c r="Y8" s="5" t="n"/>
      <c r="Z8" s="4">
        <f>IF(L8&lt;&gt;"",SQRT(3)*G8*L8/1000,"")</f>
        <v/>
      </c>
      <c r="AB8" t="inlineStr">
        <is>
          <t>Bitzer_RLA_230_460_3ph_60Hz.xlsx</t>
        </is>
      </c>
      <c r="AC8" t="inlineStr">
        <is>
          <t>BITZER_RLA_230_460_3PH</t>
        </is>
      </c>
    </row>
    <row r="9">
      <c r="A9" t="inlineStr">
        <is>
          <t>BITZER</t>
        </is>
      </c>
      <c r="B9" t="inlineStr">
        <is>
          <t>2DES-3</t>
        </is>
      </c>
      <c r="C9" t="inlineStr">
        <is>
          <t>1.0</t>
        </is>
      </c>
      <c r="D9" t="inlineStr">
        <is>
          <t>Reciprocating Semi-hermetic</t>
        </is>
      </c>
      <c r="E9" s="2" t="n">
        <v>3</v>
      </c>
      <c r="F9" s="2" t="n">
        <v>60</v>
      </c>
      <c r="G9" s="2" t="n">
        <v>460</v>
      </c>
      <c r="H9" t="inlineStr">
        <is>
          <t>460</t>
        </is>
      </c>
      <c r="I9" s="2" t="n">
        <v>460</v>
      </c>
      <c r="J9" s="2" t="n">
        <v>460</v>
      </c>
      <c r="L9" s="3" t="n">
        <v>11.3</v>
      </c>
      <c r="M9" s="3" t="n">
        <v>8.6</v>
      </c>
      <c r="N9" s="3" t="n">
        <v>7.2</v>
      </c>
      <c r="O9" s="3" t="n">
        <v>8.1</v>
      </c>
      <c r="P9" s="3">
        <f>IF(L9&lt;&gt;"",L9/1.4,"")</f>
        <v/>
      </c>
      <c r="Q9" s="3">
        <f>IF(L9&lt;&gt;"",L9/1.56,"")</f>
        <v/>
      </c>
      <c r="R9" s="3">
        <f>IF(M9&lt;&gt;"",M9/1.4,"")</f>
        <v/>
      </c>
      <c r="S9" s="3">
        <f>IF(M9&lt;&gt;"",M9/1.56,"")</f>
        <v/>
      </c>
      <c r="T9" s="3">
        <f>IF(N9&lt;&gt;"",N9,IF(O9&lt;&gt;"",O9,IF(L9&lt;&gt;"",L9/1.56,IF(M9&lt;&gt;"",M9/1.56,""))))</f>
        <v/>
      </c>
      <c r="U9" s="3" t="n"/>
      <c r="V9" s="3" t="n">
        <v>39.5</v>
      </c>
      <c r="W9" s="3" t="n"/>
      <c r="X9" s="4" t="n"/>
      <c r="Y9" s="5" t="n"/>
      <c r="Z9" s="4">
        <f>IF(L9&lt;&gt;"",SQRT(3)*G9*L9/1000,"")</f>
        <v/>
      </c>
      <c r="AB9" t="inlineStr">
        <is>
          <t>Bitzer_RLA_230_460_3ph_60Hz.xlsx</t>
        </is>
      </c>
      <c r="AC9" t="inlineStr">
        <is>
          <t>BITZER_RLA_230_460_3PH</t>
        </is>
      </c>
    </row>
    <row r="10">
      <c r="A10" t="inlineStr">
        <is>
          <t>BITZER</t>
        </is>
      </c>
      <c r="B10" t="inlineStr">
        <is>
          <t>2EES-2</t>
        </is>
      </c>
      <c r="C10" t="inlineStr">
        <is>
          <t>2.0</t>
        </is>
      </c>
      <c r="D10" t="inlineStr">
        <is>
          <t>Reciprocating Semi-hermetic</t>
        </is>
      </c>
      <c r="E10" s="2" t="n">
        <v>3</v>
      </c>
      <c r="F10" s="2" t="n">
        <v>60</v>
      </c>
      <c r="G10" s="2" t="n">
        <v>230</v>
      </c>
      <c r="H10" t="inlineStr">
        <is>
          <t>230</t>
        </is>
      </c>
      <c r="I10" s="2" t="n">
        <v>230</v>
      </c>
      <c r="J10" s="2" t="n">
        <v>230</v>
      </c>
      <c r="L10" s="3" t="n">
        <v>16.8</v>
      </c>
      <c r="M10" s="3" t="n">
        <v>12</v>
      </c>
      <c r="N10" s="3" t="n">
        <v>10.8</v>
      </c>
      <c r="O10" s="3" t="n">
        <v>12</v>
      </c>
      <c r="P10" s="3">
        <f>IF(L10&lt;&gt;"",L10/1.4,"")</f>
        <v/>
      </c>
      <c r="Q10" s="3">
        <f>IF(L10&lt;&gt;"",L10/1.56,"")</f>
        <v/>
      </c>
      <c r="R10" s="3">
        <f>IF(M10&lt;&gt;"",M10/1.4,"")</f>
        <v/>
      </c>
      <c r="S10" s="3">
        <f>IF(M10&lt;&gt;"",M10/1.56,"")</f>
        <v/>
      </c>
      <c r="T10" s="3">
        <f>IF(N10&lt;&gt;"",N10,IF(O10&lt;&gt;"",O10,IF(L10&lt;&gt;"",L10/1.56,IF(M10&lt;&gt;"",M10/1.56,""))))</f>
        <v/>
      </c>
      <c r="U10" s="3" t="n"/>
      <c r="V10" s="3" t="n">
        <v>70</v>
      </c>
      <c r="W10" s="3" t="n"/>
      <c r="X10" s="4" t="n">
        <v>4</v>
      </c>
      <c r="Y10" s="5" t="n"/>
      <c r="Z10" s="4">
        <f>IF(L10&lt;&gt;"",SQRT(3)*G10*L10/1000,"")</f>
        <v/>
      </c>
      <c r="AB10" t="inlineStr">
        <is>
          <t>Bitzer_RLA_230_460_3ph_60Hz.xlsx</t>
        </is>
      </c>
      <c r="AC10" t="inlineStr">
        <is>
          <t>BITZER_RLA_230_460_3PH</t>
        </is>
      </c>
    </row>
    <row r="11">
      <c r="A11" t="inlineStr">
        <is>
          <t>BITZER</t>
        </is>
      </c>
      <c r="B11" t="inlineStr">
        <is>
          <t>2EES-2</t>
        </is>
      </c>
      <c r="C11" t="inlineStr">
        <is>
          <t>2.0</t>
        </is>
      </c>
      <c r="D11" t="inlineStr">
        <is>
          <t>Reciprocating Semi-hermetic</t>
        </is>
      </c>
      <c r="E11" s="2" t="n">
        <v>3</v>
      </c>
      <c r="F11" s="2" t="n">
        <v>60</v>
      </c>
      <c r="G11" s="2" t="n">
        <v>460</v>
      </c>
      <c r="H11" t="inlineStr">
        <is>
          <t>460</t>
        </is>
      </c>
      <c r="I11" s="2" t="n">
        <v>460</v>
      </c>
      <c r="J11" s="2" t="n">
        <v>460</v>
      </c>
      <c r="L11" s="3" t="n">
        <v>7.6</v>
      </c>
      <c r="M11" s="3" t="n">
        <v>6</v>
      </c>
      <c r="N11" s="3" t="n">
        <v>4.9</v>
      </c>
      <c r="O11" s="3" t="n">
        <v>5.4</v>
      </c>
      <c r="P11" s="3">
        <f>IF(L11&lt;&gt;"",L11/1.4,"")</f>
        <v/>
      </c>
      <c r="Q11" s="3">
        <f>IF(L11&lt;&gt;"",L11/1.56,"")</f>
        <v/>
      </c>
      <c r="R11" s="3">
        <f>IF(M11&lt;&gt;"",M11/1.4,"")</f>
        <v/>
      </c>
      <c r="S11" s="3">
        <f>IF(M11&lt;&gt;"",M11/1.56,"")</f>
        <v/>
      </c>
      <c r="T11" s="3">
        <f>IF(N11&lt;&gt;"",N11,IF(O11&lt;&gt;"",O11,IF(L11&lt;&gt;"",L11/1.56,IF(M11&lt;&gt;"",M11/1.56,""))))</f>
        <v/>
      </c>
      <c r="U11" s="3" t="n"/>
      <c r="V11" s="3" t="n">
        <v>28.5</v>
      </c>
      <c r="W11" s="3" t="n"/>
      <c r="X11" s="4" t="n">
        <v>4</v>
      </c>
      <c r="Y11" s="5" t="n"/>
      <c r="Z11" s="4">
        <f>IF(L11&lt;&gt;"",SQRT(3)*G11*L11/1000,"")</f>
        <v/>
      </c>
      <c r="AB11" t="inlineStr">
        <is>
          <t>Bitzer_RLA_230_460_3ph_60Hz.xlsx</t>
        </is>
      </c>
      <c r="AC11" t="inlineStr">
        <is>
          <t>BITZER_RLA_230_460_3PH</t>
        </is>
      </c>
    </row>
    <row r="12">
      <c r="A12" t="inlineStr">
        <is>
          <t>BITZER</t>
        </is>
      </c>
      <c r="B12" t="inlineStr">
        <is>
          <t>2EES-3</t>
        </is>
      </c>
      <c r="C12" t="inlineStr">
        <is>
          <t>1.0</t>
        </is>
      </c>
      <c r="D12" t="inlineStr">
        <is>
          <t>Reciprocating Semi-hermetic</t>
        </is>
      </c>
      <c r="E12" s="2" t="n">
        <v>3</v>
      </c>
      <c r="F12" s="2" t="n">
        <v>60</v>
      </c>
      <c r="G12" s="2" t="n">
        <v>230</v>
      </c>
      <c r="H12" t="inlineStr">
        <is>
          <t>230</t>
        </is>
      </c>
      <c r="I12" s="2" t="n">
        <v>230</v>
      </c>
      <c r="J12" s="2" t="n">
        <v>230</v>
      </c>
      <c r="L12" s="3" t="n">
        <v>21.9</v>
      </c>
      <c r="M12" s="3" t="n">
        <v>15</v>
      </c>
      <c r="N12" s="3" t="n">
        <v>14</v>
      </c>
      <c r="O12" s="3" t="n">
        <v>15.6</v>
      </c>
      <c r="P12" s="3">
        <f>IF(L12&lt;&gt;"",L12/1.4,"")</f>
        <v/>
      </c>
      <c r="Q12" s="3">
        <f>IF(L12&lt;&gt;"",L12/1.56,"")</f>
        <v/>
      </c>
      <c r="R12" s="3">
        <f>IF(M12&lt;&gt;"",M12/1.4,"")</f>
        <v/>
      </c>
      <c r="S12" s="3">
        <f>IF(M12&lt;&gt;"",M12/1.56,"")</f>
        <v/>
      </c>
      <c r="T12" s="3">
        <f>IF(N12&lt;&gt;"",N12,IF(O12&lt;&gt;"",O12,IF(L12&lt;&gt;"",L12/1.56,IF(M12&lt;&gt;"",M12/1.56,""))))</f>
        <v/>
      </c>
      <c r="U12" s="3" t="n"/>
      <c r="V12" s="3" t="n">
        <v>97</v>
      </c>
      <c r="W12" s="3" t="n"/>
      <c r="X12" s="4" t="n">
        <v>4.6</v>
      </c>
      <c r="Y12" s="5" t="n"/>
      <c r="Z12" s="4">
        <f>IF(L12&lt;&gt;"",SQRT(3)*G12*L12/1000,"")</f>
        <v/>
      </c>
      <c r="AB12" t="inlineStr">
        <is>
          <t>Bitzer_RLA_230_460_3ph_60Hz.xlsx</t>
        </is>
      </c>
      <c r="AC12" t="inlineStr">
        <is>
          <t>BITZER_RLA_230_460_3PH</t>
        </is>
      </c>
    </row>
    <row r="13">
      <c r="A13" t="inlineStr">
        <is>
          <t>BITZER</t>
        </is>
      </c>
      <c r="B13" t="inlineStr">
        <is>
          <t>2EES-3</t>
        </is>
      </c>
      <c r="C13" t="inlineStr">
        <is>
          <t>1.0</t>
        </is>
      </c>
      <c r="D13" t="inlineStr">
        <is>
          <t>Reciprocating Semi-hermetic</t>
        </is>
      </c>
      <c r="E13" s="2" t="n">
        <v>3</v>
      </c>
      <c r="F13" s="2" t="n">
        <v>60</v>
      </c>
      <c r="G13" s="2" t="n">
        <v>460</v>
      </c>
      <c r="H13" t="inlineStr">
        <is>
          <t>460</t>
        </is>
      </c>
      <c r="I13" s="2" t="n">
        <v>460</v>
      </c>
      <c r="J13" s="2" t="n">
        <v>460</v>
      </c>
      <c r="L13" s="3" t="n">
        <v>10.2</v>
      </c>
      <c r="M13" s="3" t="n">
        <v>7.5</v>
      </c>
      <c r="N13" s="3" t="n">
        <v>6.5</v>
      </c>
      <c r="O13" s="3" t="n">
        <v>7.3</v>
      </c>
      <c r="P13" s="3">
        <f>IF(L13&lt;&gt;"",L13/1.4,"")</f>
        <v/>
      </c>
      <c r="Q13" s="3">
        <f>IF(L13&lt;&gt;"",L13/1.56,"")</f>
        <v/>
      </c>
      <c r="R13" s="3">
        <f>IF(M13&lt;&gt;"",M13/1.4,"")</f>
        <v/>
      </c>
      <c r="S13" s="3">
        <f>IF(M13&lt;&gt;"",M13/1.56,"")</f>
        <v/>
      </c>
      <c r="T13" s="3">
        <f>IF(N13&lt;&gt;"",N13,IF(O13&lt;&gt;"",O13,IF(L13&lt;&gt;"",L13/1.56,IF(M13&lt;&gt;"",M13/1.56,""))))</f>
        <v/>
      </c>
      <c r="U13" s="3" t="n"/>
      <c r="V13" s="3" t="n">
        <v>39.5</v>
      </c>
      <c r="W13" s="3" t="n"/>
      <c r="X13" s="4" t="n">
        <v>4.6</v>
      </c>
      <c r="Y13" s="5" t="n"/>
      <c r="Z13" s="4">
        <f>IF(L13&lt;&gt;"",SQRT(3)*G13*L13/1000,"")</f>
        <v/>
      </c>
      <c r="AB13" t="inlineStr">
        <is>
          <t>Bitzer_RLA_230_460_3ph_60Hz.xlsx</t>
        </is>
      </c>
      <c r="AC13" t="inlineStr">
        <is>
          <t>BITZER_RLA_230_460_3PH</t>
        </is>
      </c>
    </row>
    <row r="14">
      <c r="A14" t="inlineStr">
        <is>
          <t>BITZER</t>
        </is>
      </c>
      <c r="B14" t="inlineStr">
        <is>
          <t>2FES-2</t>
        </is>
      </c>
      <c r="C14" t="inlineStr">
        <is>
          <t>2.0</t>
        </is>
      </c>
      <c r="D14" t="inlineStr">
        <is>
          <t>Reciprocating Semi-hermetic</t>
        </is>
      </c>
      <c r="E14" s="2" t="n">
        <v>3</v>
      </c>
      <c r="F14" s="2" t="n">
        <v>60</v>
      </c>
      <c r="G14" s="2" t="n">
        <v>230</v>
      </c>
      <c r="H14" t="inlineStr">
        <is>
          <t>230</t>
        </is>
      </c>
      <c r="I14" s="2" t="n">
        <v>230</v>
      </c>
      <c r="J14" s="2" t="n">
        <v>230</v>
      </c>
      <c r="L14" s="3" t="n">
        <v>14</v>
      </c>
      <c r="M14" s="3" t="n">
        <v>10.6</v>
      </c>
      <c r="N14" s="3" t="n">
        <v>9</v>
      </c>
      <c r="O14" s="3" t="n">
        <v>10</v>
      </c>
      <c r="P14" s="3">
        <f>IF(L14&lt;&gt;"",L14/1.4,"")</f>
        <v/>
      </c>
      <c r="Q14" s="3">
        <f>IF(L14&lt;&gt;"",L14/1.56,"")</f>
        <v/>
      </c>
      <c r="R14" s="3">
        <f>IF(M14&lt;&gt;"",M14/1.4,"")</f>
        <v/>
      </c>
      <c r="S14" s="3">
        <f>IF(M14&lt;&gt;"",M14/1.56,"")</f>
        <v/>
      </c>
      <c r="T14" s="3">
        <f>IF(N14&lt;&gt;"",N14,IF(O14&lt;&gt;"",O14,IF(L14&lt;&gt;"",L14/1.56,IF(M14&lt;&gt;"",M14/1.56,""))))</f>
        <v/>
      </c>
      <c r="U14" s="3" t="n"/>
      <c r="V14" s="3" t="n">
        <v>54</v>
      </c>
      <c r="W14" s="3" t="n"/>
      <c r="X14" s="4" t="n"/>
      <c r="Y14" s="5" t="n"/>
      <c r="Z14" s="4">
        <f>IF(L14&lt;&gt;"",SQRT(3)*G14*L14/1000,"")</f>
        <v/>
      </c>
      <c r="AB14" t="inlineStr">
        <is>
          <t>Bitzer_RLA_230_460_3ph_60Hz.xlsx</t>
        </is>
      </c>
      <c r="AC14" t="inlineStr">
        <is>
          <t>BITZER_RLA_230_460_3PH</t>
        </is>
      </c>
    </row>
    <row r="15">
      <c r="A15" t="inlineStr">
        <is>
          <t>BITZER</t>
        </is>
      </c>
      <c r="B15" t="inlineStr">
        <is>
          <t>2FES-2</t>
        </is>
      </c>
      <c r="C15" t="inlineStr">
        <is>
          <t>2.0</t>
        </is>
      </c>
      <c r="D15" t="inlineStr">
        <is>
          <t>Reciprocating Semi-hermetic</t>
        </is>
      </c>
      <c r="E15" s="2" t="n">
        <v>3</v>
      </c>
      <c r="F15" s="2" t="n">
        <v>60</v>
      </c>
      <c r="G15" s="2" t="n">
        <v>460</v>
      </c>
      <c r="H15" t="inlineStr">
        <is>
          <t>460</t>
        </is>
      </c>
      <c r="I15" s="2" t="n">
        <v>460</v>
      </c>
      <c r="J15" s="2" t="n">
        <v>460</v>
      </c>
      <c r="L15" s="3" t="n">
        <v>6.4</v>
      </c>
      <c r="M15" s="3" t="n">
        <v>5.3</v>
      </c>
      <c r="N15" s="3" t="n">
        <v>4.1</v>
      </c>
      <c r="O15" s="3" t="n">
        <v>4.6</v>
      </c>
      <c r="P15" s="3">
        <f>IF(L15&lt;&gt;"",L15/1.4,"")</f>
        <v/>
      </c>
      <c r="Q15" s="3">
        <f>IF(L15&lt;&gt;"",L15/1.56,"")</f>
        <v/>
      </c>
      <c r="R15" s="3">
        <f>IF(M15&lt;&gt;"",M15/1.4,"")</f>
        <v/>
      </c>
      <c r="S15" s="3">
        <f>IF(M15&lt;&gt;"",M15/1.56,"")</f>
        <v/>
      </c>
      <c r="T15" s="3">
        <f>IF(N15&lt;&gt;"",N15,IF(O15&lt;&gt;"",O15,IF(L15&lt;&gt;"",L15/1.56,IF(M15&lt;&gt;"",M15/1.56,""))))</f>
        <v/>
      </c>
      <c r="U15" s="3" t="n"/>
      <c r="V15" s="3" t="n">
        <v>24</v>
      </c>
      <c r="W15" s="3" t="n"/>
      <c r="X15" s="4" t="n"/>
      <c r="Y15" s="5" t="n"/>
      <c r="Z15" s="4">
        <f>IF(L15&lt;&gt;"",SQRT(3)*G15*L15/1000,"")</f>
        <v/>
      </c>
      <c r="AB15" t="inlineStr">
        <is>
          <t>Bitzer_RLA_230_460_3ph_60Hz.xlsx</t>
        </is>
      </c>
      <c r="AC15" t="inlineStr">
        <is>
          <t>BITZER_RLA_230_460_3PH</t>
        </is>
      </c>
    </row>
    <row r="16">
      <c r="A16" t="inlineStr">
        <is>
          <t>BITZER</t>
        </is>
      </c>
      <c r="B16" t="inlineStr">
        <is>
          <t>2FES-3</t>
        </is>
      </c>
      <c r="C16" t="inlineStr">
        <is>
          <t>1.0</t>
        </is>
      </c>
      <c r="D16" t="inlineStr">
        <is>
          <t>Reciprocating Semi-hermetic</t>
        </is>
      </c>
      <c r="E16" s="2" t="n">
        <v>3</v>
      </c>
      <c r="F16" s="2" t="n">
        <v>60</v>
      </c>
      <c r="G16" s="2" t="n">
        <v>230</v>
      </c>
      <c r="H16" t="inlineStr">
        <is>
          <t>230</t>
        </is>
      </c>
      <c r="I16" s="2" t="n">
        <v>230</v>
      </c>
      <c r="J16" s="2" t="n">
        <v>230</v>
      </c>
      <c r="L16" s="3" t="n">
        <v>17.6</v>
      </c>
      <c r="M16" s="3" t="n">
        <v>12.2</v>
      </c>
      <c r="N16" s="3" t="n">
        <v>11.3</v>
      </c>
      <c r="O16" s="3" t="n">
        <v>12.6</v>
      </c>
      <c r="P16" s="3">
        <f>IF(L16&lt;&gt;"",L16/1.4,"")</f>
        <v/>
      </c>
      <c r="Q16" s="3">
        <f>IF(L16&lt;&gt;"",L16/1.56,"")</f>
        <v/>
      </c>
      <c r="R16" s="3">
        <f>IF(M16&lt;&gt;"",M16/1.4,"")</f>
        <v/>
      </c>
      <c r="S16" s="3">
        <f>IF(M16&lt;&gt;"",M16/1.56,"")</f>
        <v/>
      </c>
      <c r="T16" s="3">
        <f>IF(N16&lt;&gt;"",N16,IF(O16&lt;&gt;"",O16,IF(L16&lt;&gt;"",L16/1.56,IF(M16&lt;&gt;"",M16/1.56,""))))</f>
        <v/>
      </c>
      <c r="U16" s="3" t="n"/>
      <c r="V16" s="3" t="n">
        <v>60</v>
      </c>
      <c r="W16" s="3" t="n"/>
      <c r="X16" s="4" t="n"/>
      <c r="Y16" s="5" t="n"/>
      <c r="Z16" s="4">
        <f>IF(L16&lt;&gt;"",SQRT(3)*G16*L16/1000,"")</f>
        <v/>
      </c>
      <c r="AB16" t="inlineStr">
        <is>
          <t>Bitzer_RLA_230_460_3ph_60Hz.xlsx</t>
        </is>
      </c>
      <c r="AC16" t="inlineStr">
        <is>
          <t>BITZER_RLA_230_460_3PH</t>
        </is>
      </c>
    </row>
    <row r="17">
      <c r="A17" t="inlineStr">
        <is>
          <t>BITZER</t>
        </is>
      </c>
      <c r="B17" t="inlineStr">
        <is>
          <t>2FES-3</t>
        </is>
      </c>
      <c r="C17" t="inlineStr">
        <is>
          <t>1.0</t>
        </is>
      </c>
      <c r="D17" t="inlineStr">
        <is>
          <t>Reciprocating Semi-hermetic</t>
        </is>
      </c>
      <c r="E17" s="2" t="n">
        <v>3</v>
      </c>
      <c r="F17" s="2" t="n">
        <v>60</v>
      </c>
      <c r="G17" s="2" t="n">
        <v>460</v>
      </c>
      <c r="H17" t="inlineStr">
        <is>
          <t>460</t>
        </is>
      </c>
      <c r="I17" s="2" t="n">
        <v>460</v>
      </c>
      <c r="J17" s="2" t="n">
        <v>460</v>
      </c>
      <c r="L17" s="3" t="n">
        <v>8</v>
      </c>
      <c r="M17" s="3" t="n">
        <v>6.1</v>
      </c>
      <c r="N17" s="3" t="n">
        <v>5.1</v>
      </c>
      <c r="O17" s="3" t="n">
        <v>5.7</v>
      </c>
      <c r="P17" s="3">
        <f>IF(L17&lt;&gt;"",L17/1.4,"")</f>
        <v/>
      </c>
      <c r="Q17" s="3">
        <f>IF(L17&lt;&gt;"",L17/1.56,"")</f>
        <v/>
      </c>
      <c r="R17" s="3">
        <f>IF(M17&lt;&gt;"",M17/1.4,"")</f>
        <v/>
      </c>
      <c r="S17" s="3">
        <f>IF(M17&lt;&gt;"",M17/1.56,"")</f>
        <v/>
      </c>
      <c r="T17" s="3">
        <f>IF(N17&lt;&gt;"",N17,IF(O17&lt;&gt;"",O17,IF(L17&lt;&gt;"",L17/1.56,IF(M17&lt;&gt;"",M17/1.56,""))))</f>
        <v/>
      </c>
      <c r="U17" s="3" t="n"/>
      <c r="V17" s="3" t="n">
        <v>27.5</v>
      </c>
      <c r="W17" s="3" t="n"/>
      <c r="X17" s="4" t="n"/>
      <c r="Y17" s="5" t="n"/>
      <c r="Z17" s="4">
        <f>IF(L17&lt;&gt;"",SQRT(3)*G17*L17/1000,"")</f>
        <v/>
      </c>
      <c r="AB17" t="inlineStr">
        <is>
          <t>Bitzer_RLA_230_460_3ph_60Hz.xlsx</t>
        </is>
      </c>
      <c r="AC17" t="inlineStr">
        <is>
          <t>BITZER_RLA_230_460_3PH</t>
        </is>
      </c>
    </row>
    <row r="18">
      <c r="A18" t="inlineStr">
        <is>
          <t>BITZER</t>
        </is>
      </c>
      <c r="B18" t="inlineStr">
        <is>
          <t>2GES-2</t>
        </is>
      </c>
      <c r="C18" t="inlineStr">
        <is>
          <t>1.0</t>
        </is>
      </c>
      <c r="D18" t="inlineStr">
        <is>
          <t>Reciprocating Semi-hermetic</t>
        </is>
      </c>
      <c r="E18" s="2" t="n">
        <v>3</v>
      </c>
      <c r="F18" s="2" t="n">
        <v>60</v>
      </c>
      <c r="G18" s="2" t="n">
        <v>230</v>
      </c>
      <c r="H18" t="inlineStr">
        <is>
          <t>230</t>
        </is>
      </c>
      <c r="I18" s="2" t="n">
        <v>230</v>
      </c>
      <c r="J18" s="2" t="n">
        <v>230</v>
      </c>
      <c r="L18" s="3" t="n">
        <v>15.3</v>
      </c>
      <c r="M18" s="3" t="n">
        <v>10</v>
      </c>
      <c r="N18" s="3" t="n">
        <v>9.800000000000001</v>
      </c>
      <c r="O18" s="3" t="n">
        <v>10.9</v>
      </c>
      <c r="P18" s="3">
        <f>IF(L18&lt;&gt;"",L18/1.4,"")</f>
        <v/>
      </c>
      <c r="Q18" s="3">
        <f>IF(L18&lt;&gt;"",L18/1.56,"")</f>
        <v/>
      </c>
      <c r="R18" s="3">
        <f>IF(M18&lt;&gt;"",M18/1.4,"")</f>
        <v/>
      </c>
      <c r="S18" s="3">
        <f>IF(M18&lt;&gt;"",M18/1.56,"")</f>
        <v/>
      </c>
      <c r="T18" s="3">
        <f>IF(N18&lt;&gt;"",N18,IF(O18&lt;&gt;"",O18,IF(L18&lt;&gt;"",L18/1.56,IF(M18&lt;&gt;"",M18/1.56,""))))</f>
        <v/>
      </c>
      <c r="U18" s="3" t="n"/>
      <c r="V18" s="3" t="n">
        <v>54</v>
      </c>
      <c r="W18" s="3" t="n"/>
      <c r="X18" s="4" t="n">
        <v>3.3</v>
      </c>
      <c r="Y18" s="5" t="n"/>
      <c r="Z18" s="4">
        <f>IF(L18&lt;&gt;"",SQRT(3)*G18*L18/1000,"")</f>
        <v/>
      </c>
      <c r="AB18" t="inlineStr">
        <is>
          <t>Bitzer_RLA_230_460_3ph_60Hz.xlsx</t>
        </is>
      </c>
      <c r="AC18" t="inlineStr">
        <is>
          <t>BITZER_RLA_230_460_3PH</t>
        </is>
      </c>
    </row>
    <row r="19">
      <c r="A19" t="inlineStr">
        <is>
          <t>BITZER</t>
        </is>
      </c>
      <c r="B19" t="inlineStr">
        <is>
          <t>2GES-2</t>
        </is>
      </c>
      <c r="C19" t="inlineStr">
        <is>
          <t>1.0</t>
        </is>
      </c>
      <c r="D19" t="inlineStr">
        <is>
          <t>Reciprocating Semi-hermetic</t>
        </is>
      </c>
      <c r="E19" s="2" t="n">
        <v>3</v>
      </c>
      <c r="F19" s="2" t="n">
        <v>60</v>
      </c>
      <c r="G19" s="2" t="n">
        <v>460</v>
      </c>
      <c r="H19" t="inlineStr">
        <is>
          <t>460</t>
        </is>
      </c>
      <c r="I19" s="2" t="n">
        <v>460</v>
      </c>
      <c r="J19" s="2" t="n">
        <v>460</v>
      </c>
      <c r="L19" s="3" t="n">
        <v>6.7</v>
      </c>
      <c r="M19" s="3" t="n">
        <v>5</v>
      </c>
      <c r="N19" s="3" t="n">
        <v>4.3</v>
      </c>
      <c r="O19" s="3" t="n">
        <v>4.8</v>
      </c>
      <c r="P19" s="3">
        <f>IF(L19&lt;&gt;"",L19/1.4,"")</f>
        <v/>
      </c>
      <c r="Q19" s="3">
        <f>IF(L19&lt;&gt;"",L19/1.56,"")</f>
        <v/>
      </c>
      <c r="R19" s="3">
        <f>IF(M19&lt;&gt;"",M19/1.4,"")</f>
        <v/>
      </c>
      <c r="S19" s="3">
        <f>IF(M19&lt;&gt;"",M19/1.56,"")</f>
        <v/>
      </c>
      <c r="T19" s="3">
        <f>IF(N19&lt;&gt;"",N19,IF(O19&lt;&gt;"",O19,IF(L19&lt;&gt;"",L19/1.56,IF(M19&lt;&gt;"",M19/1.56,""))))</f>
        <v/>
      </c>
      <c r="U19" s="3" t="n"/>
      <c r="V19" s="3" t="n">
        <v>24</v>
      </c>
      <c r="W19" s="3" t="n"/>
      <c r="X19" s="4" t="n">
        <v>3.3</v>
      </c>
      <c r="Y19" s="5" t="n"/>
      <c r="Z19" s="4">
        <f>IF(L19&lt;&gt;"",SQRT(3)*G19*L19/1000,"")</f>
        <v/>
      </c>
      <c r="AB19" t="inlineStr">
        <is>
          <t>Bitzer_RLA_230_460_3ph_60Hz.xlsx</t>
        </is>
      </c>
      <c r="AC19" t="inlineStr">
        <is>
          <t>BITZER_RLA_230_460_3PH</t>
        </is>
      </c>
    </row>
    <row r="20">
      <c r="A20" t="inlineStr">
        <is>
          <t>BITZER</t>
        </is>
      </c>
      <c r="B20" t="inlineStr">
        <is>
          <t>2HES-1</t>
        </is>
      </c>
      <c r="C20" t="inlineStr">
        <is>
          <t>2.0</t>
        </is>
      </c>
      <c r="D20" t="inlineStr">
        <is>
          <t>Reciprocating Semi-hermetic</t>
        </is>
      </c>
      <c r="E20" s="2" t="n">
        <v>3</v>
      </c>
      <c r="F20" s="2" t="n">
        <v>60</v>
      </c>
      <c r="G20" s="2" t="n">
        <v>230</v>
      </c>
      <c r="H20" t="inlineStr">
        <is>
          <t>230</t>
        </is>
      </c>
      <c r="I20" s="2" t="n">
        <v>230</v>
      </c>
      <c r="J20" s="2" t="n">
        <v>230</v>
      </c>
      <c r="L20" s="3" t="n">
        <v>10.2</v>
      </c>
      <c r="M20" s="3" t="n">
        <v>7.6</v>
      </c>
      <c r="N20" s="3" t="n">
        <v>6.5</v>
      </c>
      <c r="O20" s="3" t="n">
        <v>7.3</v>
      </c>
      <c r="P20" s="3">
        <f>IF(L20&lt;&gt;"",L20/1.4,"")</f>
        <v/>
      </c>
      <c r="Q20" s="3">
        <f>IF(L20&lt;&gt;"",L20/1.56,"")</f>
        <v/>
      </c>
      <c r="R20" s="3">
        <f>IF(M20&lt;&gt;"",M20/1.4,"")</f>
        <v/>
      </c>
      <c r="S20" s="3">
        <f>IF(M20&lt;&gt;"",M20/1.56,"")</f>
        <v/>
      </c>
      <c r="T20" s="3">
        <f>IF(N20&lt;&gt;"",N20,IF(O20&lt;&gt;"",O20,IF(L20&lt;&gt;"",L20/1.56,IF(M20&lt;&gt;"",M20/1.56,""))))</f>
        <v/>
      </c>
      <c r="U20" s="3" t="n"/>
      <c r="V20" s="3" t="n">
        <v>42</v>
      </c>
      <c r="W20" s="3" t="n"/>
      <c r="X20" s="4" t="n"/>
      <c r="Y20" s="5" t="n"/>
      <c r="Z20" s="4">
        <f>IF(L20&lt;&gt;"",SQRT(3)*G20*L20/1000,"")</f>
        <v/>
      </c>
      <c r="AB20" t="inlineStr">
        <is>
          <t>Bitzer_RLA_230_460_3ph_60Hz.xlsx</t>
        </is>
      </c>
      <c r="AC20" t="inlineStr">
        <is>
          <t>BITZER_RLA_230_460_3PH</t>
        </is>
      </c>
    </row>
    <row r="21">
      <c r="A21" t="inlineStr">
        <is>
          <t>BITZER</t>
        </is>
      </c>
      <c r="B21" t="inlineStr">
        <is>
          <t>2HES-1</t>
        </is>
      </c>
      <c r="C21" t="inlineStr">
        <is>
          <t>2.0</t>
        </is>
      </c>
      <c r="D21" t="inlineStr">
        <is>
          <t>Reciprocating Semi-hermetic</t>
        </is>
      </c>
      <c r="E21" s="2" t="n">
        <v>3</v>
      </c>
      <c r="F21" s="2" t="n">
        <v>60</v>
      </c>
      <c r="G21" s="2" t="n">
        <v>460</v>
      </c>
      <c r="H21" t="inlineStr">
        <is>
          <t>460</t>
        </is>
      </c>
      <c r="I21" s="2" t="n">
        <v>460</v>
      </c>
      <c r="J21" s="2" t="n">
        <v>460</v>
      </c>
      <c r="L21" s="3" t="n">
        <v>4.8</v>
      </c>
      <c r="M21" s="3" t="n">
        <v>3.8</v>
      </c>
      <c r="N21" s="3" t="n">
        <v>3.1</v>
      </c>
      <c r="O21" s="3" t="n">
        <v>3.4</v>
      </c>
      <c r="P21" s="3">
        <f>IF(L21&lt;&gt;"",L21/1.4,"")</f>
        <v/>
      </c>
      <c r="Q21" s="3">
        <f>IF(L21&lt;&gt;"",L21/1.56,"")</f>
        <v/>
      </c>
      <c r="R21" s="3">
        <f>IF(M21&lt;&gt;"",M21/1.4,"")</f>
        <v/>
      </c>
      <c r="S21" s="3">
        <f>IF(M21&lt;&gt;"",M21/1.56,"")</f>
        <v/>
      </c>
      <c r="T21" s="3">
        <f>IF(N21&lt;&gt;"",N21,IF(O21&lt;&gt;"",O21,IF(L21&lt;&gt;"",L21/1.56,IF(M21&lt;&gt;"",M21/1.56,""))))</f>
        <v/>
      </c>
      <c r="U21" s="3" t="n"/>
      <c r="V21" s="3" t="n">
        <v>19</v>
      </c>
      <c r="W21" s="3" t="n"/>
      <c r="X21" s="4" t="n"/>
      <c r="Y21" s="5" t="n"/>
      <c r="Z21" s="4">
        <f>IF(L21&lt;&gt;"",SQRT(3)*G21*L21/1000,"")</f>
        <v/>
      </c>
      <c r="AB21" t="inlineStr">
        <is>
          <t>Bitzer_RLA_230_460_3ph_60Hz.xlsx</t>
        </is>
      </c>
      <c r="AC21" t="inlineStr">
        <is>
          <t>BITZER_RLA_230_460_3PH</t>
        </is>
      </c>
    </row>
    <row r="22">
      <c r="A22" t="inlineStr">
        <is>
          <t>BITZER</t>
        </is>
      </c>
      <c r="B22" t="inlineStr">
        <is>
          <t>2HES-2</t>
        </is>
      </c>
      <c r="C22" t="inlineStr">
        <is>
          <t>1.0</t>
        </is>
      </c>
      <c r="D22" t="inlineStr">
        <is>
          <t>Reciprocating Semi-hermetic</t>
        </is>
      </c>
      <c r="E22" s="2" t="n">
        <v>3</v>
      </c>
      <c r="F22" s="2" t="n">
        <v>60</v>
      </c>
      <c r="G22" s="2" t="n">
        <v>230</v>
      </c>
      <c r="H22" t="inlineStr">
        <is>
          <t>230</t>
        </is>
      </c>
      <c r="I22" s="2" t="n">
        <v>230</v>
      </c>
      <c r="J22" s="2" t="n">
        <v>230</v>
      </c>
      <c r="L22" s="3" t="n">
        <v>15.5</v>
      </c>
      <c r="M22" s="3" t="n">
        <v>9.5</v>
      </c>
      <c r="N22" s="3" t="n">
        <v>9.9</v>
      </c>
      <c r="O22" s="3" t="n">
        <v>11.1</v>
      </c>
      <c r="P22" s="3">
        <f>IF(L22&lt;&gt;"",L22/1.4,"")</f>
        <v/>
      </c>
      <c r="Q22" s="3">
        <f>IF(L22&lt;&gt;"",L22/1.56,"")</f>
        <v/>
      </c>
      <c r="R22" s="3">
        <f>IF(M22&lt;&gt;"",M22/1.4,"")</f>
        <v/>
      </c>
      <c r="S22" s="3">
        <f>IF(M22&lt;&gt;"",M22/1.56,"")</f>
        <v/>
      </c>
      <c r="T22" s="3">
        <f>IF(N22&lt;&gt;"",N22,IF(O22&lt;&gt;"",O22,IF(L22&lt;&gt;"",L22/1.56,IF(M22&lt;&gt;"",M22/1.56,""))))</f>
        <v/>
      </c>
      <c r="U22" s="3" t="n"/>
      <c r="V22" s="3" t="n">
        <v>54</v>
      </c>
      <c r="W22" s="3" t="n"/>
      <c r="X22" s="4" t="n"/>
      <c r="Y22" s="5" t="n"/>
      <c r="Z22" s="4">
        <f>IF(L22&lt;&gt;"",SQRT(3)*G22*L22/1000,"")</f>
        <v/>
      </c>
      <c r="AB22" t="inlineStr">
        <is>
          <t>Bitzer_RLA_230_460_3ph_60Hz.xlsx</t>
        </is>
      </c>
      <c r="AC22" t="inlineStr">
        <is>
          <t>BITZER_RLA_230_460_3PH</t>
        </is>
      </c>
    </row>
    <row r="23">
      <c r="A23" t="inlineStr">
        <is>
          <t>BITZER</t>
        </is>
      </c>
      <c r="B23" t="inlineStr">
        <is>
          <t>2HES-2</t>
        </is>
      </c>
      <c r="C23" t="inlineStr">
        <is>
          <t>1.0</t>
        </is>
      </c>
      <c r="D23" t="inlineStr">
        <is>
          <t>Reciprocating Semi-hermetic</t>
        </is>
      </c>
      <c r="E23" s="2" t="n">
        <v>3</v>
      </c>
      <c r="F23" s="2" t="n">
        <v>60</v>
      </c>
      <c r="G23" s="2" t="n">
        <v>460</v>
      </c>
      <c r="H23" t="inlineStr">
        <is>
          <t>460</t>
        </is>
      </c>
      <c r="I23" s="2" t="n">
        <v>460</v>
      </c>
      <c r="J23" s="2" t="n">
        <v>460</v>
      </c>
      <c r="L23" s="3" t="n">
        <v>6.3</v>
      </c>
      <c r="M23" s="3" t="n">
        <v>4.5</v>
      </c>
      <c r="N23" s="3" t="n">
        <v>4</v>
      </c>
      <c r="O23" s="3" t="n">
        <v>4.5</v>
      </c>
      <c r="P23" s="3">
        <f>IF(L23&lt;&gt;"",L23/1.4,"")</f>
        <v/>
      </c>
      <c r="Q23" s="3">
        <f>IF(L23&lt;&gt;"",L23/1.56,"")</f>
        <v/>
      </c>
      <c r="R23" s="3">
        <f>IF(M23&lt;&gt;"",M23/1.4,"")</f>
        <v/>
      </c>
      <c r="S23" s="3">
        <f>IF(M23&lt;&gt;"",M23/1.56,"")</f>
        <v/>
      </c>
      <c r="T23" s="3">
        <f>IF(N23&lt;&gt;"",N23,IF(O23&lt;&gt;"",O23,IF(L23&lt;&gt;"",L23/1.56,IF(M23&lt;&gt;"",M23/1.56,""))))</f>
        <v/>
      </c>
      <c r="U23" s="3" t="n"/>
      <c r="V23" s="3" t="n">
        <v>24</v>
      </c>
      <c r="W23" s="3" t="n"/>
      <c r="X23" s="4" t="n"/>
      <c r="Y23" s="5" t="n"/>
      <c r="Z23" s="4">
        <f>IF(L23&lt;&gt;"",SQRT(3)*G23*L23/1000,"")</f>
        <v/>
      </c>
      <c r="AB23" t="inlineStr">
        <is>
          <t>Bitzer_RLA_230_460_3ph_60Hz.xlsx</t>
        </is>
      </c>
      <c r="AC23" t="inlineStr">
        <is>
          <t>BITZER_RLA_230_460_3PH</t>
        </is>
      </c>
    </row>
    <row r="24">
      <c r="A24" t="inlineStr">
        <is>
          <t>BITZER</t>
        </is>
      </c>
      <c r="B24" t="inlineStr">
        <is>
          <t>2JES-07</t>
        </is>
      </c>
      <c r="C24" t="inlineStr">
        <is>
          <t>1.0</t>
        </is>
      </c>
      <c r="D24" t="inlineStr">
        <is>
          <t>Reciprocating Semi-hermetic</t>
        </is>
      </c>
      <c r="E24" s="2" t="n">
        <v>3</v>
      </c>
      <c r="F24" s="2" t="n">
        <v>60</v>
      </c>
      <c r="G24" s="2" t="n">
        <v>230</v>
      </c>
      <c r="H24" t="inlineStr">
        <is>
          <t>230</t>
        </is>
      </c>
      <c r="I24" s="2" t="n">
        <v>230</v>
      </c>
      <c r="J24" s="2" t="n">
        <v>230</v>
      </c>
      <c r="L24" s="3" t="n">
        <v>9.4</v>
      </c>
      <c r="M24" s="3" t="n">
        <v>7.4</v>
      </c>
      <c r="N24" s="3" t="n">
        <v>6</v>
      </c>
      <c r="O24" s="3" t="n">
        <v>6.7</v>
      </c>
      <c r="P24" s="3">
        <f>IF(L24&lt;&gt;"",L24/1.4,"")</f>
        <v/>
      </c>
      <c r="Q24" s="3">
        <f>IF(L24&lt;&gt;"",L24/1.56,"")</f>
        <v/>
      </c>
      <c r="R24" s="3">
        <f>IF(M24&lt;&gt;"",M24/1.4,"")</f>
        <v/>
      </c>
      <c r="S24" s="3">
        <f>IF(M24&lt;&gt;"",M24/1.56,"")</f>
        <v/>
      </c>
      <c r="T24" s="3">
        <f>IF(N24&lt;&gt;"",N24,IF(O24&lt;&gt;"",O24,IF(L24&lt;&gt;"",L24/1.56,IF(M24&lt;&gt;"",M24/1.56,""))))</f>
        <v/>
      </c>
      <c r="U24" s="3" t="n"/>
      <c r="V24" s="3" t="n">
        <v>40</v>
      </c>
      <c r="W24" s="3" t="n"/>
      <c r="X24" s="4" t="n">
        <v>2.3</v>
      </c>
      <c r="Y24" s="5" t="n"/>
      <c r="Z24" s="4">
        <f>IF(L24&lt;&gt;"",SQRT(3)*G24*L24/1000,"")</f>
        <v/>
      </c>
      <c r="AB24" t="inlineStr">
        <is>
          <t>Bitzer_RLA_230_460_3ph_60Hz.xlsx</t>
        </is>
      </c>
      <c r="AC24" t="inlineStr">
        <is>
          <t>BITZER_RLA_230_460_3PH</t>
        </is>
      </c>
    </row>
    <row r="25">
      <c r="A25" t="inlineStr">
        <is>
          <t>BITZER</t>
        </is>
      </c>
      <c r="B25" t="inlineStr">
        <is>
          <t>2JES-07</t>
        </is>
      </c>
      <c r="C25" t="inlineStr">
        <is>
          <t>1.0</t>
        </is>
      </c>
      <c r="D25" t="inlineStr">
        <is>
          <t>Reciprocating Semi-hermetic</t>
        </is>
      </c>
      <c r="E25" s="2" t="n">
        <v>3</v>
      </c>
      <c r="F25" s="2" t="n">
        <v>60</v>
      </c>
      <c r="G25" s="2" t="n">
        <v>460</v>
      </c>
      <c r="H25" t="inlineStr">
        <is>
          <t>460</t>
        </is>
      </c>
      <c r="I25" s="2" t="n">
        <v>460</v>
      </c>
      <c r="J25" s="2" t="n">
        <v>460</v>
      </c>
      <c r="L25" s="3" t="n">
        <v>4.5</v>
      </c>
      <c r="M25" s="3" t="n">
        <v>3.7</v>
      </c>
      <c r="N25" s="3" t="n">
        <v>2.9</v>
      </c>
      <c r="O25" s="3" t="n">
        <v>3.2</v>
      </c>
      <c r="P25" s="3">
        <f>IF(L25&lt;&gt;"",L25/1.4,"")</f>
        <v/>
      </c>
      <c r="Q25" s="3">
        <f>IF(L25&lt;&gt;"",L25/1.56,"")</f>
        <v/>
      </c>
      <c r="R25" s="3">
        <f>IF(M25&lt;&gt;"",M25/1.4,"")</f>
        <v/>
      </c>
      <c r="S25" s="3">
        <f>IF(M25&lt;&gt;"",M25/1.56,"")</f>
        <v/>
      </c>
      <c r="T25" s="3">
        <f>IF(N25&lt;&gt;"",N25,IF(O25&lt;&gt;"",O25,IF(L25&lt;&gt;"",L25/1.56,IF(M25&lt;&gt;"",M25/1.56,""))))</f>
        <v/>
      </c>
      <c r="U25" s="3" t="n"/>
      <c r="V25" s="3" t="n">
        <v>20</v>
      </c>
      <c r="W25" s="3" t="n"/>
      <c r="X25" s="4" t="n">
        <v>2.3</v>
      </c>
      <c r="Y25" s="5" t="n"/>
      <c r="Z25" s="4">
        <f>IF(L25&lt;&gt;"",SQRT(3)*G25*L25/1000,"")</f>
        <v/>
      </c>
      <c r="AB25" t="inlineStr">
        <is>
          <t>Bitzer_RLA_230_460_3ph_60Hz.xlsx</t>
        </is>
      </c>
      <c r="AC25" t="inlineStr">
        <is>
          <t>BITZER_RLA_230_460_3PH</t>
        </is>
      </c>
    </row>
    <row r="26">
      <c r="A26" t="inlineStr">
        <is>
          <t>BITZER</t>
        </is>
      </c>
      <c r="B26" t="inlineStr">
        <is>
          <t>2KES-05</t>
        </is>
      </c>
      <c r="C26" t="inlineStr">
        <is>
          <t>1.0</t>
        </is>
      </c>
      <c r="D26" t="inlineStr">
        <is>
          <t>Reciprocating Semi-hermetic</t>
        </is>
      </c>
      <c r="E26" s="2" t="n">
        <v>3</v>
      </c>
      <c r="F26" s="2" t="n">
        <v>60</v>
      </c>
      <c r="G26" s="2" t="n">
        <v>230</v>
      </c>
      <c r="H26" t="inlineStr">
        <is>
          <t>230</t>
        </is>
      </c>
      <c r="I26" s="2" t="n">
        <v>230</v>
      </c>
      <c r="J26" s="2" t="n">
        <v>230</v>
      </c>
      <c r="L26" s="3" t="n">
        <v>7.6</v>
      </c>
      <c r="M26" s="3" t="n">
        <v>5.6</v>
      </c>
      <c r="N26" s="3" t="n">
        <v>4.9</v>
      </c>
      <c r="O26" s="3" t="n">
        <v>5.4</v>
      </c>
      <c r="P26" s="3">
        <f>IF(L26&lt;&gt;"",L26/1.4,"")</f>
        <v/>
      </c>
      <c r="Q26" s="3">
        <f>IF(L26&lt;&gt;"",L26/1.56,"")</f>
        <v/>
      </c>
      <c r="R26" s="3">
        <f>IF(M26&lt;&gt;"",M26/1.4,"")</f>
        <v/>
      </c>
      <c r="S26" s="3">
        <f>IF(M26&lt;&gt;"",M26/1.56,"")</f>
        <v/>
      </c>
      <c r="T26" s="3">
        <f>IF(N26&lt;&gt;"",N26,IF(O26&lt;&gt;"",O26,IF(L26&lt;&gt;"",L26/1.56,IF(M26&lt;&gt;"",M26/1.56,""))))</f>
        <v/>
      </c>
      <c r="U26" s="3" t="n"/>
      <c r="V26" s="3" t="n">
        <v>32</v>
      </c>
      <c r="W26" s="3" t="n"/>
      <c r="X26" s="4" t="n"/>
      <c r="Y26" s="5" t="n"/>
      <c r="Z26" s="4">
        <f>IF(L26&lt;&gt;"",SQRT(3)*G26*L26/1000,"")</f>
        <v/>
      </c>
      <c r="AB26" t="inlineStr">
        <is>
          <t>Bitzer_RLA_230_460_3ph_60Hz.xlsx</t>
        </is>
      </c>
      <c r="AC26" t="inlineStr">
        <is>
          <t>BITZER_RLA_230_460_3PH</t>
        </is>
      </c>
    </row>
    <row r="27">
      <c r="A27" t="inlineStr">
        <is>
          <t>BITZER</t>
        </is>
      </c>
      <c r="B27" t="inlineStr">
        <is>
          <t>2KES-05</t>
        </is>
      </c>
      <c r="C27" t="inlineStr">
        <is>
          <t>1.0</t>
        </is>
      </c>
      <c r="D27" t="inlineStr">
        <is>
          <t>Reciprocating Semi-hermetic</t>
        </is>
      </c>
      <c r="E27" s="2" t="n">
        <v>3</v>
      </c>
      <c r="F27" s="2" t="n">
        <v>60</v>
      </c>
      <c r="G27" s="2" t="n">
        <v>460</v>
      </c>
      <c r="H27" t="inlineStr">
        <is>
          <t>460</t>
        </is>
      </c>
      <c r="I27" s="2" t="n">
        <v>460</v>
      </c>
      <c r="J27" s="2" t="n">
        <v>460</v>
      </c>
      <c r="L27" s="3" t="n">
        <v>3.6</v>
      </c>
      <c r="M27" s="3" t="n">
        <v>2.8</v>
      </c>
      <c r="N27" s="3" t="n">
        <v>2.3</v>
      </c>
      <c r="O27" s="3" t="n">
        <v>2.6</v>
      </c>
      <c r="P27" s="3">
        <f>IF(L27&lt;&gt;"",L27/1.4,"")</f>
        <v/>
      </c>
      <c r="Q27" s="3">
        <f>IF(L27&lt;&gt;"",L27/1.56,"")</f>
        <v/>
      </c>
      <c r="R27" s="3">
        <f>IF(M27&lt;&gt;"",M27/1.4,"")</f>
        <v/>
      </c>
      <c r="S27" s="3">
        <f>IF(M27&lt;&gt;"",M27/1.56,"")</f>
        <v/>
      </c>
      <c r="T27" s="3">
        <f>IF(N27&lt;&gt;"",N27,IF(O27&lt;&gt;"",O27,IF(L27&lt;&gt;"",L27/1.56,IF(M27&lt;&gt;"",M27/1.56,""))))</f>
        <v/>
      </c>
      <c r="U27" s="3" t="n"/>
      <c r="V27" s="3" t="n">
        <v>16</v>
      </c>
      <c r="W27" s="3" t="n"/>
      <c r="X27" s="4" t="n"/>
      <c r="Y27" s="5" t="n"/>
      <c r="Z27" s="4">
        <f>IF(L27&lt;&gt;"",SQRT(3)*G27*L27/1000,"")</f>
        <v/>
      </c>
      <c r="AB27" t="inlineStr">
        <is>
          <t>Bitzer_RLA_230_460_3ph_60Hz.xlsx</t>
        </is>
      </c>
      <c r="AC27" t="inlineStr">
        <is>
          <t>BITZER_RLA_230_460_3PH</t>
        </is>
      </c>
    </row>
    <row r="28">
      <c r="A28" t="inlineStr">
        <is>
          <t>BITZER</t>
        </is>
      </c>
      <c r="B28" t="inlineStr">
        <is>
          <t>4CES-6</t>
        </is>
      </c>
      <c r="C28" t="inlineStr">
        <is>
          <t>2.0</t>
        </is>
      </c>
      <c r="D28" t="inlineStr">
        <is>
          <t>Reciprocating Semi-hermetic</t>
        </is>
      </c>
      <c r="E28" s="2" t="n">
        <v>3</v>
      </c>
      <c r="F28" s="2" t="n">
        <v>60</v>
      </c>
      <c r="G28" s="2" t="n">
        <v>230</v>
      </c>
      <c r="H28" t="inlineStr">
        <is>
          <t>230</t>
        </is>
      </c>
      <c r="I28" s="2" t="n">
        <v>230</v>
      </c>
      <c r="J28" s="2" t="n">
        <v>230</v>
      </c>
      <c r="L28" s="3" t="n">
        <v>39</v>
      </c>
      <c r="M28" s="3" t="n">
        <v>35.4</v>
      </c>
      <c r="N28" s="3" t="n">
        <v>25</v>
      </c>
      <c r="O28" s="3" t="n">
        <v>27.9</v>
      </c>
      <c r="P28" s="3">
        <f>IF(L28&lt;&gt;"",L28/1.4,"")</f>
        <v/>
      </c>
      <c r="Q28" s="3">
        <f>IF(L28&lt;&gt;"",L28/1.56,"")</f>
        <v/>
      </c>
      <c r="R28" s="3">
        <f>IF(M28&lt;&gt;"",M28/1.4,"")</f>
        <v/>
      </c>
      <c r="S28" s="3">
        <f>IF(M28&lt;&gt;"",M28/1.56,"")</f>
        <v/>
      </c>
      <c r="T28" s="3">
        <f>IF(N28&lt;&gt;"",N28,IF(O28&lt;&gt;"",O28,IF(L28&lt;&gt;"",L28/1.56,IF(M28&lt;&gt;"",M28/1.56,""))))</f>
        <v/>
      </c>
      <c r="U28" s="3" t="n"/>
      <c r="V28" s="3" t="n">
        <v>215</v>
      </c>
      <c r="W28" s="3" t="n"/>
      <c r="X28" s="4" t="n">
        <v>11.7</v>
      </c>
      <c r="Y28" s="5" t="n"/>
      <c r="Z28" s="4">
        <f>IF(L28&lt;&gt;"",SQRT(3)*G28*L28/1000,"")</f>
        <v/>
      </c>
      <c r="AB28" t="inlineStr">
        <is>
          <t>Bitzer_RLA_230_460_3ph_60Hz.xlsx</t>
        </is>
      </c>
      <c r="AC28" t="inlineStr">
        <is>
          <t>BITZER_RLA_230_460_3PH</t>
        </is>
      </c>
    </row>
    <row r="29">
      <c r="A29" t="inlineStr">
        <is>
          <t>BITZER</t>
        </is>
      </c>
      <c r="B29" t="inlineStr">
        <is>
          <t>4CES-6</t>
        </is>
      </c>
      <c r="C29" t="inlineStr">
        <is>
          <t>2.0</t>
        </is>
      </c>
      <c r="D29" t="inlineStr">
        <is>
          <t>Reciprocating Semi-hermetic</t>
        </is>
      </c>
      <c r="E29" s="2" t="n">
        <v>3</v>
      </c>
      <c r="F29" s="2" t="n">
        <v>60</v>
      </c>
      <c r="G29" s="2" t="n">
        <v>460</v>
      </c>
      <c r="H29" t="inlineStr">
        <is>
          <t>460</t>
        </is>
      </c>
      <c r="I29" s="2" t="n">
        <v>460</v>
      </c>
      <c r="J29" s="2" t="n">
        <v>460</v>
      </c>
      <c r="L29" s="3" t="n">
        <v>22.1</v>
      </c>
      <c r="M29" s="3" t="n">
        <v>17.7</v>
      </c>
      <c r="N29" s="3" t="n">
        <v>14.2</v>
      </c>
      <c r="O29" s="3" t="n">
        <v>15.8</v>
      </c>
      <c r="P29" s="3">
        <f>IF(L29&lt;&gt;"",L29/1.4,"")</f>
        <v/>
      </c>
      <c r="Q29" s="3">
        <f>IF(L29&lt;&gt;"",L29/1.56,"")</f>
        <v/>
      </c>
      <c r="R29" s="3">
        <f>IF(M29&lt;&gt;"",M29/1.4,"")</f>
        <v/>
      </c>
      <c r="S29" s="3">
        <f>IF(M29&lt;&gt;"",M29/1.56,"")</f>
        <v/>
      </c>
      <c r="T29" s="3">
        <f>IF(N29&lt;&gt;"",N29,IF(O29&lt;&gt;"",O29,IF(L29&lt;&gt;"",L29/1.56,IF(M29&lt;&gt;"",M29/1.56,""))))</f>
        <v/>
      </c>
      <c r="U29" s="3" t="n"/>
      <c r="V29" s="3" t="n">
        <v>88</v>
      </c>
      <c r="W29" s="3" t="n"/>
      <c r="X29" s="4" t="n">
        <v>11.7</v>
      </c>
      <c r="Y29" s="5" t="n"/>
      <c r="Z29" s="4">
        <f>IF(L29&lt;&gt;"",SQRT(3)*G29*L29/1000,"")</f>
        <v/>
      </c>
      <c r="AB29" t="inlineStr">
        <is>
          <t>Bitzer_RLA_230_460_3ph_60Hz.xlsx</t>
        </is>
      </c>
      <c r="AC29" t="inlineStr">
        <is>
          <t>BITZER_RLA_230_460_3PH</t>
        </is>
      </c>
    </row>
    <row r="30">
      <c r="A30" t="inlineStr">
        <is>
          <t>BITZER</t>
        </is>
      </c>
      <c r="B30" t="inlineStr">
        <is>
          <t>4CES-9</t>
        </is>
      </c>
      <c r="C30" t="inlineStr">
        <is>
          <t>1.0</t>
        </is>
      </c>
      <c r="D30" t="inlineStr">
        <is>
          <t>Reciprocating Semi-hermetic</t>
        </is>
      </c>
      <c r="E30" s="2" t="n">
        <v>3</v>
      </c>
      <c r="F30" s="2" t="n">
        <v>60</v>
      </c>
      <c r="G30" s="2" t="n">
        <v>230</v>
      </c>
      <c r="H30" t="inlineStr">
        <is>
          <t>230</t>
        </is>
      </c>
      <c r="I30" s="2" t="n">
        <v>230</v>
      </c>
      <c r="J30" s="2" t="n">
        <v>230</v>
      </c>
      <c r="L30" s="3" t="n">
        <v>53.3</v>
      </c>
      <c r="M30" s="3" t="n">
        <v>40.4</v>
      </c>
      <c r="N30" s="3" t="n">
        <v>34.2</v>
      </c>
      <c r="O30" s="3" t="n">
        <v>38.1</v>
      </c>
      <c r="P30" s="3">
        <f>IF(L30&lt;&gt;"",L30/1.4,"")</f>
        <v/>
      </c>
      <c r="Q30" s="3">
        <f>IF(L30&lt;&gt;"",L30/1.56,"")</f>
        <v/>
      </c>
      <c r="R30" s="3">
        <f>IF(M30&lt;&gt;"",M30/1.4,"")</f>
        <v/>
      </c>
      <c r="S30" s="3">
        <f>IF(M30&lt;&gt;"",M30/1.56,"")</f>
        <v/>
      </c>
      <c r="T30" s="3">
        <f>IF(N30&lt;&gt;"",N30,IF(O30&lt;&gt;"",O30,IF(L30&lt;&gt;"",L30/1.56,IF(M30&lt;&gt;"",M30/1.56,""))))</f>
        <v/>
      </c>
      <c r="U30" s="3" t="n"/>
      <c r="V30" s="3" t="n">
        <v>215</v>
      </c>
      <c r="W30" s="3" t="n"/>
      <c r="X30" s="4" t="n">
        <v>13.6</v>
      </c>
      <c r="Y30" s="5" t="n"/>
      <c r="Z30" s="4">
        <f>IF(L30&lt;&gt;"",SQRT(3)*G30*L30/1000,"")</f>
        <v/>
      </c>
      <c r="AB30" t="inlineStr">
        <is>
          <t>Bitzer_RLA_230_460_3ph_60Hz.xlsx</t>
        </is>
      </c>
      <c r="AC30" t="inlineStr">
        <is>
          <t>BITZER_RLA_230_460_3PH</t>
        </is>
      </c>
    </row>
    <row r="31">
      <c r="A31" t="inlineStr">
        <is>
          <t>BITZER</t>
        </is>
      </c>
      <c r="B31" t="inlineStr">
        <is>
          <t>4CES-9</t>
        </is>
      </c>
      <c r="C31" t="inlineStr">
        <is>
          <t>1.0</t>
        </is>
      </c>
      <c r="D31" t="inlineStr">
        <is>
          <t>Reciprocating Semi-hermetic</t>
        </is>
      </c>
      <c r="E31" s="2" t="n">
        <v>3</v>
      </c>
      <c r="F31" s="2" t="n">
        <v>60</v>
      </c>
      <c r="G31" s="2" t="n">
        <v>460</v>
      </c>
      <c r="H31" t="inlineStr">
        <is>
          <t>460</t>
        </is>
      </c>
      <c r="I31" s="2" t="n">
        <v>460</v>
      </c>
      <c r="J31" s="2" t="n">
        <v>460</v>
      </c>
      <c r="L31" s="3" t="n">
        <v>26.6</v>
      </c>
      <c r="M31" s="3" t="n">
        <v>20.2</v>
      </c>
      <c r="N31" s="3" t="n">
        <v>17.1</v>
      </c>
      <c r="O31" s="3" t="n">
        <v>19</v>
      </c>
      <c r="P31" s="3">
        <f>IF(L31&lt;&gt;"",L31/1.4,"")</f>
        <v/>
      </c>
      <c r="Q31" s="3">
        <f>IF(L31&lt;&gt;"",L31/1.56,"")</f>
        <v/>
      </c>
      <c r="R31" s="3">
        <f>IF(M31&lt;&gt;"",M31/1.4,"")</f>
        <v/>
      </c>
      <c r="S31" s="3">
        <f>IF(M31&lt;&gt;"",M31/1.56,"")</f>
        <v/>
      </c>
      <c r="T31" s="3">
        <f>IF(N31&lt;&gt;"",N31,IF(O31&lt;&gt;"",O31,IF(L31&lt;&gt;"",L31/1.56,IF(M31&lt;&gt;"",M31/1.56,""))))</f>
        <v/>
      </c>
      <c r="U31" s="3" t="n"/>
      <c r="V31" s="3" t="n">
        <v>88</v>
      </c>
      <c r="W31" s="3" t="n"/>
      <c r="X31" s="4" t="n">
        <v>13.6</v>
      </c>
      <c r="Y31" s="5" t="n"/>
      <c r="Z31" s="4">
        <f>IF(L31&lt;&gt;"",SQRT(3)*G31*L31/1000,"")</f>
        <v/>
      </c>
      <c r="AB31" t="inlineStr">
        <is>
          <t>Bitzer_RLA_230_460_3ph_60Hz.xlsx</t>
        </is>
      </c>
      <c r="AC31" t="inlineStr">
        <is>
          <t>BITZER_RLA_230_460_3PH</t>
        </is>
      </c>
    </row>
    <row r="32">
      <c r="A32" t="inlineStr">
        <is>
          <t>BITZER</t>
        </is>
      </c>
      <c r="B32" t="inlineStr">
        <is>
          <t>4DES-5</t>
        </is>
      </c>
      <c r="C32" t="inlineStr">
        <is>
          <t>2.0</t>
        </is>
      </c>
      <c r="D32" t="inlineStr">
        <is>
          <t>Reciprocating Semi-hermetic</t>
        </is>
      </c>
      <c r="E32" s="2" t="n">
        <v>3</v>
      </c>
      <c r="F32" s="2" t="n">
        <v>60</v>
      </c>
      <c r="G32" s="2" t="n">
        <v>230</v>
      </c>
      <c r="H32" t="inlineStr">
        <is>
          <t>230</t>
        </is>
      </c>
      <c r="I32" s="2" t="n">
        <v>230</v>
      </c>
      <c r="J32" s="2" t="n">
        <v>230</v>
      </c>
      <c r="L32" s="3" t="n">
        <v>32.2</v>
      </c>
      <c r="M32" s="3" t="n">
        <v>29</v>
      </c>
      <c r="N32" s="3" t="n">
        <v>20.6</v>
      </c>
      <c r="O32" s="3" t="n">
        <v>23</v>
      </c>
      <c r="P32" s="3">
        <f>IF(L32&lt;&gt;"",L32/1.4,"")</f>
        <v/>
      </c>
      <c r="Q32" s="3">
        <f>IF(L32&lt;&gt;"",L32/1.56,"")</f>
        <v/>
      </c>
      <c r="R32" s="3">
        <f>IF(M32&lt;&gt;"",M32/1.4,"")</f>
        <v/>
      </c>
      <c r="S32" s="3">
        <f>IF(M32&lt;&gt;"",M32/1.56,"")</f>
        <v/>
      </c>
      <c r="T32" s="3">
        <f>IF(N32&lt;&gt;"",N32,IF(O32&lt;&gt;"",O32,IF(L32&lt;&gt;"",L32/1.56,IF(M32&lt;&gt;"",M32/1.56,""))))</f>
        <v/>
      </c>
      <c r="U32" s="3" t="n"/>
      <c r="V32" s="3" t="n">
        <v>163</v>
      </c>
      <c r="W32" s="3" t="n"/>
      <c r="X32" s="4" t="n"/>
      <c r="Y32" s="5" t="n"/>
      <c r="Z32" s="4">
        <f>IF(L32&lt;&gt;"",SQRT(3)*G32*L32/1000,"")</f>
        <v/>
      </c>
      <c r="AB32" t="inlineStr">
        <is>
          <t>Bitzer_RLA_230_460_3ph_60Hz.xlsx</t>
        </is>
      </c>
      <c r="AC32" t="inlineStr">
        <is>
          <t>BITZER_RLA_230_460_3PH</t>
        </is>
      </c>
    </row>
    <row r="33">
      <c r="A33" t="inlineStr">
        <is>
          <t>BITZER</t>
        </is>
      </c>
      <c r="B33" t="inlineStr">
        <is>
          <t>4DES-5</t>
        </is>
      </c>
      <c r="C33" t="inlineStr">
        <is>
          <t>2.0</t>
        </is>
      </c>
      <c r="D33" t="inlineStr">
        <is>
          <t>Reciprocating Semi-hermetic</t>
        </is>
      </c>
      <c r="E33" s="2" t="n">
        <v>3</v>
      </c>
      <c r="F33" s="2" t="n">
        <v>60</v>
      </c>
      <c r="G33" s="2" t="n">
        <v>460</v>
      </c>
      <c r="H33" t="inlineStr">
        <is>
          <t>460</t>
        </is>
      </c>
      <c r="I33" s="2" t="n">
        <v>460</v>
      </c>
      <c r="J33" s="2" t="n">
        <v>460</v>
      </c>
      <c r="L33" s="3" t="n">
        <v>16.8</v>
      </c>
      <c r="M33" s="3" t="n">
        <v>14.5</v>
      </c>
      <c r="N33" s="3" t="n">
        <v>10.8</v>
      </c>
      <c r="O33" s="3" t="n">
        <v>12</v>
      </c>
      <c r="P33" s="3">
        <f>IF(L33&lt;&gt;"",L33/1.4,"")</f>
        <v/>
      </c>
      <c r="Q33" s="3">
        <f>IF(L33&lt;&gt;"",L33/1.56,"")</f>
        <v/>
      </c>
      <c r="R33" s="3">
        <f>IF(M33&lt;&gt;"",M33/1.4,"")</f>
        <v/>
      </c>
      <c r="S33" s="3">
        <f>IF(M33&lt;&gt;"",M33/1.56,"")</f>
        <v/>
      </c>
      <c r="T33" s="3">
        <f>IF(N33&lt;&gt;"",N33,IF(O33&lt;&gt;"",O33,IF(L33&lt;&gt;"",L33/1.56,IF(M33&lt;&gt;"",M33/1.56,""))))</f>
        <v/>
      </c>
      <c r="U33" s="3" t="n"/>
      <c r="V33" s="3" t="n">
        <v>66.5</v>
      </c>
      <c r="W33" s="3" t="n"/>
      <c r="X33" s="4" t="n"/>
      <c r="Y33" s="5" t="n"/>
      <c r="Z33" s="4">
        <f>IF(L33&lt;&gt;"",SQRT(3)*G33*L33/1000,"")</f>
        <v/>
      </c>
      <c r="AB33" t="inlineStr">
        <is>
          <t>Bitzer_RLA_230_460_3ph_60Hz.xlsx</t>
        </is>
      </c>
      <c r="AC33" t="inlineStr">
        <is>
          <t>BITZER_RLA_230_460_3PH</t>
        </is>
      </c>
    </row>
    <row r="34">
      <c r="A34" t="inlineStr">
        <is>
          <t>BITZER</t>
        </is>
      </c>
      <c r="B34" t="inlineStr">
        <is>
          <t>4DES-7</t>
        </is>
      </c>
      <c r="C34" t="inlineStr">
        <is>
          <t>1.0</t>
        </is>
      </c>
      <c r="D34" t="inlineStr">
        <is>
          <t>Reciprocating Semi-hermetic</t>
        </is>
      </c>
      <c r="E34" s="2" t="n">
        <v>3</v>
      </c>
      <c r="F34" s="2" t="n">
        <v>60</v>
      </c>
      <c r="G34" s="2" t="n">
        <v>230</v>
      </c>
      <c r="H34" t="inlineStr">
        <is>
          <t>230</t>
        </is>
      </c>
      <c r="I34" s="2" t="n">
        <v>230</v>
      </c>
      <c r="J34" s="2" t="n">
        <v>230</v>
      </c>
      <c r="L34" s="3" t="n">
        <v>48.3</v>
      </c>
      <c r="M34" s="3" t="n">
        <v>33</v>
      </c>
      <c r="N34" s="3" t="n">
        <v>31</v>
      </c>
      <c r="O34" s="3" t="n">
        <v>34.5</v>
      </c>
      <c r="P34" s="3">
        <f>IF(L34&lt;&gt;"",L34/1.4,"")</f>
        <v/>
      </c>
      <c r="Q34" s="3">
        <f>IF(L34&lt;&gt;"",L34/1.56,"")</f>
        <v/>
      </c>
      <c r="R34" s="3">
        <f>IF(M34&lt;&gt;"",M34/1.4,"")</f>
        <v/>
      </c>
      <c r="S34" s="3">
        <f>IF(M34&lt;&gt;"",M34/1.56,"")</f>
        <v/>
      </c>
      <c r="T34" s="3">
        <f>IF(N34&lt;&gt;"",N34,IF(O34&lt;&gt;"",O34,IF(L34&lt;&gt;"",L34/1.56,IF(M34&lt;&gt;"",M34/1.56,""))))</f>
        <v/>
      </c>
      <c r="U34" s="3" t="n"/>
      <c r="V34" s="3" t="n">
        <v>215</v>
      </c>
      <c r="W34" s="3" t="n"/>
      <c r="X34" s="4" t="n"/>
      <c r="Y34" s="5" t="n"/>
      <c r="Z34" s="4">
        <f>IF(L34&lt;&gt;"",SQRT(3)*G34*L34/1000,"")</f>
        <v/>
      </c>
      <c r="AB34" t="inlineStr">
        <is>
          <t>Bitzer_RLA_230_460_3ph_60Hz.xlsx</t>
        </is>
      </c>
      <c r="AC34" t="inlineStr">
        <is>
          <t>BITZER_RLA_230_460_3PH</t>
        </is>
      </c>
    </row>
    <row r="35">
      <c r="A35" t="inlineStr">
        <is>
          <t>BITZER</t>
        </is>
      </c>
      <c r="B35" t="inlineStr">
        <is>
          <t>4DES-7</t>
        </is>
      </c>
      <c r="C35" t="inlineStr">
        <is>
          <t>1.0</t>
        </is>
      </c>
      <c r="D35" t="inlineStr">
        <is>
          <t>Reciprocating Semi-hermetic</t>
        </is>
      </c>
      <c r="E35" s="2" t="n">
        <v>3</v>
      </c>
      <c r="F35" s="2" t="n">
        <v>60</v>
      </c>
      <c r="G35" s="2" t="n">
        <v>460</v>
      </c>
      <c r="H35" t="inlineStr">
        <is>
          <t>460</t>
        </is>
      </c>
      <c r="I35" s="2" t="n">
        <v>460</v>
      </c>
      <c r="J35" s="2" t="n">
        <v>460</v>
      </c>
      <c r="L35" s="3" t="n">
        <v>23.8</v>
      </c>
      <c r="M35" s="3" t="n">
        <v>16.5</v>
      </c>
      <c r="N35" s="3" t="n">
        <v>15.3</v>
      </c>
      <c r="O35" s="3" t="n">
        <v>17</v>
      </c>
      <c r="P35" s="3">
        <f>IF(L35&lt;&gt;"",L35/1.4,"")</f>
        <v/>
      </c>
      <c r="Q35" s="3">
        <f>IF(L35&lt;&gt;"",L35/1.56,"")</f>
        <v/>
      </c>
      <c r="R35" s="3">
        <f>IF(M35&lt;&gt;"",M35/1.4,"")</f>
        <v/>
      </c>
      <c r="S35" s="3">
        <f>IF(M35&lt;&gt;"",M35/1.56,"")</f>
        <v/>
      </c>
      <c r="T35" s="3">
        <f>IF(N35&lt;&gt;"",N35,IF(O35&lt;&gt;"",O35,IF(L35&lt;&gt;"",L35/1.56,IF(M35&lt;&gt;"",M35/1.56,""))))</f>
        <v/>
      </c>
      <c r="U35" s="3" t="n"/>
      <c r="V35" s="3" t="n">
        <v>88</v>
      </c>
      <c r="W35" s="3" t="n"/>
      <c r="X35" s="4" t="n"/>
      <c r="Y35" s="5" t="n"/>
      <c r="Z35" s="4">
        <f>IF(L35&lt;&gt;"",SQRT(3)*G35*L35/1000,"")</f>
        <v/>
      </c>
      <c r="AB35" t="inlineStr">
        <is>
          <t>Bitzer_RLA_230_460_3ph_60Hz.xlsx</t>
        </is>
      </c>
      <c r="AC35" t="inlineStr">
        <is>
          <t>BITZER_RLA_230_460_3PH</t>
        </is>
      </c>
    </row>
    <row r="36">
      <c r="A36" t="inlineStr">
        <is>
          <t>BITZER</t>
        </is>
      </c>
      <c r="B36" t="inlineStr">
        <is>
          <t>4EES-4</t>
        </is>
      </c>
      <c r="C36" t="inlineStr">
        <is>
          <t>2.0</t>
        </is>
      </c>
      <c r="D36" t="inlineStr">
        <is>
          <t>Reciprocating Semi-hermetic</t>
        </is>
      </c>
      <c r="E36" s="2" t="n">
        <v>3</v>
      </c>
      <c r="F36" s="2" t="n">
        <v>60</v>
      </c>
      <c r="G36" s="2" t="n">
        <v>230</v>
      </c>
      <c r="H36" t="inlineStr">
        <is>
          <t>230</t>
        </is>
      </c>
      <c r="I36" s="2" t="n">
        <v>230</v>
      </c>
      <c r="J36" s="2" t="n">
        <v>230</v>
      </c>
      <c r="L36" s="3" t="n">
        <v>31.4</v>
      </c>
      <c r="M36" s="3" t="n">
        <v>24.4</v>
      </c>
      <c r="N36" s="3" t="n">
        <v>20.1</v>
      </c>
      <c r="O36" s="3" t="n">
        <v>22.4</v>
      </c>
      <c r="P36" s="3">
        <f>IF(L36&lt;&gt;"",L36/1.4,"")</f>
        <v/>
      </c>
      <c r="Q36" s="3">
        <f>IF(L36&lt;&gt;"",L36/1.56,"")</f>
        <v/>
      </c>
      <c r="R36" s="3">
        <f>IF(M36&lt;&gt;"",M36/1.4,"")</f>
        <v/>
      </c>
      <c r="S36" s="3">
        <f>IF(M36&lt;&gt;"",M36/1.56,"")</f>
        <v/>
      </c>
      <c r="T36" s="3">
        <f>IF(N36&lt;&gt;"",N36,IF(O36&lt;&gt;"",O36,IF(L36&lt;&gt;"",L36/1.56,IF(M36&lt;&gt;"",M36/1.56,""))))</f>
        <v/>
      </c>
      <c r="U36" s="3" t="n"/>
      <c r="V36" s="3" t="n">
        <v>142</v>
      </c>
      <c r="W36" s="3" t="n"/>
      <c r="X36" s="4" t="n">
        <v>8.300000000000001</v>
      </c>
      <c r="Y36" s="5" t="n"/>
      <c r="Z36" s="4">
        <f>IF(L36&lt;&gt;"",SQRT(3)*G36*L36/1000,"")</f>
        <v/>
      </c>
      <c r="AB36" t="inlineStr">
        <is>
          <t>Bitzer_RLA_230_460_3ph_60Hz.xlsx</t>
        </is>
      </c>
      <c r="AC36" t="inlineStr">
        <is>
          <t>BITZER_RLA_230_460_3PH</t>
        </is>
      </c>
    </row>
    <row r="37">
      <c r="A37" t="inlineStr">
        <is>
          <t>BITZER</t>
        </is>
      </c>
      <c r="B37" t="inlineStr">
        <is>
          <t>4EES-4</t>
        </is>
      </c>
      <c r="C37" t="inlineStr">
        <is>
          <t>2.0</t>
        </is>
      </c>
      <c r="D37" t="inlineStr">
        <is>
          <t>Reciprocating Semi-hermetic</t>
        </is>
      </c>
      <c r="E37" s="2" t="n">
        <v>3</v>
      </c>
      <c r="F37" s="2" t="n">
        <v>60</v>
      </c>
      <c r="G37" s="2" t="n">
        <v>460</v>
      </c>
      <c r="H37" t="inlineStr">
        <is>
          <t>460</t>
        </is>
      </c>
      <c r="I37" s="2" t="n">
        <v>460</v>
      </c>
      <c r="J37" s="2" t="n">
        <v>460</v>
      </c>
      <c r="L37" s="3" t="n">
        <v>14.4</v>
      </c>
      <c r="M37" s="3" t="n">
        <v>12.2</v>
      </c>
      <c r="N37" s="3" t="n">
        <v>9.199999999999999</v>
      </c>
      <c r="O37" s="3" t="n">
        <v>10.3</v>
      </c>
      <c r="P37" s="3">
        <f>IF(L37&lt;&gt;"",L37/1.4,"")</f>
        <v/>
      </c>
      <c r="Q37" s="3">
        <f>IF(L37&lt;&gt;"",L37/1.56,"")</f>
        <v/>
      </c>
      <c r="R37" s="3">
        <f>IF(M37&lt;&gt;"",M37/1.4,"")</f>
        <v/>
      </c>
      <c r="S37" s="3">
        <f>IF(M37&lt;&gt;"",M37/1.56,"")</f>
        <v/>
      </c>
      <c r="T37" s="3">
        <f>IF(N37&lt;&gt;"",N37,IF(O37&lt;&gt;"",O37,IF(L37&lt;&gt;"",L37/1.56,IF(M37&lt;&gt;"",M37/1.56,""))))</f>
        <v/>
      </c>
      <c r="U37" s="3" t="n"/>
      <c r="V37" s="3" t="n">
        <v>58</v>
      </c>
      <c r="W37" s="3" t="n"/>
      <c r="X37" s="4" t="n">
        <v>8.300000000000001</v>
      </c>
      <c r="Y37" s="5" t="n"/>
      <c r="Z37" s="4">
        <f>IF(L37&lt;&gt;"",SQRT(3)*G37*L37/1000,"")</f>
        <v/>
      </c>
      <c r="AB37" t="inlineStr">
        <is>
          <t>Bitzer_RLA_230_460_3ph_60Hz.xlsx</t>
        </is>
      </c>
      <c r="AC37" t="inlineStr">
        <is>
          <t>BITZER_RLA_230_460_3PH</t>
        </is>
      </c>
    </row>
    <row r="38">
      <c r="A38" t="inlineStr">
        <is>
          <t>BITZER</t>
        </is>
      </c>
      <c r="B38" t="inlineStr">
        <is>
          <t>4EES-6</t>
        </is>
      </c>
      <c r="C38" t="inlineStr">
        <is>
          <t>1.0</t>
        </is>
      </c>
      <c r="D38" t="inlineStr">
        <is>
          <t>Reciprocating Semi-hermetic</t>
        </is>
      </c>
      <c r="E38" s="2" t="n">
        <v>3</v>
      </c>
      <c r="F38" s="2" t="n">
        <v>60</v>
      </c>
      <c r="G38" s="2" t="n">
        <v>230</v>
      </c>
      <c r="H38" t="inlineStr">
        <is>
          <t>230</t>
        </is>
      </c>
      <c r="I38" s="2" t="n">
        <v>230</v>
      </c>
      <c r="J38" s="2" t="n">
        <v>230</v>
      </c>
      <c r="L38" s="3" t="n">
        <v>43.8</v>
      </c>
      <c r="M38" s="3" t="n">
        <v>27.2</v>
      </c>
      <c r="N38" s="3" t="n">
        <v>28.1</v>
      </c>
      <c r="O38" s="3" t="n">
        <v>31.3</v>
      </c>
      <c r="P38" s="3">
        <f>IF(L38&lt;&gt;"",L38/1.4,"")</f>
        <v/>
      </c>
      <c r="Q38" s="3">
        <f>IF(L38&lt;&gt;"",L38/1.56,"")</f>
        <v/>
      </c>
      <c r="R38" s="3">
        <f>IF(M38&lt;&gt;"",M38/1.4,"")</f>
        <v/>
      </c>
      <c r="S38" s="3">
        <f>IF(M38&lt;&gt;"",M38/1.56,"")</f>
        <v/>
      </c>
      <c r="T38" s="3">
        <f>IF(N38&lt;&gt;"",N38,IF(O38&lt;&gt;"",O38,IF(L38&lt;&gt;"",L38/1.56,IF(M38&lt;&gt;"",M38/1.56,""))))</f>
        <v/>
      </c>
      <c r="U38" s="3" t="n"/>
      <c r="V38" s="3" t="n">
        <v>163</v>
      </c>
      <c r="W38" s="3" t="n"/>
      <c r="X38" s="4" t="n">
        <v>9.199999999999999</v>
      </c>
      <c r="Y38" s="5" t="n"/>
      <c r="Z38" s="4">
        <f>IF(L38&lt;&gt;"",SQRT(3)*G38*L38/1000,"")</f>
        <v/>
      </c>
      <c r="AB38" t="inlineStr">
        <is>
          <t>Bitzer_RLA_230_460_3ph_60Hz.xlsx</t>
        </is>
      </c>
      <c r="AC38" t="inlineStr">
        <is>
          <t>BITZER_RLA_230_460_3PH</t>
        </is>
      </c>
    </row>
    <row r="39">
      <c r="A39" t="inlineStr">
        <is>
          <t>BITZER</t>
        </is>
      </c>
      <c r="B39" t="inlineStr">
        <is>
          <t>4EES-6</t>
        </is>
      </c>
      <c r="C39" t="inlineStr">
        <is>
          <t>1.0</t>
        </is>
      </c>
      <c r="D39" t="inlineStr">
        <is>
          <t>Reciprocating Semi-hermetic</t>
        </is>
      </c>
      <c r="E39" s="2" t="n">
        <v>3</v>
      </c>
      <c r="F39" s="2" t="n">
        <v>60</v>
      </c>
      <c r="G39" s="2" t="n">
        <v>460</v>
      </c>
      <c r="H39" t="inlineStr">
        <is>
          <t>460</t>
        </is>
      </c>
      <c r="I39" s="2" t="n">
        <v>460</v>
      </c>
      <c r="J39" s="2" t="n">
        <v>460</v>
      </c>
      <c r="L39" s="3" t="n">
        <v>20.9</v>
      </c>
      <c r="M39" s="3" t="n">
        <v>13.6</v>
      </c>
      <c r="N39" s="3" t="n">
        <v>13.4</v>
      </c>
      <c r="O39" s="3" t="n">
        <v>14.9</v>
      </c>
      <c r="P39" s="3">
        <f>IF(L39&lt;&gt;"",L39/1.4,"")</f>
        <v/>
      </c>
      <c r="Q39" s="3">
        <f>IF(L39&lt;&gt;"",L39/1.56,"")</f>
        <v/>
      </c>
      <c r="R39" s="3">
        <f>IF(M39&lt;&gt;"",M39/1.4,"")</f>
        <v/>
      </c>
      <c r="S39" s="3">
        <f>IF(M39&lt;&gt;"",M39/1.56,"")</f>
        <v/>
      </c>
      <c r="T39" s="3">
        <f>IF(N39&lt;&gt;"",N39,IF(O39&lt;&gt;"",O39,IF(L39&lt;&gt;"",L39/1.56,IF(M39&lt;&gt;"",M39/1.56,""))))</f>
        <v/>
      </c>
      <c r="U39" s="3" t="n"/>
      <c r="V39" s="3" t="n">
        <v>66.5</v>
      </c>
      <c r="W39" s="3" t="n"/>
      <c r="X39" s="4" t="n">
        <v>9.199999999999999</v>
      </c>
      <c r="Y39" s="5" t="n"/>
      <c r="Z39" s="4">
        <f>IF(L39&lt;&gt;"",SQRT(3)*G39*L39/1000,"")</f>
        <v/>
      </c>
      <c r="AB39" t="inlineStr">
        <is>
          <t>Bitzer_RLA_230_460_3ph_60Hz.xlsx</t>
        </is>
      </c>
      <c r="AC39" t="inlineStr">
        <is>
          <t>BITZER_RLA_230_460_3PH</t>
        </is>
      </c>
    </row>
    <row r="40">
      <c r="A40" t="inlineStr">
        <is>
          <t>BITZER</t>
        </is>
      </c>
      <c r="B40" t="inlineStr">
        <is>
          <t>4FE-25</t>
        </is>
      </c>
      <c r="C40" t="inlineStr">
        <is>
          <t>3.0</t>
        </is>
      </c>
      <c r="D40" t="inlineStr">
        <is>
          <t>Reciprocating Semi-hermetic</t>
        </is>
      </c>
      <c r="E40" s="2" t="n">
        <v>3</v>
      </c>
      <c r="F40" s="2" t="n">
        <v>60</v>
      </c>
      <c r="G40" s="2" t="n">
        <v>230</v>
      </c>
      <c r="H40" t="inlineStr">
        <is>
          <t>230</t>
        </is>
      </c>
      <c r="I40" s="2" t="n">
        <v>230</v>
      </c>
      <c r="J40" s="2" t="n">
        <v>230</v>
      </c>
      <c r="L40" s="3" t="n">
        <v>120.8</v>
      </c>
      <c r="M40" s="3" t="n">
        <v>56.4</v>
      </c>
      <c r="N40" s="3" t="n">
        <v>77.40000000000001</v>
      </c>
      <c r="O40" s="3" t="n">
        <v>86.3</v>
      </c>
      <c r="P40" s="3">
        <f>IF(L40&lt;&gt;"",L40/1.4,"")</f>
        <v/>
      </c>
      <c r="Q40" s="3">
        <f>IF(L40&lt;&gt;"",L40/1.56,"")</f>
        <v/>
      </c>
      <c r="R40" s="3">
        <f>IF(M40&lt;&gt;"",M40/1.4,"")</f>
        <v/>
      </c>
      <c r="S40" s="3">
        <f>IF(M40&lt;&gt;"",M40/1.56,"")</f>
        <v/>
      </c>
      <c r="T40" s="3">
        <f>IF(N40&lt;&gt;"",N40,IF(O40&lt;&gt;"",O40,IF(L40&lt;&gt;"",L40/1.56,IF(M40&lt;&gt;"",M40/1.56,""))))</f>
        <v/>
      </c>
      <c r="U40" s="3" t="n">
        <v>436</v>
      </c>
      <c r="V40" s="3" t="n">
        <v>261.6</v>
      </c>
      <c r="W40" s="3" t="n"/>
      <c r="X40" s="4" t="n"/>
      <c r="Y40" s="5" t="n"/>
      <c r="Z40" s="4">
        <f>IF(L40&lt;&gt;"",SQRT(3)*G40*L40/1000,"")</f>
        <v/>
      </c>
      <c r="AB40" t="inlineStr">
        <is>
          <t>Bitzer_RLA_230_460_3ph_60Hz.xlsx</t>
        </is>
      </c>
      <c r="AC40" t="inlineStr">
        <is>
          <t>BITZER_RLA_230_460_3PH</t>
        </is>
      </c>
    </row>
    <row r="41">
      <c r="A41" t="inlineStr">
        <is>
          <t>BITZER</t>
        </is>
      </c>
      <c r="B41" t="inlineStr">
        <is>
          <t>4FE-25</t>
        </is>
      </c>
      <c r="C41" t="inlineStr">
        <is>
          <t>3.0</t>
        </is>
      </c>
      <c r="D41" t="inlineStr">
        <is>
          <t>Reciprocating Semi-hermetic</t>
        </is>
      </c>
      <c r="E41" s="2" t="n">
        <v>3</v>
      </c>
      <c r="F41" s="2" t="n">
        <v>60</v>
      </c>
      <c r="G41" s="2" t="n">
        <v>460</v>
      </c>
      <c r="H41" t="inlineStr">
        <is>
          <t>460</t>
        </is>
      </c>
      <c r="I41" s="2" t="n">
        <v>460</v>
      </c>
      <c r="J41" s="2" t="n">
        <v>460</v>
      </c>
      <c r="L41" s="3" t="n">
        <v>60.4</v>
      </c>
      <c r="M41" s="3" t="n">
        <v>28.2</v>
      </c>
      <c r="N41" s="3" t="n">
        <v>38.7</v>
      </c>
      <c r="O41" s="3" t="n">
        <v>43.1</v>
      </c>
      <c r="P41" s="3">
        <f>IF(L41&lt;&gt;"",L41/1.4,"")</f>
        <v/>
      </c>
      <c r="Q41" s="3">
        <f>IF(L41&lt;&gt;"",L41/1.56,"")</f>
        <v/>
      </c>
      <c r="R41" s="3">
        <f>IF(M41&lt;&gt;"",M41/1.4,"")</f>
        <v/>
      </c>
      <c r="S41" s="3">
        <f>IF(M41&lt;&gt;"",M41/1.56,"")</f>
        <v/>
      </c>
      <c r="T41" s="3">
        <f>IF(N41&lt;&gt;"",N41,IF(O41&lt;&gt;"",O41,IF(L41&lt;&gt;"",L41/1.56,IF(M41&lt;&gt;"",M41/1.56,""))))</f>
        <v/>
      </c>
      <c r="U41" s="3" t="n">
        <v>218</v>
      </c>
      <c r="V41" s="3" t="n">
        <v>130.8</v>
      </c>
      <c r="W41" s="3" t="n"/>
      <c r="X41" s="4" t="n"/>
      <c r="Y41" s="5" t="n"/>
      <c r="Z41" s="4">
        <f>IF(L41&lt;&gt;"",SQRT(3)*G41*L41/1000,"")</f>
        <v/>
      </c>
      <c r="AB41" t="inlineStr">
        <is>
          <t>Bitzer_RLA_230_460_3ph_60Hz.xlsx</t>
        </is>
      </c>
      <c r="AC41" t="inlineStr">
        <is>
          <t>BITZER_RLA_230_460_3PH</t>
        </is>
      </c>
    </row>
    <row r="42">
      <c r="A42" t="inlineStr">
        <is>
          <t>BITZER</t>
        </is>
      </c>
      <c r="B42" t="inlineStr">
        <is>
          <t>4FE-28</t>
        </is>
      </c>
      <c r="C42" t="inlineStr">
        <is>
          <t>2.0</t>
        </is>
      </c>
      <c r="D42" t="inlineStr">
        <is>
          <t>Reciprocating Semi-hermetic</t>
        </is>
      </c>
      <c r="E42" s="2" t="n">
        <v>3</v>
      </c>
      <c r="F42" s="2" t="n">
        <v>60</v>
      </c>
      <c r="G42" s="2" t="n">
        <v>230</v>
      </c>
      <c r="H42" t="inlineStr">
        <is>
          <t>230</t>
        </is>
      </c>
      <c r="I42" s="2" t="n">
        <v>230</v>
      </c>
      <c r="J42" s="2" t="n">
        <v>230</v>
      </c>
      <c r="L42" s="3" t="n">
        <v>120</v>
      </c>
      <c r="M42" s="3" t="n">
        <v>105.6</v>
      </c>
      <c r="N42" s="3" t="n">
        <v>76.90000000000001</v>
      </c>
      <c r="O42" s="3" t="n">
        <v>85.7</v>
      </c>
      <c r="P42" s="3">
        <f>IF(L42&lt;&gt;"",L42/1.4,"")</f>
        <v/>
      </c>
      <c r="Q42" s="3">
        <f>IF(L42&lt;&gt;"",L42/1.56,"")</f>
        <v/>
      </c>
      <c r="R42" s="3">
        <f>IF(M42&lt;&gt;"",M42/1.4,"")</f>
        <v/>
      </c>
      <c r="S42" s="3">
        <f>IF(M42&lt;&gt;"",M42/1.56,"")</f>
        <v/>
      </c>
      <c r="T42" s="3">
        <f>IF(N42&lt;&gt;"",N42,IF(O42&lt;&gt;"",O42,IF(L42&lt;&gt;"",L42/1.56,IF(M42&lt;&gt;"",M42/1.56,""))))</f>
        <v/>
      </c>
      <c r="U42" s="3" t="n">
        <v>490</v>
      </c>
      <c r="V42" s="3" t="n">
        <v>294</v>
      </c>
      <c r="W42" s="3" t="n"/>
      <c r="X42" s="4" t="n">
        <v>37.4</v>
      </c>
      <c r="Y42" s="5" t="n"/>
      <c r="Z42" s="4">
        <f>IF(L42&lt;&gt;"",SQRT(3)*G42*L42/1000,"")</f>
        <v/>
      </c>
      <c r="AB42" t="inlineStr">
        <is>
          <t>Bitzer_RLA_230_460_3ph_60Hz.xlsx</t>
        </is>
      </c>
      <c r="AC42" t="inlineStr">
        <is>
          <t>BITZER_RLA_230_460_3PH</t>
        </is>
      </c>
    </row>
    <row r="43">
      <c r="A43" t="inlineStr">
        <is>
          <t>BITZER</t>
        </is>
      </c>
      <c r="B43" t="inlineStr">
        <is>
          <t>4FE-28</t>
        </is>
      </c>
      <c r="C43" t="inlineStr">
        <is>
          <t>2.0</t>
        </is>
      </c>
      <c r="D43" t="inlineStr">
        <is>
          <t>Reciprocating Semi-hermetic</t>
        </is>
      </c>
      <c r="E43" s="2" t="n">
        <v>3</v>
      </c>
      <c r="F43" s="2" t="n">
        <v>60</v>
      </c>
      <c r="G43" s="2" t="n">
        <v>460</v>
      </c>
      <c r="H43" t="inlineStr">
        <is>
          <t>460</t>
        </is>
      </c>
      <c r="I43" s="2" t="n">
        <v>460</v>
      </c>
      <c r="J43" s="2" t="n">
        <v>460</v>
      </c>
      <c r="L43" s="3" t="n">
        <v>60</v>
      </c>
      <c r="M43" s="3" t="n">
        <v>52.8</v>
      </c>
      <c r="N43" s="3" t="n">
        <v>38.5</v>
      </c>
      <c r="O43" s="3" t="n">
        <v>42.9</v>
      </c>
      <c r="P43" s="3">
        <f>IF(L43&lt;&gt;"",L43/1.4,"")</f>
        <v/>
      </c>
      <c r="Q43" s="3">
        <f>IF(L43&lt;&gt;"",L43/1.56,"")</f>
        <v/>
      </c>
      <c r="R43" s="3">
        <f>IF(M43&lt;&gt;"",M43/1.4,"")</f>
        <v/>
      </c>
      <c r="S43" s="3">
        <f>IF(M43&lt;&gt;"",M43/1.56,"")</f>
        <v/>
      </c>
      <c r="T43" s="3">
        <f>IF(N43&lt;&gt;"",N43,IF(O43&lt;&gt;"",O43,IF(L43&lt;&gt;"",L43/1.56,IF(M43&lt;&gt;"",M43/1.56,""))))</f>
        <v/>
      </c>
      <c r="U43" s="3" t="n">
        <v>245</v>
      </c>
      <c r="V43" s="3" t="n">
        <v>147</v>
      </c>
      <c r="W43" s="3" t="n"/>
      <c r="X43" s="4" t="n">
        <v>37.4</v>
      </c>
      <c r="Y43" s="5" t="n"/>
      <c r="Z43" s="4">
        <f>IF(L43&lt;&gt;"",SQRT(3)*G43*L43/1000,"")</f>
        <v/>
      </c>
      <c r="AB43" t="inlineStr">
        <is>
          <t>Bitzer_RLA_230_460_3ph_60Hz.xlsx</t>
        </is>
      </c>
      <c r="AC43" t="inlineStr">
        <is>
          <t>BITZER_RLA_230_460_3PH</t>
        </is>
      </c>
    </row>
    <row r="44">
      <c r="A44" t="inlineStr">
        <is>
          <t>BITZER</t>
        </is>
      </c>
      <c r="B44" t="inlineStr">
        <is>
          <t>4FE-35</t>
        </is>
      </c>
      <c r="C44" t="inlineStr">
        <is>
          <t>1.0</t>
        </is>
      </c>
      <c r="D44" t="inlineStr">
        <is>
          <t>Reciprocating Semi-hermetic</t>
        </is>
      </c>
      <c r="E44" s="2" t="n">
        <v>3</v>
      </c>
      <c r="F44" s="2" t="n">
        <v>60</v>
      </c>
      <c r="G44" s="2" t="n">
        <v>230</v>
      </c>
      <c r="H44" t="inlineStr">
        <is>
          <t>230</t>
        </is>
      </c>
      <c r="I44" s="2" t="n">
        <v>230</v>
      </c>
      <c r="J44" s="2" t="n">
        <v>230</v>
      </c>
      <c r="L44" s="3" t="n">
        <v>148.2</v>
      </c>
      <c r="M44" s="3" t="n">
        <v>124.2</v>
      </c>
      <c r="N44" s="3" t="n">
        <v>95</v>
      </c>
      <c r="O44" s="3" t="n">
        <v>105.9</v>
      </c>
      <c r="P44" s="3">
        <f>IF(L44&lt;&gt;"",L44/1.4,"")</f>
        <v/>
      </c>
      <c r="Q44" s="3">
        <f>IF(L44&lt;&gt;"",L44/1.56,"")</f>
        <v/>
      </c>
      <c r="R44" s="3">
        <f>IF(M44&lt;&gt;"",M44/1.4,"")</f>
        <v/>
      </c>
      <c r="S44" s="3">
        <f>IF(M44&lt;&gt;"",M44/1.56,"")</f>
        <v/>
      </c>
      <c r="T44" s="3">
        <f>IF(N44&lt;&gt;"",N44,IF(O44&lt;&gt;"",O44,IF(L44&lt;&gt;"",L44/1.56,IF(M44&lt;&gt;"",M44/1.56,""))))</f>
        <v/>
      </c>
      <c r="U44" s="3" t="n">
        <v>490</v>
      </c>
      <c r="V44" s="3" t="n">
        <v>294</v>
      </c>
      <c r="W44" s="3" t="n"/>
      <c r="X44" s="4" t="n">
        <v>42.2</v>
      </c>
      <c r="Y44" s="5" t="n"/>
      <c r="Z44" s="4">
        <f>IF(L44&lt;&gt;"",SQRT(3)*G44*L44/1000,"")</f>
        <v/>
      </c>
      <c r="AB44" t="inlineStr">
        <is>
          <t>Bitzer_RLA_230_460_3ph_60Hz.xlsx</t>
        </is>
      </c>
      <c r="AC44" t="inlineStr">
        <is>
          <t>BITZER_RLA_230_460_3PH</t>
        </is>
      </c>
    </row>
    <row r="45">
      <c r="A45" t="inlineStr">
        <is>
          <t>BITZER</t>
        </is>
      </c>
      <c r="B45" t="inlineStr">
        <is>
          <t>4FE-35</t>
        </is>
      </c>
      <c r="C45" t="inlineStr">
        <is>
          <t>1.0</t>
        </is>
      </c>
      <c r="D45" t="inlineStr">
        <is>
          <t>Reciprocating Semi-hermetic</t>
        </is>
      </c>
      <c r="E45" s="2" t="n">
        <v>3</v>
      </c>
      <c r="F45" s="2" t="n">
        <v>60</v>
      </c>
      <c r="G45" s="2" t="n">
        <v>460</v>
      </c>
      <c r="H45" t="inlineStr">
        <is>
          <t>460</t>
        </is>
      </c>
      <c r="I45" s="2" t="n">
        <v>460</v>
      </c>
      <c r="J45" s="2" t="n">
        <v>460</v>
      </c>
      <c r="L45" s="3" t="n">
        <v>74.09999999999999</v>
      </c>
      <c r="M45" s="3" t="n">
        <v>62.1</v>
      </c>
      <c r="N45" s="3" t="n">
        <v>47.5</v>
      </c>
      <c r="O45" s="3" t="n">
        <v>52.9</v>
      </c>
      <c r="P45" s="3">
        <f>IF(L45&lt;&gt;"",L45/1.4,"")</f>
        <v/>
      </c>
      <c r="Q45" s="3">
        <f>IF(L45&lt;&gt;"",L45/1.56,"")</f>
        <v/>
      </c>
      <c r="R45" s="3">
        <f>IF(M45&lt;&gt;"",M45/1.4,"")</f>
        <v/>
      </c>
      <c r="S45" s="3">
        <f>IF(M45&lt;&gt;"",M45/1.56,"")</f>
        <v/>
      </c>
      <c r="T45" s="3">
        <f>IF(N45&lt;&gt;"",N45,IF(O45&lt;&gt;"",O45,IF(L45&lt;&gt;"",L45/1.56,IF(M45&lt;&gt;"",M45/1.56,""))))</f>
        <v/>
      </c>
      <c r="U45" s="3" t="n">
        <v>245</v>
      </c>
      <c r="V45" s="3" t="n">
        <v>147</v>
      </c>
      <c r="W45" s="3" t="n"/>
      <c r="X45" s="4" t="n">
        <v>42.2</v>
      </c>
      <c r="Y45" s="5" t="n"/>
      <c r="Z45" s="4">
        <f>IF(L45&lt;&gt;"",SQRT(3)*G45*L45/1000,"")</f>
        <v/>
      </c>
      <c r="AB45" t="inlineStr">
        <is>
          <t>Bitzer_RLA_230_460_3ph_60Hz.xlsx</t>
        </is>
      </c>
      <c r="AC45" t="inlineStr">
        <is>
          <t>BITZER_RLA_230_460_3PH</t>
        </is>
      </c>
    </row>
    <row r="46">
      <c r="A46" t="inlineStr">
        <is>
          <t>BITZER</t>
        </is>
      </c>
      <c r="B46" t="inlineStr">
        <is>
          <t>4FES-3</t>
        </is>
      </c>
      <c r="C46" t="inlineStr">
        <is>
          <t>2.0</t>
        </is>
      </c>
      <c r="D46" t="inlineStr">
        <is>
          <t>Reciprocating Semi-hermetic</t>
        </is>
      </c>
      <c r="E46" s="2" t="n">
        <v>3</v>
      </c>
      <c r="F46" s="2" t="n">
        <v>60</v>
      </c>
      <c r="G46" s="2" t="n">
        <v>230</v>
      </c>
      <c r="H46" t="inlineStr">
        <is>
          <t>230</t>
        </is>
      </c>
      <c r="I46" s="2" t="n">
        <v>230</v>
      </c>
      <c r="J46" s="2" t="n">
        <v>230</v>
      </c>
      <c r="L46" s="3" t="n">
        <v>28.1</v>
      </c>
      <c r="M46" s="3" t="n">
        <v>20</v>
      </c>
      <c r="N46" s="3" t="n">
        <v>18</v>
      </c>
      <c r="O46" s="3" t="n">
        <v>20.1</v>
      </c>
      <c r="P46" s="3">
        <f>IF(L46&lt;&gt;"",L46/1.4,"")</f>
        <v/>
      </c>
      <c r="Q46" s="3">
        <f>IF(L46&lt;&gt;"",L46/1.56,"")</f>
        <v/>
      </c>
      <c r="R46" s="3">
        <f>IF(M46&lt;&gt;"",M46/1.4,"")</f>
        <v/>
      </c>
      <c r="S46" s="3">
        <f>IF(M46&lt;&gt;"",M46/1.56,"")</f>
        <v/>
      </c>
      <c r="T46" s="3">
        <f>IF(N46&lt;&gt;"",N46,IF(O46&lt;&gt;"",O46,IF(L46&lt;&gt;"",L46/1.56,IF(M46&lt;&gt;"",M46/1.56,""))))</f>
        <v/>
      </c>
      <c r="U46" s="3" t="n"/>
      <c r="V46" s="3" t="n">
        <v>115.5</v>
      </c>
      <c r="W46" s="3" t="n"/>
      <c r="X46" s="4" t="n"/>
      <c r="Y46" s="5" t="n"/>
      <c r="Z46" s="4">
        <f>IF(L46&lt;&gt;"",SQRT(3)*G46*L46/1000,"")</f>
        <v/>
      </c>
      <c r="AB46" t="inlineStr">
        <is>
          <t>Bitzer_RLA_230_460_3ph_60Hz.xlsx</t>
        </is>
      </c>
      <c r="AC46" t="inlineStr">
        <is>
          <t>BITZER_RLA_230_460_3PH</t>
        </is>
      </c>
    </row>
    <row r="47">
      <c r="A47" t="inlineStr">
        <is>
          <t>BITZER</t>
        </is>
      </c>
      <c r="B47" t="inlineStr">
        <is>
          <t>4FES-3</t>
        </is>
      </c>
      <c r="C47" t="inlineStr">
        <is>
          <t>2.0</t>
        </is>
      </c>
      <c r="D47" t="inlineStr">
        <is>
          <t>Reciprocating Semi-hermetic</t>
        </is>
      </c>
      <c r="E47" s="2" t="n">
        <v>3</v>
      </c>
      <c r="F47" s="2" t="n">
        <v>60</v>
      </c>
      <c r="G47" s="2" t="n">
        <v>460</v>
      </c>
      <c r="H47" t="inlineStr">
        <is>
          <t>460</t>
        </is>
      </c>
      <c r="I47" s="2" t="n">
        <v>460</v>
      </c>
      <c r="J47" s="2" t="n">
        <v>460</v>
      </c>
      <c r="L47" s="3" t="n">
        <v>12.6</v>
      </c>
      <c r="M47" s="3" t="n">
        <v>9.5</v>
      </c>
      <c r="N47" s="3" t="n">
        <v>8.1</v>
      </c>
      <c r="O47" s="3" t="n">
        <v>9</v>
      </c>
      <c r="P47" s="3">
        <f>IF(L47&lt;&gt;"",L47/1.4,"")</f>
        <v/>
      </c>
      <c r="Q47" s="3">
        <f>IF(L47&lt;&gt;"",L47/1.56,"")</f>
        <v/>
      </c>
      <c r="R47" s="3">
        <f>IF(M47&lt;&gt;"",M47/1.4,"")</f>
        <v/>
      </c>
      <c r="S47" s="3">
        <f>IF(M47&lt;&gt;"",M47/1.56,"")</f>
        <v/>
      </c>
      <c r="T47" s="3">
        <f>IF(N47&lt;&gt;"",N47,IF(O47&lt;&gt;"",O47,IF(L47&lt;&gt;"",L47/1.56,IF(M47&lt;&gt;"",M47/1.56,""))))</f>
        <v/>
      </c>
      <c r="U47" s="3" t="n"/>
      <c r="V47" s="3" t="n">
        <v>47.5</v>
      </c>
      <c r="W47" s="3" t="n"/>
      <c r="X47" s="4" t="n"/>
      <c r="Y47" s="5" t="n"/>
      <c r="Z47" s="4">
        <f>IF(L47&lt;&gt;"",SQRT(3)*G47*L47/1000,"")</f>
        <v/>
      </c>
      <c r="AB47" t="inlineStr">
        <is>
          <t>Bitzer_RLA_230_460_3ph_60Hz.xlsx</t>
        </is>
      </c>
      <c r="AC47" t="inlineStr">
        <is>
          <t>BITZER_RLA_230_460_3PH</t>
        </is>
      </c>
    </row>
    <row r="48">
      <c r="A48" t="inlineStr">
        <is>
          <t>BITZER</t>
        </is>
      </c>
      <c r="B48" t="inlineStr">
        <is>
          <t>4FES-5</t>
        </is>
      </c>
      <c r="C48" t="inlineStr">
        <is>
          <t>1.0</t>
        </is>
      </c>
      <c r="D48" t="inlineStr">
        <is>
          <t>Reciprocating Semi-hermetic</t>
        </is>
      </c>
      <c r="E48" s="2" t="n">
        <v>3</v>
      </c>
      <c r="F48" s="2" t="n">
        <v>60</v>
      </c>
      <c r="G48" s="2" t="n">
        <v>230</v>
      </c>
      <c r="H48" t="inlineStr">
        <is>
          <t>230</t>
        </is>
      </c>
      <c r="I48" s="2" t="n">
        <v>230</v>
      </c>
      <c r="J48" s="2" t="n">
        <v>230</v>
      </c>
      <c r="L48" s="3" t="n">
        <v>37.8</v>
      </c>
      <c r="M48" s="3" t="n">
        <v>21.6</v>
      </c>
      <c r="N48" s="3" t="n">
        <v>24.2</v>
      </c>
      <c r="O48" s="3" t="n">
        <v>27</v>
      </c>
      <c r="P48" s="3">
        <f>IF(L48&lt;&gt;"",L48/1.4,"")</f>
        <v/>
      </c>
      <c r="Q48" s="3">
        <f>IF(L48&lt;&gt;"",L48/1.56,"")</f>
        <v/>
      </c>
      <c r="R48" s="3">
        <f>IF(M48&lt;&gt;"",M48/1.4,"")</f>
        <v/>
      </c>
      <c r="S48" s="3">
        <f>IF(M48&lt;&gt;"",M48/1.56,"")</f>
        <v/>
      </c>
      <c r="T48" s="3">
        <f>IF(N48&lt;&gt;"",N48,IF(O48&lt;&gt;"",O48,IF(L48&lt;&gt;"",L48/1.56,IF(M48&lt;&gt;"",M48/1.56,""))))</f>
        <v/>
      </c>
      <c r="U48" s="3" t="n"/>
      <c r="V48" s="3" t="n">
        <v>163</v>
      </c>
      <c r="W48" s="3" t="n"/>
      <c r="X48" s="4" t="n"/>
      <c r="Y48" s="5" t="n"/>
      <c r="Z48" s="4">
        <f>IF(L48&lt;&gt;"",SQRT(3)*G48*L48/1000,"")</f>
        <v/>
      </c>
      <c r="AB48" t="inlineStr">
        <is>
          <t>Bitzer_RLA_230_460_3ph_60Hz.xlsx</t>
        </is>
      </c>
      <c r="AC48" t="inlineStr">
        <is>
          <t>BITZER_RLA_230_460_3PH</t>
        </is>
      </c>
    </row>
    <row r="49">
      <c r="A49" t="inlineStr">
        <is>
          <t>BITZER</t>
        </is>
      </c>
      <c r="B49" t="inlineStr">
        <is>
          <t>4FES-5</t>
        </is>
      </c>
      <c r="C49" t="inlineStr">
        <is>
          <t>1.0</t>
        </is>
      </c>
      <c r="D49" t="inlineStr">
        <is>
          <t>Reciprocating Semi-hermetic</t>
        </is>
      </c>
      <c r="E49" s="2" t="n">
        <v>3</v>
      </c>
      <c r="F49" s="2" t="n">
        <v>60</v>
      </c>
      <c r="G49" s="2" t="n">
        <v>460</v>
      </c>
      <c r="H49" t="inlineStr">
        <is>
          <t>460</t>
        </is>
      </c>
      <c r="I49" s="2" t="n">
        <v>460</v>
      </c>
      <c r="J49" s="2" t="n">
        <v>460</v>
      </c>
      <c r="L49" s="3" t="n">
        <v>20.5</v>
      </c>
      <c r="M49" s="3" t="n">
        <v>10.8</v>
      </c>
      <c r="N49" s="3" t="n">
        <v>13.1</v>
      </c>
      <c r="O49" s="3" t="n">
        <v>14.6</v>
      </c>
      <c r="P49" s="3">
        <f>IF(L49&lt;&gt;"",L49/1.4,"")</f>
        <v/>
      </c>
      <c r="Q49" s="3">
        <f>IF(L49&lt;&gt;"",L49/1.56,"")</f>
        <v/>
      </c>
      <c r="R49" s="3">
        <f>IF(M49&lt;&gt;"",M49/1.4,"")</f>
        <v/>
      </c>
      <c r="S49" s="3">
        <f>IF(M49&lt;&gt;"",M49/1.56,"")</f>
        <v/>
      </c>
      <c r="T49" s="3">
        <f>IF(N49&lt;&gt;"",N49,IF(O49&lt;&gt;"",O49,IF(L49&lt;&gt;"",L49/1.56,IF(M49&lt;&gt;"",M49/1.56,""))))</f>
        <v/>
      </c>
      <c r="U49" s="3" t="n"/>
      <c r="V49" s="3" t="n">
        <v>66.5</v>
      </c>
      <c r="W49" s="3" t="n"/>
      <c r="X49" s="4" t="n"/>
      <c r="Y49" s="5" t="n"/>
      <c r="Z49" s="4">
        <f>IF(L49&lt;&gt;"",SQRT(3)*G49*L49/1000,"")</f>
        <v/>
      </c>
      <c r="AB49" t="inlineStr">
        <is>
          <t>Bitzer_RLA_230_460_3ph_60Hz.xlsx</t>
        </is>
      </c>
      <c r="AC49" t="inlineStr">
        <is>
          <t>BITZER_RLA_230_460_3PH</t>
        </is>
      </c>
    </row>
    <row r="50">
      <c r="A50" t="inlineStr">
        <is>
          <t>BITZER</t>
        </is>
      </c>
      <c r="B50" t="inlineStr">
        <is>
          <t>4GE-20</t>
        </is>
      </c>
      <c r="C50" t="inlineStr">
        <is>
          <t>3.0</t>
        </is>
      </c>
      <c r="D50" t="inlineStr">
        <is>
          <t>Reciprocating Semi-hermetic</t>
        </is>
      </c>
      <c r="E50" s="2" t="n">
        <v>3</v>
      </c>
      <c r="F50" s="2" t="n">
        <v>60</v>
      </c>
      <c r="G50" s="2" t="n">
        <v>230</v>
      </c>
      <c r="H50" t="inlineStr">
        <is>
          <t>230</t>
        </is>
      </c>
      <c r="I50" s="2" t="n">
        <v>230</v>
      </c>
      <c r="J50" s="2" t="n">
        <v>230</v>
      </c>
      <c r="L50" s="3" t="n">
        <v>90</v>
      </c>
      <c r="M50" s="3" t="n">
        <v>49.2</v>
      </c>
      <c r="N50" s="3" t="n">
        <v>57.7</v>
      </c>
      <c r="O50" s="3" t="n">
        <v>64.3</v>
      </c>
      <c r="P50" s="3">
        <f>IF(L50&lt;&gt;"",L50/1.4,"")</f>
        <v/>
      </c>
      <c r="Q50" s="3">
        <f>IF(L50&lt;&gt;"",L50/1.56,"")</f>
        <v/>
      </c>
      <c r="R50" s="3">
        <f>IF(M50&lt;&gt;"",M50/1.4,"")</f>
        <v/>
      </c>
      <c r="S50" s="3">
        <f>IF(M50&lt;&gt;"",M50/1.56,"")</f>
        <v/>
      </c>
      <c r="T50" s="3">
        <f>IF(N50&lt;&gt;"",N50,IF(O50&lt;&gt;"",O50,IF(L50&lt;&gt;"",L50/1.56,IF(M50&lt;&gt;"",M50/1.56,""))))</f>
        <v/>
      </c>
      <c r="U50" s="3" t="n">
        <v>352</v>
      </c>
      <c r="V50" s="3" t="n">
        <v>211.2</v>
      </c>
      <c r="W50" s="3" t="n"/>
      <c r="X50" s="4" t="n"/>
      <c r="Y50" s="5" t="n"/>
      <c r="Z50" s="4">
        <f>IF(L50&lt;&gt;"",SQRT(3)*G50*L50/1000,"")</f>
        <v/>
      </c>
      <c r="AB50" t="inlineStr">
        <is>
          <t>Bitzer_RLA_230_460_3ph_60Hz.xlsx</t>
        </is>
      </c>
      <c r="AC50" t="inlineStr">
        <is>
          <t>BITZER_RLA_230_460_3PH</t>
        </is>
      </c>
    </row>
    <row r="51">
      <c r="A51" t="inlineStr">
        <is>
          <t>BITZER</t>
        </is>
      </c>
      <c r="B51" t="inlineStr">
        <is>
          <t>4GE-20</t>
        </is>
      </c>
      <c r="C51" t="inlineStr">
        <is>
          <t>3.0</t>
        </is>
      </c>
      <c r="D51" t="inlineStr">
        <is>
          <t>Reciprocating Semi-hermetic</t>
        </is>
      </c>
      <c r="E51" s="2" t="n">
        <v>3</v>
      </c>
      <c r="F51" s="2" t="n">
        <v>60</v>
      </c>
      <c r="G51" s="2" t="n">
        <v>460</v>
      </c>
      <c r="H51" t="inlineStr">
        <is>
          <t>460</t>
        </is>
      </c>
      <c r="I51" s="2" t="n">
        <v>460</v>
      </c>
      <c r="J51" s="2" t="n">
        <v>460</v>
      </c>
      <c r="L51" s="3" t="n">
        <v>45</v>
      </c>
      <c r="M51" s="3" t="n">
        <v>24.6</v>
      </c>
      <c r="N51" s="3" t="n">
        <v>28.8</v>
      </c>
      <c r="O51" s="3" t="n">
        <v>32.1</v>
      </c>
      <c r="P51" s="3">
        <f>IF(L51&lt;&gt;"",L51/1.4,"")</f>
        <v/>
      </c>
      <c r="Q51" s="3">
        <f>IF(L51&lt;&gt;"",L51/1.56,"")</f>
        <v/>
      </c>
      <c r="R51" s="3">
        <f>IF(M51&lt;&gt;"",M51/1.4,"")</f>
        <v/>
      </c>
      <c r="S51" s="3">
        <f>IF(M51&lt;&gt;"",M51/1.56,"")</f>
        <v/>
      </c>
      <c r="T51" s="3">
        <f>IF(N51&lt;&gt;"",N51,IF(O51&lt;&gt;"",O51,IF(L51&lt;&gt;"",L51/1.56,IF(M51&lt;&gt;"",M51/1.56,""))))</f>
        <v/>
      </c>
      <c r="U51" s="3" t="n">
        <v>176</v>
      </c>
      <c r="V51" s="3" t="n">
        <v>105.6</v>
      </c>
      <c r="W51" s="3" t="n"/>
      <c r="X51" s="4" t="n"/>
      <c r="Y51" s="5" t="n"/>
      <c r="Z51" s="4">
        <f>IF(L51&lt;&gt;"",SQRT(3)*G51*L51/1000,"")</f>
        <v/>
      </c>
      <c r="AB51" t="inlineStr">
        <is>
          <t>Bitzer_RLA_230_460_3ph_60Hz.xlsx</t>
        </is>
      </c>
      <c r="AC51" t="inlineStr">
        <is>
          <t>BITZER_RLA_230_460_3PH</t>
        </is>
      </c>
    </row>
    <row r="52">
      <c r="A52" t="inlineStr">
        <is>
          <t>BITZER</t>
        </is>
      </c>
      <c r="B52" t="inlineStr">
        <is>
          <t>4GE-23</t>
        </is>
      </c>
      <c r="C52" t="inlineStr">
        <is>
          <t>2.0</t>
        </is>
      </c>
      <c r="D52" t="inlineStr">
        <is>
          <t>Reciprocating Semi-hermetic</t>
        </is>
      </c>
      <c r="E52" s="2" t="n">
        <v>3</v>
      </c>
      <c r="F52" s="2" t="n">
        <v>60</v>
      </c>
      <c r="G52" s="2" t="n">
        <v>230</v>
      </c>
      <c r="H52" t="inlineStr">
        <is>
          <t>230</t>
        </is>
      </c>
      <c r="I52" s="2" t="n">
        <v>230</v>
      </c>
      <c r="J52" s="2" t="n">
        <v>230</v>
      </c>
      <c r="L52" s="3" t="n">
        <v>90</v>
      </c>
      <c r="M52" s="3" t="n">
        <v>87.8</v>
      </c>
      <c r="N52" s="3" t="n">
        <v>57.7</v>
      </c>
      <c r="O52" s="3" t="n">
        <v>64.3</v>
      </c>
      <c r="P52" s="3">
        <f>IF(L52&lt;&gt;"",L52/1.4,"")</f>
        <v/>
      </c>
      <c r="Q52" s="3">
        <f>IF(L52&lt;&gt;"",L52/1.56,"")</f>
        <v/>
      </c>
      <c r="R52" s="3">
        <f>IF(M52&lt;&gt;"",M52/1.4,"")</f>
        <v/>
      </c>
      <c r="S52" s="3">
        <f>IF(M52&lt;&gt;"",M52/1.56,"")</f>
        <v/>
      </c>
      <c r="T52" s="3">
        <f>IF(N52&lt;&gt;"",N52,IF(O52&lt;&gt;"",O52,IF(L52&lt;&gt;"",L52/1.56,IF(M52&lt;&gt;"",M52/1.56,""))))</f>
        <v/>
      </c>
      <c r="U52" s="3" t="n">
        <v>352</v>
      </c>
      <c r="V52" s="3" t="n">
        <v>211.2</v>
      </c>
      <c r="W52" s="3" t="n"/>
      <c r="X52" s="4" t="n"/>
      <c r="Y52" s="5" t="n"/>
      <c r="Z52" s="4">
        <f>IF(L52&lt;&gt;"",SQRT(3)*G52*L52/1000,"")</f>
        <v/>
      </c>
      <c r="AB52" t="inlineStr">
        <is>
          <t>Bitzer_RLA_230_460_3ph_60Hz.xlsx</t>
        </is>
      </c>
      <c r="AC52" t="inlineStr">
        <is>
          <t>BITZER_RLA_230_460_3PH</t>
        </is>
      </c>
    </row>
    <row r="53">
      <c r="A53" t="inlineStr">
        <is>
          <t>BITZER</t>
        </is>
      </c>
      <c r="B53" t="inlineStr">
        <is>
          <t>4GE-23</t>
        </is>
      </c>
      <c r="C53" t="inlineStr">
        <is>
          <t>2.0</t>
        </is>
      </c>
      <c r="D53" t="inlineStr">
        <is>
          <t>Reciprocating Semi-hermetic</t>
        </is>
      </c>
      <c r="E53" s="2" t="n">
        <v>3</v>
      </c>
      <c r="F53" s="2" t="n">
        <v>60</v>
      </c>
      <c r="G53" s="2" t="n">
        <v>460</v>
      </c>
      <c r="H53" t="inlineStr">
        <is>
          <t>460</t>
        </is>
      </c>
      <c r="I53" s="2" t="n">
        <v>460</v>
      </c>
      <c r="J53" s="2" t="n">
        <v>460</v>
      </c>
      <c r="L53" s="3" t="n">
        <v>45</v>
      </c>
      <c r="M53" s="3" t="n">
        <v>43.9</v>
      </c>
      <c r="N53" s="3" t="n">
        <v>28.8</v>
      </c>
      <c r="O53" s="3" t="n">
        <v>32.1</v>
      </c>
      <c r="P53" s="3">
        <f>IF(L53&lt;&gt;"",L53/1.4,"")</f>
        <v/>
      </c>
      <c r="Q53" s="3">
        <f>IF(L53&lt;&gt;"",L53/1.56,"")</f>
        <v/>
      </c>
      <c r="R53" s="3">
        <f>IF(M53&lt;&gt;"",M53/1.4,"")</f>
        <v/>
      </c>
      <c r="S53" s="3">
        <f>IF(M53&lt;&gt;"",M53/1.56,"")</f>
        <v/>
      </c>
      <c r="T53" s="3">
        <f>IF(N53&lt;&gt;"",N53,IF(O53&lt;&gt;"",O53,IF(L53&lt;&gt;"",L53/1.56,IF(M53&lt;&gt;"",M53/1.56,""))))</f>
        <v/>
      </c>
      <c r="U53" s="3" t="n">
        <v>176</v>
      </c>
      <c r="V53" s="3" t="n">
        <v>105.6</v>
      </c>
      <c r="W53" s="3" t="n"/>
      <c r="X53" s="4" t="n"/>
      <c r="Y53" s="5" t="n"/>
      <c r="Z53" s="4">
        <f>IF(L53&lt;&gt;"",SQRT(3)*G53*L53/1000,"")</f>
        <v/>
      </c>
      <c r="AB53" t="inlineStr">
        <is>
          <t>Bitzer_RLA_230_460_3ph_60Hz.xlsx</t>
        </is>
      </c>
      <c r="AC53" t="inlineStr">
        <is>
          <t>BITZER_RLA_230_460_3PH</t>
        </is>
      </c>
    </row>
    <row r="54">
      <c r="A54" t="inlineStr">
        <is>
          <t>BITZER</t>
        </is>
      </c>
      <c r="B54" t="inlineStr">
        <is>
          <t>4GE-30</t>
        </is>
      </c>
      <c r="C54" t="inlineStr">
        <is>
          <t>1.0</t>
        </is>
      </c>
      <c r="D54" t="inlineStr">
        <is>
          <t>Reciprocating Semi-hermetic</t>
        </is>
      </c>
      <c r="E54" s="2" t="n">
        <v>3</v>
      </c>
      <c r="F54" s="2" t="n">
        <v>60</v>
      </c>
      <c r="G54" s="2" t="n">
        <v>230</v>
      </c>
      <c r="H54" t="inlineStr">
        <is>
          <t>230</t>
        </is>
      </c>
      <c r="I54" s="2" t="n">
        <v>230</v>
      </c>
      <c r="J54" s="2" t="n">
        <v>230</v>
      </c>
      <c r="L54" s="3" t="n">
        <v>140</v>
      </c>
      <c r="M54" s="3" t="n">
        <v>102.4</v>
      </c>
      <c r="N54" s="3" t="n">
        <v>89.7</v>
      </c>
      <c r="O54" s="3" t="n">
        <v>100</v>
      </c>
      <c r="P54" s="3">
        <f>IF(L54&lt;&gt;"",L54/1.4,"")</f>
        <v/>
      </c>
      <c r="Q54" s="3">
        <f>IF(L54&lt;&gt;"",L54/1.56,"")</f>
        <v/>
      </c>
      <c r="R54" s="3">
        <f>IF(M54&lt;&gt;"",M54/1.4,"")</f>
        <v/>
      </c>
      <c r="S54" s="3">
        <f>IF(M54&lt;&gt;"",M54/1.56,"")</f>
        <v/>
      </c>
      <c r="T54" s="3">
        <f>IF(N54&lt;&gt;"",N54,IF(O54&lt;&gt;"",O54,IF(L54&lt;&gt;"",L54/1.56,IF(M54&lt;&gt;"",M54/1.56,""))))</f>
        <v/>
      </c>
      <c r="U54" s="3" t="n">
        <v>490</v>
      </c>
      <c r="V54" s="3" t="n">
        <v>294</v>
      </c>
      <c r="W54" s="3" t="n"/>
      <c r="X54" s="4" t="n"/>
      <c r="Y54" s="5" t="n"/>
      <c r="Z54" s="4">
        <f>IF(L54&lt;&gt;"",SQRT(3)*G54*L54/1000,"")</f>
        <v/>
      </c>
      <c r="AB54" t="inlineStr">
        <is>
          <t>Bitzer_RLA_230_460_3ph_60Hz.xlsx</t>
        </is>
      </c>
      <c r="AC54" t="inlineStr">
        <is>
          <t>BITZER_RLA_230_460_3PH</t>
        </is>
      </c>
    </row>
    <row r="55">
      <c r="A55" t="inlineStr">
        <is>
          <t>BITZER</t>
        </is>
      </c>
      <c r="B55" t="inlineStr">
        <is>
          <t>4GE-30</t>
        </is>
      </c>
      <c r="C55" t="inlineStr">
        <is>
          <t>1.0</t>
        </is>
      </c>
      <c r="D55" t="inlineStr">
        <is>
          <t>Reciprocating Semi-hermetic</t>
        </is>
      </c>
      <c r="E55" s="2" t="n">
        <v>3</v>
      </c>
      <c r="F55" s="2" t="n">
        <v>60</v>
      </c>
      <c r="G55" s="2" t="n">
        <v>460</v>
      </c>
      <c r="H55" t="inlineStr">
        <is>
          <t>460</t>
        </is>
      </c>
      <c r="I55" s="2" t="n">
        <v>460</v>
      </c>
      <c r="J55" s="2" t="n">
        <v>460</v>
      </c>
      <c r="L55" s="3" t="n">
        <v>70</v>
      </c>
      <c r="M55" s="3" t="n">
        <v>51.2</v>
      </c>
      <c r="N55" s="3" t="n">
        <v>44.9</v>
      </c>
      <c r="O55" s="3" t="n">
        <v>50</v>
      </c>
      <c r="P55" s="3">
        <f>IF(L55&lt;&gt;"",L55/1.4,"")</f>
        <v/>
      </c>
      <c r="Q55" s="3">
        <f>IF(L55&lt;&gt;"",L55/1.56,"")</f>
        <v/>
      </c>
      <c r="R55" s="3">
        <f>IF(M55&lt;&gt;"",M55/1.4,"")</f>
        <v/>
      </c>
      <c r="S55" s="3">
        <f>IF(M55&lt;&gt;"",M55/1.56,"")</f>
        <v/>
      </c>
      <c r="T55" s="3">
        <f>IF(N55&lt;&gt;"",N55,IF(O55&lt;&gt;"",O55,IF(L55&lt;&gt;"",L55/1.56,IF(M55&lt;&gt;"",M55/1.56,""))))</f>
        <v/>
      </c>
      <c r="U55" s="3" t="n">
        <v>245</v>
      </c>
      <c r="V55" s="3" t="n">
        <v>147</v>
      </c>
      <c r="W55" s="3" t="n"/>
      <c r="X55" s="4" t="n"/>
      <c r="Y55" s="5" t="n"/>
      <c r="Z55" s="4">
        <f>IF(L55&lt;&gt;"",SQRT(3)*G55*L55/1000,"")</f>
        <v/>
      </c>
      <c r="AB55" t="inlineStr">
        <is>
          <t>Bitzer_RLA_230_460_3ph_60Hz.xlsx</t>
        </is>
      </c>
      <c r="AC55" t="inlineStr">
        <is>
          <t>BITZER_RLA_230_460_3PH</t>
        </is>
      </c>
    </row>
    <row r="56">
      <c r="A56" t="inlineStr">
        <is>
          <t>BITZER</t>
        </is>
      </c>
      <c r="B56" t="inlineStr">
        <is>
          <t>4HE-15</t>
        </is>
      </c>
      <c r="C56" t="inlineStr">
        <is>
          <t>3.0</t>
        </is>
      </c>
      <c r="D56" t="inlineStr">
        <is>
          <t>Reciprocating Semi-hermetic</t>
        </is>
      </c>
      <c r="E56" s="2" t="n">
        <v>3</v>
      </c>
      <c r="F56" s="2" t="n">
        <v>60</v>
      </c>
      <c r="G56" s="2" t="n">
        <v>230</v>
      </c>
      <c r="H56" t="inlineStr">
        <is>
          <t>230</t>
        </is>
      </c>
      <c r="I56" s="2" t="n">
        <v>230</v>
      </c>
      <c r="J56" s="2" t="n">
        <v>230</v>
      </c>
      <c r="L56" s="3" t="n">
        <v>72</v>
      </c>
      <c r="M56" s="3" t="n">
        <v>42.8</v>
      </c>
      <c r="N56" s="3" t="n">
        <v>46.2</v>
      </c>
      <c r="O56" s="3" t="n">
        <v>51.4</v>
      </c>
      <c r="P56" s="3">
        <f>IF(L56&lt;&gt;"",L56/1.4,"")</f>
        <v/>
      </c>
      <c r="Q56" s="3">
        <f>IF(L56&lt;&gt;"",L56/1.56,"")</f>
        <v/>
      </c>
      <c r="R56" s="3">
        <f>IF(M56&lt;&gt;"",M56/1.4,"")</f>
        <v/>
      </c>
      <c r="S56" s="3">
        <f>IF(M56&lt;&gt;"",M56/1.56,"")</f>
        <v/>
      </c>
      <c r="T56" s="3">
        <f>IF(N56&lt;&gt;"",N56,IF(O56&lt;&gt;"",O56,IF(L56&lt;&gt;"",L56/1.56,IF(M56&lt;&gt;"",M56/1.56,""))))</f>
        <v/>
      </c>
      <c r="U56" s="3" t="n">
        <v>294</v>
      </c>
      <c r="V56" s="3" t="n">
        <v>176.4</v>
      </c>
      <c r="W56" s="3" t="n"/>
      <c r="X56" s="4" t="n"/>
      <c r="Y56" s="5" t="n"/>
      <c r="Z56" s="4">
        <f>IF(L56&lt;&gt;"",SQRT(3)*G56*L56/1000,"")</f>
        <v/>
      </c>
      <c r="AB56" t="inlineStr">
        <is>
          <t>Bitzer_RLA_230_460_3ph_60Hz.xlsx</t>
        </is>
      </c>
      <c r="AC56" t="inlineStr">
        <is>
          <t>BITZER_RLA_230_460_3PH</t>
        </is>
      </c>
    </row>
    <row r="57">
      <c r="A57" t="inlineStr">
        <is>
          <t>BITZER</t>
        </is>
      </c>
      <c r="B57" t="inlineStr">
        <is>
          <t>4HE-15</t>
        </is>
      </c>
      <c r="C57" t="inlineStr">
        <is>
          <t>3.0</t>
        </is>
      </c>
      <c r="D57" t="inlineStr">
        <is>
          <t>Reciprocating Semi-hermetic</t>
        </is>
      </c>
      <c r="E57" s="2" t="n">
        <v>3</v>
      </c>
      <c r="F57" s="2" t="n">
        <v>60</v>
      </c>
      <c r="G57" s="2" t="n">
        <v>460</v>
      </c>
      <c r="H57" t="inlineStr">
        <is>
          <t>460</t>
        </is>
      </c>
      <c r="I57" s="2" t="n">
        <v>460</v>
      </c>
      <c r="J57" s="2" t="n">
        <v>460</v>
      </c>
      <c r="L57" s="3" t="n">
        <v>36</v>
      </c>
      <c r="M57" s="3" t="n">
        <v>21.4</v>
      </c>
      <c r="N57" s="3" t="n">
        <v>23.1</v>
      </c>
      <c r="O57" s="3" t="n">
        <v>25.7</v>
      </c>
      <c r="P57" s="3">
        <f>IF(L57&lt;&gt;"",L57/1.4,"")</f>
        <v/>
      </c>
      <c r="Q57" s="3">
        <f>IF(L57&lt;&gt;"",L57/1.56,"")</f>
        <v/>
      </c>
      <c r="R57" s="3">
        <f>IF(M57&lt;&gt;"",M57/1.4,"")</f>
        <v/>
      </c>
      <c r="S57" s="3">
        <f>IF(M57&lt;&gt;"",M57/1.56,"")</f>
        <v/>
      </c>
      <c r="T57" s="3">
        <f>IF(N57&lt;&gt;"",N57,IF(O57&lt;&gt;"",O57,IF(L57&lt;&gt;"",L57/1.56,IF(M57&lt;&gt;"",M57/1.56,""))))</f>
        <v/>
      </c>
      <c r="U57" s="3" t="n">
        <v>147</v>
      </c>
      <c r="V57" s="3" t="n">
        <v>88.2</v>
      </c>
      <c r="W57" s="3" t="n"/>
      <c r="X57" s="4" t="n"/>
      <c r="Y57" s="5" t="n"/>
      <c r="Z57" s="4">
        <f>IF(L57&lt;&gt;"",SQRT(3)*G57*L57/1000,"")</f>
        <v/>
      </c>
      <c r="AB57" t="inlineStr">
        <is>
          <t>Bitzer_RLA_230_460_3ph_60Hz.xlsx</t>
        </is>
      </c>
      <c r="AC57" t="inlineStr">
        <is>
          <t>BITZER_RLA_230_460_3PH</t>
        </is>
      </c>
    </row>
    <row r="58">
      <c r="A58" t="inlineStr">
        <is>
          <t>BITZER</t>
        </is>
      </c>
      <c r="B58" t="inlineStr">
        <is>
          <t>4HE-18</t>
        </is>
      </c>
      <c r="C58" t="inlineStr">
        <is>
          <t>2.0</t>
        </is>
      </c>
      <c r="D58" t="inlineStr">
        <is>
          <t>Reciprocating Semi-hermetic</t>
        </is>
      </c>
      <c r="E58" s="2" t="n">
        <v>3</v>
      </c>
      <c r="F58" s="2" t="n">
        <v>60</v>
      </c>
      <c r="G58" s="2" t="n">
        <v>230</v>
      </c>
      <c r="H58" t="inlineStr">
        <is>
          <t>230</t>
        </is>
      </c>
      <c r="I58" s="2" t="n">
        <v>230</v>
      </c>
      <c r="J58" s="2" t="n">
        <v>230</v>
      </c>
      <c r="L58" s="3" t="n">
        <v>84.40000000000001</v>
      </c>
      <c r="M58" s="3" t="n">
        <v>73.40000000000001</v>
      </c>
      <c r="N58" s="3" t="n">
        <v>54.1</v>
      </c>
      <c r="O58" s="3" t="n">
        <v>60.3</v>
      </c>
      <c r="P58" s="3">
        <f>IF(L58&lt;&gt;"",L58/1.4,"")</f>
        <v/>
      </c>
      <c r="Q58" s="3">
        <f>IF(L58&lt;&gt;"",L58/1.56,"")</f>
        <v/>
      </c>
      <c r="R58" s="3">
        <f>IF(M58&lt;&gt;"",M58/1.4,"")</f>
        <v/>
      </c>
      <c r="S58" s="3">
        <f>IF(M58&lt;&gt;"",M58/1.56,"")</f>
        <v/>
      </c>
      <c r="T58" s="3">
        <f>IF(N58&lt;&gt;"",N58,IF(O58&lt;&gt;"",O58,IF(L58&lt;&gt;"",L58/1.56,IF(M58&lt;&gt;"",M58/1.56,""))))</f>
        <v/>
      </c>
      <c r="U58" s="3" t="n">
        <v>352</v>
      </c>
      <c r="V58" s="3" t="n">
        <v>211.2</v>
      </c>
      <c r="W58" s="3" t="n"/>
      <c r="X58" s="4" t="n">
        <v>26.6</v>
      </c>
      <c r="Y58" s="5" t="n"/>
      <c r="Z58" s="4">
        <f>IF(L58&lt;&gt;"",SQRT(3)*G58*L58/1000,"")</f>
        <v/>
      </c>
      <c r="AB58" t="inlineStr">
        <is>
          <t>Bitzer_RLA_230_460_3ph_60Hz.xlsx</t>
        </is>
      </c>
      <c r="AC58" t="inlineStr">
        <is>
          <t>BITZER_RLA_230_460_3PH</t>
        </is>
      </c>
    </row>
    <row r="59">
      <c r="A59" t="inlineStr">
        <is>
          <t>BITZER</t>
        </is>
      </c>
      <c r="B59" t="inlineStr">
        <is>
          <t>4HE-18</t>
        </is>
      </c>
      <c r="C59" t="inlineStr">
        <is>
          <t>2.0</t>
        </is>
      </c>
      <c r="D59" t="inlineStr">
        <is>
          <t>Reciprocating Semi-hermetic</t>
        </is>
      </c>
      <c r="E59" s="2" t="n">
        <v>3</v>
      </c>
      <c r="F59" s="2" t="n">
        <v>60</v>
      </c>
      <c r="G59" s="2" t="n">
        <v>460</v>
      </c>
      <c r="H59" t="inlineStr">
        <is>
          <t>460</t>
        </is>
      </c>
      <c r="I59" s="2" t="n">
        <v>460</v>
      </c>
      <c r="J59" s="2" t="n">
        <v>460</v>
      </c>
      <c r="L59" s="3" t="n">
        <v>42.2</v>
      </c>
      <c r="M59" s="3" t="n">
        <v>36.7</v>
      </c>
      <c r="N59" s="3" t="n">
        <v>27.1</v>
      </c>
      <c r="O59" s="3" t="n">
        <v>30.1</v>
      </c>
      <c r="P59" s="3">
        <f>IF(L59&lt;&gt;"",L59/1.4,"")</f>
        <v/>
      </c>
      <c r="Q59" s="3">
        <f>IF(L59&lt;&gt;"",L59/1.56,"")</f>
        <v/>
      </c>
      <c r="R59" s="3">
        <f>IF(M59&lt;&gt;"",M59/1.4,"")</f>
        <v/>
      </c>
      <c r="S59" s="3">
        <f>IF(M59&lt;&gt;"",M59/1.56,"")</f>
        <v/>
      </c>
      <c r="T59" s="3">
        <f>IF(N59&lt;&gt;"",N59,IF(O59&lt;&gt;"",O59,IF(L59&lt;&gt;"",L59/1.56,IF(M59&lt;&gt;"",M59/1.56,""))))</f>
        <v/>
      </c>
      <c r="U59" s="3" t="n">
        <v>176</v>
      </c>
      <c r="V59" s="3" t="n">
        <v>105.6</v>
      </c>
      <c r="W59" s="3" t="n"/>
      <c r="X59" s="4" t="n">
        <v>26.6</v>
      </c>
      <c r="Y59" s="5" t="n"/>
      <c r="Z59" s="4">
        <f>IF(L59&lt;&gt;"",SQRT(3)*G59*L59/1000,"")</f>
        <v/>
      </c>
      <c r="AB59" t="inlineStr">
        <is>
          <t>Bitzer_RLA_230_460_3ph_60Hz.xlsx</t>
        </is>
      </c>
      <c r="AC59" t="inlineStr">
        <is>
          <t>BITZER_RLA_230_460_3PH</t>
        </is>
      </c>
    </row>
    <row r="60">
      <c r="A60" t="inlineStr">
        <is>
          <t>BITZER</t>
        </is>
      </c>
      <c r="B60" t="inlineStr">
        <is>
          <t>4HE-25</t>
        </is>
      </c>
      <c r="C60" t="inlineStr">
        <is>
          <t>1.0</t>
        </is>
      </c>
      <c r="D60" t="inlineStr">
        <is>
          <t>Reciprocating Semi-hermetic</t>
        </is>
      </c>
      <c r="E60" s="2" t="n">
        <v>3</v>
      </c>
      <c r="F60" s="2" t="n">
        <v>60</v>
      </c>
      <c r="G60" s="2" t="n">
        <v>230</v>
      </c>
      <c r="H60" t="inlineStr">
        <is>
          <t>230</t>
        </is>
      </c>
      <c r="I60" s="2" t="n">
        <v>230</v>
      </c>
      <c r="J60" s="2" t="n">
        <v>230</v>
      </c>
      <c r="L60" s="3" t="n">
        <v>118</v>
      </c>
      <c r="M60" s="3" t="n">
        <v>88</v>
      </c>
      <c r="N60" s="3" t="n">
        <v>75.59999999999999</v>
      </c>
      <c r="O60" s="3" t="n">
        <v>84.3</v>
      </c>
      <c r="P60" s="3">
        <f>IF(L60&lt;&gt;"",L60/1.4,"")</f>
        <v/>
      </c>
      <c r="Q60" s="3">
        <f>IF(L60&lt;&gt;"",L60/1.56,"")</f>
        <v/>
      </c>
      <c r="R60" s="3">
        <f>IF(M60&lt;&gt;"",M60/1.4,"")</f>
        <v/>
      </c>
      <c r="S60" s="3">
        <f>IF(M60&lt;&gt;"",M60/1.56,"")</f>
        <v/>
      </c>
      <c r="T60" s="3">
        <f>IF(N60&lt;&gt;"",N60,IF(O60&lt;&gt;"",O60,IF(L60&lt;&gt;"",L60/1.56,IF(M60&lt;&gt;"",M60/1.56,""))))</f>
        <v/>
      </c>
      <c r="U60" s="3" t="n">
        <v>436</v>
      </c>
      <c r="V60" s="3" t="n">
        <v>261.6</v>
      </c>
      <c r="W60" s="3" t="n"/>
      <c r="X60" s="4" t="n">
        <v>30.2</v>
      </c>
      <c r="Y60" s="5" t="n"/>
      <c r="Z60" s="4">
        <f>IF(L60&lt;&gt;"",SQRT(3)*G60*L60/1000,"")</f>
        <v/>
      </c>
      <c r="AB60" t="inlineStr">
        <is>
          <t>Bitzer_RLA_230_460_3ph_60Hz.xlsx</t>
        </is>
      </c>
      <c r="AC60" t="inlineStr">
        <is>
          <t>BITZER_RLA_230_460_3PH</t>
        </is>
      </c>
    </row>
    <row r="61">
      <c r="A61" t="inlineStr">
        <is>
          <t>BITZER</t>
        </is>
      </c>
      <c r="B61" t="inlineStr">
        <is>
          <t>4HE-25</t>
        </is>
      </c>
      <c r="C61" t="inlineStr">
        <is>
          <t>1.0</t>
        </is>
      </c>
      <c r="D61" t="inlineStr">
        <is>
          <t>Reciprocating Semi-hermetic</t>
        </is>
      </c>
      <c r="E61" s="2" t="n">
        <v>3</v>
      </c>
      <c r="F61" s="2" t="n">
        <v>60</v>
      </c>
      <c r="G61" s="2" t="n">
        <v>460</v>
      </c>
      <c r="H61" t="inlineStr">
        <is>
          <t>460</t>
        </is>
      </c>
      <c r="I61" s="2" t="n">
        <v>460</v>
      </c>
      <c r="J61" s="2" t="n">
        <v>460</v>
      </c>
      <c r="L61" s="3" t="n">
        <v>59</v>
      </c>
      <c r="M61" s="3" t="n">
        <v>44</v>
      </c>
      <c r="N61" s="3" t="n">
        <v>37.8</v>
      </c>
      <c r="O61" s="3" t="n">
        <v>42.1</v>
      </c>
      <c r="P61" s="3">
        <f>IF(L61&lt;&gt;"",L61/1.4,"")</f>
        <v/>
      </c>
      <c r="Q61" s="3">
        <f>IF(L61&lt;&gt;"",L61/1.56,"")</f>
        <v/>
      </c>
      <c r="R61" s="3">
        <f>IF(M61&lt;&gt;"",M61/1.4,"")</f>
        <v/>
      </c>
      <c r="S61" s="3">
        <f>IF(M61&lt;&gt;"",M61/1.56,"")</f>
        <v/>
      </c>
      <c r="T61" s="3">
        <f>IF(N61&lt;&gt;"",N61,IF(O61&lt;&gt;"",O61,IF(L61&lt;&gt;"",L61/1.56,IF(M61&lt;&gt;"",M61/1.56,""))))</f>
        <v/>
      </c>
      <c r="U61" s="3" t="n">
        <v>218</v>
      </c>
      <c r="V61" s="3" t="n">
        <v>130.8</v>
      </c>
      <c r="W61" s="3" t="n"/>
      <c r="X61" s="4" t="n">
        <v>30.2</v>
      </c>
      <c r="Y61" s="5" t="n"/>
      <c r="Z61" s="4">
        <f>IF(L61&lt;&gt;"",SQRT(3)*G61*L61/1000,"")</f>
        <v/>
      </c>
      <c r="AB61" t="inlineStr">
        <is>
          <t>Bitzer_RLA_230_460_3ph_60Hz.xlsx</t>
        </is>
      </c>
      <c r="AC61" t="inlineStr">
        <is>
          <t>BITZER_RLA_230_460_3PH</t>
        </is>
      </c>
    </row>
    <row r="62">
      <c r="A62" t="inlineStr">
        <is>
          <t>BITZER</t>
        </is>
      </c>
      <c r="B62" t="inlineStr">
        <is>
          <t>4JE-13</t>
        </is>
      </c>
      <c r="C62" t="inlineStr">
        <is>
          <t>3.0</t>
        </is>
      </c>
      <c r="D62" t="inlineStr">
        <is>
          <t>Reciprocating Semi-hermetic</t>
        </is>
      </c>
      <c r="E62" s="2" t="n">
        <v>3</v>
      </c>
      <c r="F62" s="2" t="n">
        <v>60</v>
      </c>
      <c r="G62" s="2" t="n">
        <v>230</v>
      </c>
      <c r="H62" t="inlineStr">
        <is>
          <t>230</t>
        </is>
      </c>
      <c r="I62" s="2" t="n">
        <v>230</v>
      </c>
      <c r="J62" s="2" t="n">
        <v>230</v>
      </c>
      <c r="L62" s="3" t="n">
        <v>68</v>
      </c>
      <c r="M62" s="3" t="n">
        <v>37.6</v>
      </c>
      <c r="N62" s="3" t="n">
        <v>43.6</v>
      </c>
      <c r="O62" s="3" t="n">
        <v>48.6</v>
      </c>
      <c r="P62" s="3">
        <f>IF(L62&lt;&gt;"",L62/1.4,"")</f>
        <v/>
      </c>
      <c r="Q62" s="3">
        <f>IF(L62&lt;&gt;"",L62/1.56,"")</f>
        <v/>
      </c>
      <c r="R62" s="3">
        <f>IF(M62&lt;&gt;"",M62/1.4,"")</f>
        <v/>
      </c>
      <c r="S62" s="3">
        <f>IF(M62&lt;&gt;"",M62/1.56,"")</f>
        <v/>
      </c>
      <c r="T62" s="3">
        <f>IF(N62&lt;&gt;"",N62,IF(O62&lt;&gt;"",O62,IF(L62&lt;&gt;"",L62/1.56,IF(M62&lt;&gt;"",M62/1.56,""))))</f>
        <v/>
      </c>
      <c r="U62" s="3" t="n">
        <v>294</v>
      </c>
      <c r="V62" s="3" t="n">
        <v>176.4</v>
      </c>
      <c r="W62" s="3" t="n"/>
      <c r="X62" s="4" t="n"/>
      <c r="Y62" s="5" t="n"/>
      <c r="Z62" s="4">
        <f>IF(L62&lt;&gt;"",SQRT(3)*G62*L62/1000,"")</f>
        <v/>
      </c>
      <c r="AB62" t="inlineStr">
        <is>
          <t>Bitzer_RLA_230_460_3ph_60Hz.xlsx</t>
        </is>
      </c>
      <c r="AC62" t="inlineStr">
        <is>
          <t>BITZER_RLA_230_460_3PH</t>
        </is>
      </c>
    </row>
    <row r="63">
      <c r="A63" t="inlineStr">
        <is>
          <t>BITZER</t>
        </is>
      </c>
      <c r="B63" t="inlineStr">
        <is>
          <t>4JE-13</t>
        </is>
      </c>
      <c r="C63" t="inlineStr">
        <is>
          <t>3.0</t>
        </is>
      </c>
      <c r="D63" t="inlineStr">
        <is>
          <t>Reciprocating Semi-hermetic</t>
        </is>
      </c>
      <c r="E63" s="2" t="n">
        <v>3</v>
      </c>
      <c r="F63" s="2" t="n">
        <v>60</v>
      </c>
      <c r="G63" s="2" t="n">
        <v>460</v>
      </c>
      <c r="H63" t="inlineStr">
        <is>
          <t>460</t>
        </is>
      </c>
      <c r="I63" s="2" t="n">
        <v>460</v>
      </c>
      <c r="J63" s="2" t="n">
        <v>460</v>
      </c>
      <c r="L63" s="3" t="n">
        <v>34</v>
      </c>
      <c r="M63" s="3" t="n">
        <v>18.8</v>
      </c>
      <c r="N63" s="3" t="n">
        <v>21.8</v>
      </c>
      <c r="O63" s="3" t="n">
        <v>24.3</v>
      </c>
      <c r="P63" s="3">
        <f>IF(L63&lt;&gt;"",L63/1.4,"")</f>
        <v/>
      </c>
      <c r="Q63" s="3">
        <f>IF(L63&lt;&gt;"",L63/1.56,"")</f>
        <v/>
      </c>
      <c r="R63" s="3">
        <f>IF(M63&lt;&gt;"",M63/1.4,"")</f>
        <v/>
      </c>
      <c r="S63" s="3">
        <f>IF(M63&lt;&gt;"",M63/1.56,"")</f>
        <v/>
      </c>
      <c r="T63" s="3">
        <f>IF(N63&lt;&gt;"",N63,IF(O63&lt;&gt;"",O63,IF(L63&lt;&gt;"",L63/1.56,IF(M63&lt;&gt;"",M63/1.56,""))))</f>
        <v/>
      </c>
      <c r="U63" s="3" t="n">
        <v>147</v>
      </c>
      <c r="V63" s="3" t="n">
        <v>88.2</v>
      </c>
      <c r="W63" s="3" t="n"/>
      <c r="X63" s="4" t="n"/>
      <c r="Y63" s="5" t="n"/>
      <c r="Z63" s="4">
        <f>IF(L63&lt;&gt;"",SQRT(3)*G63*L63/1000,"")</f>
        <v/>
      </c>
      <c r="AB63" t="inlineStr">
        <is>
          <t>Bitzer_RLA_230_460_3ph_60Hz.xlsx</t>
        </is>
      </c>
      <c r="AC63" t="inlineStr">
        <is>
          <t>BITZER_RLA_230_460_3PH</t>
        </is>
      </c>
    </row>
    <row r="64">
      <c r="A64" t="inlineStr">
        <is>
          <t>BITZER</t>
        </is>
      </c>
      <c r="B64" t="inlineStr">
        <is>
          <t>4JE-15</t>
        </is>
      </c>
      <c r="C64" t="inlineStr">
        <is>
          <t>2.0</t>
        </is>
      </c>
      <c r="D64" t="inlineStr">
        <is>
          <t>Reciprocating Semi-hermetic</t>
        </is>
      </c>
      <c r="E64" s="2" t="n">
        <v>3</v>
      </c>
      <c r="F64" s="2" t="n">
        <v>60</v>
      </c>
      <c r="G64" s="2" t="n">
        <v>230</v>
      </c>
      <c r="H64" t="inlineStr">
        <is>
          <t>230</t>
        </is>
      </c>
      <c r="I64" s="2" t="n">
        <v>230</v>
      </c>
      <c r="J64" s="2" t="n">
        <v>230</v>
      </c>
      <c r="L64" s="3" t="n">
        <v>78</v>
      </c>
      <c r="M64" s="3" t="n">
        <v>61.6</v>
      </c>
      <c r="N64" s="3" t="n">
        <v>50</v>
      </c>
      <c r="O64" s="3" t="n">
        <v>55.7</v>
      </c>
      <c r="P64" s="3">
        <f>IF(L64&lt;&gt;"",L64/1.4,"")</f>
        <v/>
      </c>
      <c r="Q64" s="3">
        <f>IF(L64&lt;&gt;"",L64/1.56,"")</f>
        <v/>
      </c>
      <c r="R64" s="3">
        <f>IF(M64&lt;&gt;"",M64/1.4,"")</f>
        <v/>
      </c>
      <c r="S64" s="3">
        <f>IF(M64&lt;&gt;"",M64/1.56,"")</f>
        <v/>
      </c>
      <c r="T64" s="3">
        <f>IF(N64&lt;&gt;"",N64,IF(O64&lt;&gt;"",O64,IF(L64&lt;&gt;"",L64/1.56,IF(M64&lt;&gt;"",M64/1.56,""))))</f>
        <v/>
      </c>
      <c r="U64" s="3" t="n">
        <v>352</v>
      </c>
      <c r="V64" s="3" t="n">
        <v>211.2</v>
      </c>
      <c r="W64" s="3" t="n"/>
      <c r="X64" s="4" t="n"/>
      <c r="Y64" s="5" t="n"/>
      <c r="Z64" s="4">
        <f>IF(L64&lt;&gt;"",SQRT(3)*G64*L64/1000,"")</f>
        <v/>
      </c>
      <c r="AB64" t="inlineStr">
        <is>
          <t>Bitzer_RLA_230_460_3ph_60Hz.xlsx</t>
        </is>
      </c>
      <c r="AC64" t="inlineStr">
        <is>
          <t>BITZER_RLA_230_460_3PH</t>
        </is>
      </c>
    </row>
    <row r="65">
      <c r="A65" t="inlineStr">
        <is>
          <t>BITZER</t>
        </is>
      </c>
      <c r="B65" t="inlineStr">
        <is>
          <t>4JE-15</t>
        </is>
      </c>
      <c r="C65" t="inlineStr">
        <is>
          <t>2.0</t>
        </is>
      </c>
      <c r="D65" t="inlineStr">
        <is>
          <t>Reciprocating Semi-hermetic</t>
        </is>
      </c>
      <c r="E65" s="2" t="n">
        <v>3</v>
      </c>
      <c r="F65" s="2" t="n">
        <v>60</v>
      </c>
      <c r="G65" s="2" t="n">
        <v>460</v>
      </c>
      <c r="H65" t="inlineStr">
        <is>
          <t>460</t>
        </is>
      </c>
      <c r="I65" s="2" t="n">
        <v>460</v>
      </c>
      <c r="J65" s="2" t="n">
        <v>460</v>
      </c>
      <c r="L65" s="3" t="n">
        <v>39</v>
      </c>
      <c r="M65" s="3" t="n">
        <v>30.8</v>
      </c>
      <c r="N65" s="3" t="n">
        <v>25</v>
      </c>
      <c r="O65" s="3" t="n">
        <v>27.9</v>
      </c>
      <c r="P65" s="3">
        <f>IF(L65&lt;&gt;"",L65/1.4,"")</f>
        <v/>
      </c>
      <c r="Q65" s="3">
        <f>IF(L65&lt;&gt;"",L65/1.56,"")</f>
        <v/>
      </c>
      <c r="R65" s="3">
        <f>IF(M65&lt;&gt;"",M65/1.4,"")</f>
        <v/>
      </c>
      <c r="S65" s="3">
        <f>IF(M65&lt;&gt;"",M65/1.56,"")</f>
        <v/>
      </c>
      <c r="T65" s="3">
        <f>IF(N65&lt;&gt;"",N65,IF(O65&lt;&gt;"",O65,IF(L65&lt;&gt;"",L65/1.56,IF(M65&lt;&gt;"",M65/1.56,""))))</f>
        <v/>
      </c>
      <c r="U65" s="3" t="n">
        <v>176</v>
      </c>
      <c r="V65" s="3" t="n">
        <v>105.6</v>
      </c>
      <c r="W65" s="3" t="n"/>
      <c r="X65" s="4" t="n"/>
      <c r="Y65" s="5" t="n"/>
      <c r="Z65" s="4">
        <f>IF(L65&lt;&gt;"",SQRT(3)*G65*L65/1000,"")</f>
        <v/>
      </c>
      <c r="AB65" t="inlineStr">
        <is>
          <t>Bitzer_RLA_230_460_3ph_60Hz.xlsx</t>
        </is>
      </c>
      <c r="AC65" t="inlineStr">
        <is>
          <t>BITZER_RLA_230_460_3PH</t>
        </is>
      </c>
    </row>
    <row r="66">
      <c r="A66" t="inlineStr">
        <is>
          <t>BITZER</t>
        </is>
      </c>
      <c r="B66" t="inlineStr">
        <is>
          <t>4JE-22</t>
        </is>
      </c>
      <c r="C66" t="inlineStr">
        <is>
          <t>1.0</t>
        </is>
      </c>
      <c r="D66" t="inlineStr">
        <is>
          <t>Reciprocating Semi-hermetic</t>
        </is>
      </c>
      <c r="E66" s="2" t="n">
        <v>3</v>
      </c>
      <c r="F66" s="2" t="n">
        <v>60</v>
      </c>
      <c r="G66" s="2" t="n">
        <v>230</v>
      </c>
      <c r="H66" t="inlineStr">
        <is>
          <t>230</t>
        </is>
      </c>
      <c r="I66" s="2" t="n">
        <v>230</v>
      </c>
      <c r="J66" s="2" t="n">
        <v>230</v>
      </c>
      <c r="L66" s="3" t="n">
        <v>96</v>
      </c>
      <c r="M66" s="3" t="n">
        <v>74.40000000000001</v>
      </c>
      <c r="N66" s="3" t="n">
        <v>61.5</v>
      </c>
      <c r="O66" s="3" t="n">
        <v>68.59999999999999</v>
      </c>
      <c r="P66" s="3">
        <f>IF(L66&lt;&gt;"",L66/1.4,"")</f>
        <v/>
      </c>
      <c r="Q66" s="3">
        <f>IF(L66&lt;&gt;"",L66/1.56,"")</f>
        <v/>
      </c>
      <c r="R66" s="3">
        <f>IF(M66&lt;&gt;"",M66/1.4,"")</f>
        <v/>
      </c>
      <c r="S66" s="3">
        <f>IF(M66&lt;&gt;"",M66/1.56,"")</f>
        <v/>
      </c>
      <c r="T66" s="3">
        <f>IF(N66&lt;&gt;"",N66,IF(O66&lt;&gt;"",O66,IF(L66&lt;&gt;"",L66/1.56,IF(M66&lt;&gt;"",M66/1.56,""))))</f>
        <v/>
      </c>
      <c r="U66" s="3" t="n">
        <v>352</v>
      </c>
      <c r="V66" s="3" t="n">
        <v>211.2</v>
      </c>
      <c r="W66" s="3" t="n"/>
      <c r="X66" s="4" t="n"/>
      <c r="Y66" s="5" t="n"/>
      <c r="Z66" s="4">
        <f>IF(L66&lt;&gt;"",SQRT(3)*G66*L66/1000,"")</f>
        <v/>
      </c>
      <c r="AB66" t="inlineStr">
        <is>
          <t>Bitzer_RLA_230_460_3ph_60Hz.xlsx</t>
        </is>
      </c>
      <c r="AC66" t="inlineStr">
        <is>
          <t>BITZER_RLA_230_460_3PH</t>
        </is>
      </c>
    </row>
    <row r="67">
      <c r="A67" t="inlineStr">
        <is>
          <t>BITZER</t>
        </is>
      </c>
      <c r="B67" t="inlineStr">
        <is>
          <t>4JE-22</t>
        </is>
      </c>
      <c r="C67" t="inlineStr">
        <is>
          <t>1.0</t>
        </is>
      </c>
      <c r="D67" t="inlineStr">
        <is>
          <t>Reciprocating Semi-hermetic</t>
        </is>
      </c>
      <c r="E67" s="2" t="n">
        <v>3</v>
      </c>
      <c r="F67" s="2" t="n">
        <v>60</v>
      </c>
      <c r="G67" s="2" t="n">
        <v>460</v>
      </c>
      <c r="H67" t="inlineStr">
        <is>
          <t>460</t>
        </is>
      </c>
      <c r="I67" s="2" t="n">
        <v>460</v>
      </c>
      <c r="J67" s="2" t="n">
        <v>460</v>
      </c>
      <c r="L67" s="3" t="n">
        <v>48</v>
      </c>
      <c r="M67" s="3" t="n">
        <v>37.2</v>
      </c>
      <c r="N67" s="3" t="n">
        <v>30.8</v>
      </c>
      <c r="O67" s="3" t="n">
        <v>34.3</v>
      </c>
      <c r="P67" s="3">
        <f>IF(L67&lt;&gt;"",L67/1.4,"")</f>
        <v/>
      </c>
      <c r="Q67" s="3">
        <f>IF(L67&lt;&gt;"",L67/1.56,"")</f>
        <v/>
      </c>
      <c r="R67" s="3">
        <f>IF(M67&lt;&gt;"",M67/1.4,"")</f>
        <v/>
      </c>
      <c r="S67" s="3">
        <f>IF(M67&lt;&gt;"",M67/1.56,"")</f>
        <v/>
      </c>
      <c r="T67" s="3">
        <f>IF(N67&lt;&gt;"",N67,IF(O67&lt;&gt;"",O67,IF(L67&lt;&gt;"",L67/1.56,IF(M67&lt;&gt;"",M67/1.56,""))))</f>
        <v/>
      </c>
      <c r="U67" s="3" t="n">
        <v>176</v>
      </c>
      <c r="V67" s="3" t="n">
        <v>105.6</v>
      </c>
      <c r="W67" s="3" t="n"/>
      <c r="X67" s="4" t="n"/>
      <c r="Y67" s="5" t="n"/>
      <c r="Z67" s="4">
        <f>IF(L67&lt;&gt;"",SQRT(3)*G67*L67/1000,"")</f>
        <v/>
      </c>
      <c r="AB67" t="inlineStr">
        <is>
          <t>Bitzer_RLA_230_460_3ph_60Hz.xlsx</t>
        </is>
      </c>
      <c r="AC67" t="inlineStr">
        <is>
          <t>BITZER_RLA_230_460_3PH</t>
        </is>
      </c>
    </row>
    <row r="68">
      <c r="A68" t="inlineStr">
        <is>
          <t>BITZER</t>
        </is>
      </c>
      <c r="B68" t="inlineStr">
        <is>
          <t>4NE(S)-12</t>
        </is>
      </c>
      <c r="C68" t="inlineStr">
        <is>
          <t>3.0</t>
        </is>
      </c>
      <c r="D68" t="inlineStr">
        <is>
          <t>Reciprocating Semi-hermetic</t>
        </is>
      </c>
      <c r="E68" s="2" t="n">
        <v>3</v>
      </c>
      <c r="F68" s="2" t="n">
        <v>60</v>
      </c>
      <c r="G68" s="2" t="n">
        <v>230</v>
      </c>
      <c r="H68" t="inlineStr">
        <is>
          <t>230</t>
        </is>
      </c>
      <c r="I68" s="2" t="n">
        <v>230</v>
      </c>
      <c r="J68" s="2" t="n">
        <v>230</v>
      </c>
      <c r="L68" s="3" t="n">
        <v>62</v>
      </c>
      <c r="M68" s="3" t="n">
        <v>29.8</v>
      </c>
      <c r="N68" s="3" t="n">
        <v>39.7</v>
      </c>
      <c r="O68" s="3" t="n">
        <v>44.3</v>
      </c>
      <c r="P68" s="3">
        <f>IF(L68&lt;&gt;"",L68/1.4,"")</f>
        <v/>
      </c>
      <c r="Q68" s="3">
        <f>IF(L68&lt;&gt;"",L68/1.56,"")</f>
        <v/>
      </c>
      <c r="R68" s="3">
        <f>IF(M68&lt;&gt;"",M68/1.4,"")</f>
        <v/>
      </c>
      <c r="S68" s="3">
        <f>IF(M68&lt;&gt;"",M68/1.56,"")</f>
        <v/>
      </c>
      <c r="T68" s="3">
        <f>IF(N68&lt;&gt;"",N68,IF(O68&lt;&gt;"",O68,IF(L68&lt;&gt;"",L68/1.56,IF(M68&lt;&gt;"",M68/1.56,""))))</f>
        <v/>
      </c>
      <c r="U68" s="3" t="n">
        <v>252</v>
      </c>
      <c r="V68" s="3" t="n">
        <v>151.2</v>
      </c>
      <c r="W68" s="3" t="n"/>
      <c r="X68" s="4" t="n"/>
      <c r="Y68" s="5" t="n"/>
      <c r="Z68" s="4">
        <f>IF(L68&lt;&gt;"",SQRT(3)*G68*L68/1000,"")</f>
        <v/>
      </c>
      <c r="AB68" t="inlineStr">
        <is>
          <t>Bitzer_RLA_230_460_3ph_60Hz.xlsx</t>
        </is>
      </c>
      <c r="AC68" t="inlineStr">
        <is>
          <t>BITZER_RLA_230_460_3PH</t>
        </is>
      </c>
    </row>
    <row r="69">
      <c r="A69" t="inlineStr">
        <is>
          <t>BITZER</t>
        </is>
      </c>
      <c r="B69" t="inlineStr">
        <is>
          <t>4NE(S)-12</t>
        </is>
      </c>
      <c r="C69" t="inlineStr">
        <is>
          <t>3.0</t>
        </is>
      </c>
      <c r="D69" t="inlineStr">
        <is>
          <t>Reciprocating Semi-hermetic</t>
        </is>
      </c>
      <c r="E69" s="2" t="n">
        <v>3</v>
      </c>
      <c r="F69" s="2" t="n">
        <v>60</v>
      </c>
      <c r="G69" s="2" t="n">
        <v>460</v>
      </c>
      <c r="H69" t="inlineStr">
        <is>
          <t>460</t>
        </is>
      </c>
      <c r="I69" s="2" t="n">
        <v>460</v>
      </c>
      <c r="J69" s="2" t="n">
        <v>460</v>
      </c>
      <c r="L69" s="3" t="n">
        <v>31</v>
      </c>
      <c r="M69" s="3" t="n">
        <v>15.9</v>
      </c>
      <c r="N69" s="3" t="n">
        <v>19.9</v>
      </c>
      <c r="O69" s="3" t="n">
        <v>22.1</v>
      </c>
      <c r="P69" s="3">
        <f>IF(L69&lt;&gt;"",L69/1.4,"")</f>
        <v/>
      </c>
      <c r="Q69" s="3">
        <f>IF(L69&lt;&gt;"",L69/1.56,"")</f>
        <v/>
      </c>
      <c r="R69" s="3">
        <f>IF(M69&lt;&gt;"",M69/1.4,"")</f>
        <v/>
      </c>
      <c r="S69" s="3">
        <f>IF(M69&lt;&gt;"",M69/1.56,"")</f>
        <v/>
      </c>
      <c r="T69" s="3">
        <f>IF(N69&lt;&gt;"",N69,IF(O69&lt;&gt;"",O69,IF(L69&lt;&gt;"",L69/1.56,IF(M69&lt;&gt;"",M69/1.56,""))))</f>
        <v/>
      </c>
      <c r="U69" s="3" t="n">
        <v>126</v>
      </c>
      <c r="V69" s="3" t="n">
        <v>75.59999999999999</v>
      </c>
      <c r="W69" s="3" t="n"/>
      <c r="X69" s="4" t="n"/>
      <c r="Y69" s="5" t="n"/>
      <c r="Z69" s="4">
        <f>IF(L69&lt;&gt;"",SQRT(3)*G69*L69/1000,"")</f>
        <v/>
      </c>
      <c r="AB69" t="inlineStr">
        <is>
          <t>Bitzer_RLA_230_460_3ph_60Hz.xlsx</t>
        </is>
      </c>
      <c r="AC69" t="inlineStr">
        <is>
          <t>BITZER_RLA_230_460_3PH</t>
        </is>
      </c>
    </row>
    <row r="70">
      <c r="A70" t="inlineStr">
        <is>
          <t>BITZER</t>
        </is>
      </c>
      <c r="B70" t="inlineStr">
        <is>
          <t>4NE(S)-14</t>
        </is>
      </c>
      <c r="C70" t="inlineStr">
        <is>
          <t>2.0</t>
        </is>
      </c>
      <c r="D70" t="inlineStr">
        <is>
          <t>Reciprocating Semi-hermetic</t>
        </is>
      </c>
      <c r="E70" s="2" t="n">
        <v>3</v>
      </c>
      <c r="F70" s="2" t="n">
        <v>60</v>
      </c>
      <c r="G70" s="2" t="n">
        <v>230</v>
      </c>
      <c r="H70" t="inlineStr">
        <is>
          <t>230</t>
        </is>
      </c>
      <c r="I70" s="2" t="n">
        <v>230</v>
      </c>
      <c r="J70" s="2" t="n">
        <v>230</v>
      </c>
      <c r="L70" s="3" t="n">
        <v>62</v>
      </c>
      <c r="M70" s="3" t="n">
        <v>53.2</v>
      </c>
      <c r="N70" s="3" t="n">
        <v>39.7</v>
      </c>
      <c r="O70" s="3" t="n">
        <v>44.3</v>
      </c>
      <c r="P70" s="3">
        <f>IF(L70&lt;&gt;"",L70/1.4,"")</f>
        <v/>
      </c>
      <c r="Q70" s="3">
        <f>IF(L70&lt;&gt;"",L70/1.56,"")</f>
        <v/>
      </c>
      <c r="R70" s="3">
        <f>IF(M70&lt;&gt;"",M70/1.4,"")</f>
        <v/>
      </c>
      <c r="S70" s="3">
        <f>IF(M70&lt;&gt;"",M70/1.56,"")</f>
        <v/>
      </c>
      <c r="T70" s="3">
        <f>IF(N70&lt;&gt;"",N70,IF(O70&lt;&gt;"",O70,IF(L70&lt;&gt;"",L70/1.56,IF(M70&lt;&gt;"",M70/1.56,""))))</f>
        <v/>
      </c>
      <c r="U70" s="3" t="n">
        <v>252</v>
      </c>
      <c r="V70" s="3" t="n">
        <v>151.2</v>
      </c>
      <c r="W70" s="3" t="n"/>
      <c r="X70" s="4" t="n"/>
      <c r="Y70" s="5" t="n"/>
      <c r="Z70" s="4">
        <f>IF(L70&lt;&gt;"",SQRT(3)*G70*L70/1000,"")</f>
        <v/>
      </c>
      <c r="AB70" t="inlineStr">
        <is>
          <t>Bitzer_RLA_230_460_3ph_60Hz.xlsx</t>
        </is>
      </c>
      <c r="AC70" t="inlineStr">
        <is>
          <t>BITZER_RLA_230_460_3PH</t>
        </is>
      </c>
    </row>
    <row r="71">
      <c r="A71" t="inlineStr">
        <is>
          <t>BITZER</t>
        </is>
      </c>
      <c r="B71" t="inlineStr">
        <is>
          <t>4NE(S)-14</t>
        </is>
      </c>
      <c r="C71" t="inlineStr">
        <is>
          <t>2.0</t>
        </is>
      </c>
      <c r="D71" t="inlineStr">
        <is>
          <t>Reciprocating Semi-hermetic</t>
        </is>
      </c>
      <c r="E71" s="2" t="n">
        <v>3</v>
      </c>
      <c r="F71" s="2" t="n">
        <v>60</v>
      </c>
      <c r="G71" s="2" t="n">
        <v>460</v>
      </c>
      <c r="H71" t="inlineStr">
        <is>
          <t>460</t>
        </is>
      </c>
      <c r="I71" s="2" t="n">
        <v>460</v>
      </c>
      <c r="J71" s="2" t="n">
        <v>460</v>
      </c>
      <c r="L71" s="3" t="n">
        <v>31</v>
      </c>
      <c r="M71" s="3" t="n">
        <v>26.6</v>
      </c>
      <c r="N71" s="3" t="n">
        <v>19.9</v>
      </c>
      <c r="O71" s="3" t="n">
        <v>22.1</v>
      </c>
      <c r="P71" s="3">
        <f>IF(L71&lt;&gt;"",L71/1.4,"")</f>
        <v/>
      </c>
      <c r="Q71" s="3">
        <f>IF(L71&lt;&gt;"",L71/1.56,"")</f>
        <v/>
      </c>
      <c r="R71" s="3">
        <f>IF(M71&lt;&gt;"",M71/1.4,"")</f>
        <v/>
      </c>
      <c r="S71" s="3">
        <f>IF(M71&lt;&gt;"",M71/1.56,"")</f>
        <v/>
      </c>
      <c r="T71" s="3">
        <f>IF(N71&lt;&gt;"",N71,IF(O71&lt;&gt;"",O71,IF(L71&lt;&gt;"",L71/1.56,IF(M71&lt;&gt;"",M71/1.56,""))))</f>
        <v/>
      </c>
      <c r="U71" s="3" t="n">
        <v>126</v>
      </c>
      <c r="V71" s="3" t="n">
        <v>75.59999999999999</v>
      </c>
      <c r="W71" s="3" t="n"/>
      <c r="X71" s="4" t="n"/>
      <c r="Y71" s="5" t="n"/>
      <c r="Z71" s="4">
        <f>IF(L71&lt;&gt;"",SQRT(3)*G71*L71/1000,"")</f>
        <v/>
      </c>
      <c r="AB71" t="inlineStr">
        <is>
          <t>Bitzer_RLA_230_460_3ph_60Hz.xlsx</t>
        </is>
      </c>
      <c r="AC71" t="inlineStr">
        <is>
          <t>BITZER_RLA_230_460_3PH</t>
        </is>
      </c>
    </row>
    <row r="72">
      <c r="A72" t="inlineStr">
        <is>
          <t>BITZER</t>
        </is>
      </c>
      <c r="B72" t="inlineStr">
        <is>
          <t>4NE(S)-20</t>
        </is>
      </c>
      <c r="C72" t="inlineStr">
        <is>
          <t>1.0</t>
        </is>
      </c>
      <c r="D72" t="inlineStr">
        <is>
          <t>Reciprocating Semi-hermetic</t>
        </is>
      </c>
      <c r="E72" s="2" t="n">
        <v>3</v>
      </c>
      <c r="F72" s="2" t="n">
        <v>60</v>
      </c>
      <c r="G72" s="2" t="n">
        <v>230</v>
      </c>
      <c r="H72" t="inlineStr">
        <is>
          <t>230</t>
        </is>
      </c>
      <c r="I72" s="2" t="n">
        <v>230</v>
      </c>
      <c r="J72" s="2" t="n">
        <v>230</v>
      </c>
      <c r="L72" s="3" t="n">
        <v>90</v>
      </c>
      <c r="M72" s="3" t="n">
        <v>66.40000000000001</v>
      </c>
      <c r="N72" s="3" t="n">
        <v>57.7</v>
      </c>
      <c r="O72" s="3" t="n">
        <v>64.3</v>
      </c>
      <c r="P72" s="3">
        <f>IF(L72&lt;&gt;"",L72/1.4,"")</f>
        <v/>
      </c>
      <c r="Q72" s="3">
        <f>IF(L72&lt;&gt;"",L72/1.56,"")</f>
        <v/>
      </c>
      <c r="R72" s="3">
        <f>IF(M72&lt;&gt;"",M72/1.4,"")</f>
        <v/>
      </c>
      <c r="S72" s="3">
        <f>IF(M72&lt;&gt;"",M72/1.56,"")</f>
        <v/>
      </c>
      <c r="T72" s="3">
        <f>IF(N72&lt;&gt;"",N72,IF(O72&lt;&gt;"",O72,IF(L72&lt;&gt;"",L72/1.56,IF(M72&lt;&gt;"",M72/1.56,""))))</f>
        <v/>
      </c>
      <c r="U72" s="3" t="n">
        <v>352</v>
      </c>
      <c r="V72" s="3" t="n">
        <v>211.2</v>
      </c>
      <c r="W72" s="3" t="n"/>
      <c r="X72" s="4" t="n"/>
      <c r="Y72" s="5" t="n"/>
      <c r="Z72" s="4">
        <f>IF(L72&lt;&gt;"",SQRT(3)*G72*L72/1000,"")</f>
        <v/>
      </c>
      <c r="AB72" t="inlineStr">
        <is>
          <t>Bitzer_RLA_230_460_3ph_60Hz.xlsx</t>
        </is>
      </c>
      <c r="AC72" t="inlineStr">
        <is>
          <t>BITZER_RLA_230_460_3PH</t>
        </is>
      </c>
    </row>
    <row r="73">
      <c r="A73" t="inlineStr">
        <is>
          <t>BITZER</t>
        </is>
      </c>
      <c r="B73" t="inlineStr">
        <is>
          <t>4NE(S)-20</t>
        </is>
      </c>
      <c r="C73" t="inlineStr">
        <is>
          <t>1.0</t>
        </is>
      </c>
      <c r="D73" t="inlineStr">
        <is>
          <t>Reciprocating Semi-hermetic</t>
        </is>
      </c>
      <c r="E73" s="2" t="n">
        <v>3</v>
      </c>
      <c r="F73" s="2" t="n">
        <v>60</v>
      </c>
      <c r="G73" s="2" t="n">
        <v>460</v>
      </c>
      <c r="H73" t="inlineStr">
        <is>
          <t>460</t>
        </is>
      </c>
      <c r="I73" s="2" t="n">
        <v>460</v>
      </c>
      <c r="J73" s="2" t="n">
        <v>460</v>
      </c>
      <c r="L73" s="3" t="n">
        <v>45</v>
      </c>
      <c r="M73" s="3" t="n">
        <v>33.2</v>
      </c>
      <c r="N73" s="3" t="n">
        <v>28.8</v>
      </c>
      <c r="O73" s="3" t="n">
        <v>32.1</v>
      </c>
      <c r="P73" s="3">
        <f>IF(L73&lt;&gt;"",L73/1.4,"")</f>
        <v/>
      </c>
      <c r="Q73" s="3">
        <f>IF(L73&lt;&gt;"",L73/1.56,"")</f>
        <v/>
      </c>
      <c r="R73" s="3">
        <f>IF(M73&lt;&gt;"",M73/1.4,"")</f>
        <v/>
      </c>
      <c r="S73" s="3">
        <f>IF(M73&lt;&gt;"",M73/1.56,"")</f>
        <v/>
      </c>
      <c r="T73" s="3">
        <f>IF(N73&lt;&gt;"",N73,IF(O73&lt;&gt;"",O73,IF(L73&lt;&gt;"",L73/1.56,IF(M73&lt;&gt;"",M73/1.56,""))))</f>
        <v/>
      </c>
      <c r="U73" s="3" t="n">
        <v>176</v>
      </c>
      <c r="V73" s="3" t="n">
        <v>105.6</v>
      </c>
      <c r="W73" s="3" t="n"/>
      <c r="X73" s="4" t="n"/>
      <c r="Y73" s="5" t="n"/>
      <c r="Z73" s="4">
        <f>IF(L73&lt;&gt;"",SQRT(3)*G73*L73/1000,"")</f>
        <v/>
      </c>
      <c r="AB73" t="inlineStr">
        <is>
          <t>Bitzer_RLA_230_460_3ph_60Hz.xlsx</t>
        </is>
      </c>
      <c r="AC73" t="inlineStr">
        <is>
          <t>BITZER_RLA_230_460_3PH</t>
        </is>
      </c>
    </row>
    <row r="74">
      <c r="A74" t="inlineStr">
        <is>
          <t>BITZER</t>
        </is>
      </c>
      <c r="B74" t="inlineStr">
        <is>
          <t>4PE(S)-10</t>
        </is>
      </c>
      <c r="C74" t="inlineStr">
        <is>
          <t>3.0</t>
        </is>
      </c>
      <c r="D74" t="inlineStr">
        <is>
          <t>Reciprocating Semi-hermetic</t>
        </is>
      </c>
      <c r="E74" s="2" t="n">
        <v>3</v>
      </c>
      <c r="F74" s="2" t="n">
        <v>60</v>
      </c>
      <c r="G74" s="2" t="n">
        <v>230</v>
      </c>
      <c r="H74" t="inlineStr">
        <is>
          <t>230</t>
        </is>
      </c>
      <c r="I74" s="2" t="n">
        <v>230</v>
      </c>
      <c r="J74" s="2" t="n">
        <v>230</v>
      </c>
      <c r="L74" s="3" t="n">
        <v>54</v>
      </c>
      <c r="M74" s="3" t="n">
        <v>25.8</v>
      </c>
      <c r="N74" s="3" t="n">
        <v>34.6</v>
      </c>
      <c r="O74" s="3" t="n">
        <v>38.6</v>
      </c>
      <c r="P74" s="3">
        <f>IF(L74&lt;&gt;"",L74/1.4,"")</f>
        <v/>
      </c>
      <c r="Q74" s="3">
        <f>IF(L74&lt;&gt;"",L74/1.56,"")</f>
        <v/>
      </c>
      <c r="R74" s="3">
        <f>IF(M74&lt;&gt;"",M74/1.4,"")</f>
        <v/>
      </c>
      <c r="S74" s="3">
        <f>IF(M74&lt;&gt;"",M74/1.56,"")</f>
        <v/>
      </c>
      <c r="T74" s="3">
        <f>IF(N74&lt;&gt;"",N74,IF(O74&lt;&gt;"",O74,IF(L74&lt;&gt;"",L74/1.56,IF(M74&lt;&gt;"",M74/1.56,""))))</f>
        <v/>
      </c>
      <c r="U74" s="3" t="n">
        <v>222</v>
      </c>
      <c r="V74" s="3" t="n">
        <v>133.2</v>
      </c>
      <c r="W74" s="3" t="n"/>
      <c r="X74" s="4" t="n"/>
      <c r="Y74" s="5" t="n"/>
      <c r="Z74" s="4">
        <f>IF(L74&lt;&gt;"",SQRT(3)*G74*L74/1000,"")</f>
        <v/>
      </c>
      <c r="AB74" t="inlineStr">
        <is>
          <t>Bitzer_RLA_230_460_3ph_60Hz.xlsx</t>
        </is>
      </c>
      <c r="AC74" t="inlineStr">
        <is>
          <t>BITZER_RLA_230_460_3PH</t>
        </is>
      </c>
    </row>
    <row r="75">
      <c r="A75" t="inlineStr">
        <is>
          <t>BITZER</t>
        </is>
      </c>
      <c r="B75" t="inlineStr">
        <is>
          <t>4PE(S)-10</t>
        </is>
      </c>
      <c r="C75" t="inlineStr">
        <is>
          <t>3.0</t>
        </is>
      </c>
      <c r="D75" t="inlineStr">
        <is>
          <t>Reciprocating Semi-hermetic</t>
        </is>
      </c>
      <c r="E75" s="2" t="n">
        <v>3</v>
      </c>
      <c r="F75" s="2" t="n">
        <v>60</v>
      </c>
      <c r="G75" s="2" t="n">
        <v>460</v>
      </c>
      <c r="H75" t="inlineStr">
        <is>
          <t>460</t>
        </is>
      </c>
      <c r="I75" s="2" t="n">
        <v>460</v>
      </c>
      <c r="J75" s="2" t="n">
        <v>460</v>
      </c>
      <c r="L75" s="3" t="n">
        <v>27</v>
      </c>
      <c r="M75" s="3" t="n">
        <v>12.9</v>
      </c>
      <c r="N75" s="3" t="n">
        <v>17.3</v>
      </c>
      <c r="O75" s="3" t="n">
        <v>19.3</v>
      </c>
      <c r="P75" s="3">
        <f>IF(L75&lt;&gt;"",L75/1.4,"")</f>
        <v/>
      </c>
      <c r="Q75" s="3">
        <f>IF(L75&lt;&gt;"",L75/1.56,"")</f>
        <v/>
      </c>
      <c r="R75" s="3">
        <f>IF(M75&lt;&gt;"",M75/1.4,"")</f>
        <v/>
      </c>
      <c r="S75" s="3">
        <f>IF(M75&lt;&gt;"",M75/1.56,"")</f>
        <v/>
      </c>
      <c r="T75" s="3">
        <f>IF(N75&lt;&gt;"",N75,IF(O75&lt;&gt;"",O75,IF(L75&lt;&gt;"",L75/1.56,IF(M75&lt;&gt;"",M75/1.56,""))))</f>
        <v/>
      </c>
      <c r="U75" s="3" t="n">
        <v>111</v>
      </c>
      <c r="V75" s="3" t="n">
        <v>66.59999999999999</v>
      </c>
      <c r="W75" s="3" t="n"/>
      <c r="X75" s="4" t="n"/>
      <c r="Y75" s="5" t="n"/>
      <c r="Z75" s="4">
        <f>IF(L75&lt;&gt;"",SQRT(3)*G75*L75/1000,"")</f>
        <v/>
      </c>
      <c r="AB75" t="inlineStr">
        <is>
          <t>Bitzer_RLA_230_460_3ph_60Hz.xlsx</t>
        </is>
      </c>
      <c r="AC75" t="inlineStr">
        <is>
          <t>BITZER_RLA_230_460_3PH</t>
        </is>
      </c>
    </row>
    <row r="76">
      <c r="A76" t="inlineStr">
        <is>
          <t>BITZER</t>
        </is>
      </c>
      <c r="B76" t="inlineStr">
        <is>
          <t>4PE(S)-12</t>
        </is>
      </c>
      <c r="C76" t="inlineStr">
        <is>
          <t>2.0</t>
        </is>
      </c>
      <c r="D76" t="inlineStr">
        <is>
          <t>Reciprocating Semi-hermetic</t>
        </is>
      </c>
      <c r="E76" s="2" t="n">
        <v>3</v>
      </c>
      <c r="F76" s="2" t="n">
        <v>60</v>
      </c>
      <c r="G76" s="2" t="n">
        <v>230</v>
      </c>
      <c r="H76" t="inlineStr">
        <is>
          <t>230</t>
        </is>
      </c>
      <c r="I76" s="2" t="n">
        <v>230</v>
      </c>
      <c r="J76" s="2" t="n">
        <v>230</v>
      </c>
      <c r="L76" s="3" t="n">
        <v>54</v>
      </c>
      <c r="M76" s="3" t="n">
        <v>45.4</v>
      </c>
      <c r="N76" s="3" t="n">
        <v>34.6</v>
      </c>
      <c r="O76" s="3" t="n">
        <v>38.6</v>
      </c>
      <c r="P76" s="3">
        <f>IF(L76&lt;&gt;"",L76/1.4,"")</f>
        <v/>
      </c>
      <c r="Q76" s="3">
        <f>IF(L76&lt;&gt;"",L76/1.56,"")</f>
        <v/>
      </c>
      <c r="R76" s="3">
        <f>IF(M76&lt;&gt;"",M76/1.4,"")</f>
        <v/>
      </c>
      <c r="S76" s="3">
        <f>IF(M76&lt;&gt;"",M76/1.56,"")</f>
        <v/>
      </c>
      <c r="T76" s="3">
        <f>IF(N76&lt;&gt;"",N76,IF(O76&lt;&gt;"",O76,IF(L76&lt;&gt;"",L76/1.56,IF(M76&lt;&gt;"",M76/1.56,""))))</f>
        <v/>
      </c>
      <c r="U76" s="3" t="n">
        <v>222</v>
      </c>
      <c r="V76" s="3" t="n">
        <v>133.2</v>
      </c>
      <c r="W76" s="3" t="n"/>
      <c r="X76" s="4" t="n"/>
      <c r="Y76" s="5" t="n"/>
      <c r="Z76" s="4">
        <f>IF(L76&lt;&gt;"",SQRT(3)*G76*L76/1000,"")</f>
        <v/>
      </c>
      <c r="AB76" t="inlineStr">
        <is>
          <t>Bitzer_RLA_230_460_3ph_60Hz.xlsx</t>
        </is>
      </c>
      <c r="AC76" t="inlineStr">
        <is>
          <t>BITZER_RLA_230_460_3PH</t>
        </is>
      </c>
    </row>
    <row r="77">
      <c r="A77" t="inlineStr">
        <is>
          <t>BITZER</t>
        </is>
      </c>
      <c r="B77" t="inlineStr">
        <is>
          <t>4PE(S)-12</t>
        </is>
      </c>
      <c r="C77" t="inlineStr">
        <is>
          <t>2.0</t>
        </is>
      </c>
      <c r="D77" t="inlineStr">
        <is>
          <t>Reciprocating Semi-hermetic</t>
        </is>
      </c>
      <c r="E77" s="2" t="n">
        <v>3</v>
      </c>
      <c r="F77" s="2" t="n">
        <v>60</v>
      </c>
      <c r="G77" s="2" t="n">
        <v>460</v>
      </c>
      <c r="H77" t="inlineStr">
        <is>
          <t>460</t>
        </is>
      </c>
      <c r="I77" s="2" t="n">
        <v>460</v>
      </c>
      <c r="J77" s="2" t="n">
        <v>460</v>
      </c>
      <c r="L77" s="3" t="n">
        <v>27</v>
      </c>
      <c r="M77" s="3" t="n">
        <v>22.7</v>
      </c>
      <c r="N77" s="3" t="n">
        <v>17.3</v>
      </c>
      <c r="O77" s="3" t="n">
        <v>19.3</v>
      </c>
      <c r="P77" s="3">
        <f>IF(L77&lt;&gt;"",L77/1.4,"")</f>
        <v/>
      </c>
      <c r="Q77" s="3">
        <f>IF(L77&lt;&gt;"",L77/1.56,"")</f>
        <v/>
      </c>
      <c r="R77" s="3">
        <f>IF(M77&lt;&gt;"",M77/1.4,"")</f>
        <v/>
      </c>
      <c r="S77" s="3">
        <f>IF(M77&lt;&gt;"",M77/1.56,"")</f>
        <v/>
      </c>
      <c r="T77" s="3">
        <f>IF(N77&lt;&gt;"",N77,IF(O77&lt;&gt;"",O77,IF(L77&lt;&gt;"",L77/1.56,IF(M77&lt;&gt;"",M77/1.56,""))))</f>
        <v/>
      </c>
      <c r="U77" s="3" t="n">
        <v>111</v>
      </c>
      <c r="V77" s="3" t="n">
        <v>66.59999999999999</v>
      </c>
      <c r="W77" s="3" t="n"/>
      <c r="X77" s="4" t="n"/>
      <c r="Y77" s="5" t="n"/>
      <c r="Z77" s="4">
        <f>IF(L77&lt;&gt;"",SQRT(3)*G77*L77/1000,"")</f>
        <v/>
      </c>
      <c r="AB77" t="inlineStr">
        <is>
          <t>Bitzer_RLA_230_460_3ph_60Hz.xlsx</t>
        </is>
      </c>
      <c r="AC77" t="inlineStr">
        <is>
          <t>BITZER_RLA_230_460_3PH</t>
        </is>
      </c>
    </row>
    <row r="78">
      <c r="A78" t="inlineStr">
        <is>
          <t>BITZER</t>
        </is>
      </c>
      <c r="B78" t="inlineStr">
        <is>
          <t>4PE(S)-15</t>
        </is>
      </c>
      <c r="C78" t="inlineStr">
        <is>
          <t>1.0</t>
        </is>
      </c>
      <c r="D78" t="inlineStr">
        <is>
          <t>Reciprocating Semi-hermetic</t>
        </is>
      </c>
      <c r="E78" s="2" t="n">
        <v>3</v>
      </c>
      <c r="F78" s="2" t="n">
        <v>60</v>
      </c>
      <c r="G78" s="2" t="n">
        <v>230</v>
      </c>
      <c r="H78" t="inlineStr">
        <is>
          <t>230</t>
        </is>
      </c>
      <c r="I78" s="2" t="n">
        <v>230</v>
      </c>
      <c r="J78" s="2" t="n">
        <v>230</v>
      </c>
      <c r="L78" s="3" t="n">
        <v>76</v>
      </c>
      <c r="M78" s="3" t="n">
        <v>56.4</v>
      </c>
      <c r="N78" s="3" t="n">
        <v>48.7</v>
      </c>
      <c r="O78" s="3" t="n">
        <v>54.3</v>
      </c>
      <c r="P78" s="3">
        <f>IF(L78&lt;&gt;"",L78/1.4,"")</f>
        <v/>
      </c>
      <c r="Q78" s="3">
        <f>IF(L78&lt;&gt;"",L78/1.56,"")</f>
        <v/>
      </c>
      <c r="R78" s="3">
        <f>IF(M78&lt;&gt;"",M78/1.4,"")</f>
        <v/>
      </c>
      <c r="S78" s="3">
        <f>IF(M78&lt;&gt;"",M78/1.56,"")</f>
        <v/>
      </c>
      <c r="T78" s="3">
        <f>IF(N78&lt;&gt;"",N78,IF(O78&lt;&gt;"",O78,IF(L78&lt;&gt;"",L78/1.56,IF(M78&lt;&gt;"",M78/1.56,""))))</f>
        <v/>
      </c>
      <c r="U78" s="3" t="n">
        <v>294</v>
      </c>
      <c r="V78" s="3" t="n">
        <v>176.4</v>
      </c>
      <c r="W78" s="3" t="n"/>
      <c r="X78" s="4" t="n"/>
      <c r="Y78" s="5" t="n"/>
      <c r="Z78" s="4">
        <f>IF(L78&lt;&gt;"",SQRT(3)*G78*L78/1000,"")</f>
        <v/>
      </c>
      <c r="AB78" t="inlineStr">
        <is>
          <t>Bitzer_RLA_230_460_3ph_60Hz.xlsx</t>
        </is>
      </c>
      <c r="AC78" t="inlineStr">
        <is>
          <t>BITZER_RLA_230_460_3PH</t>
        </is>
      </c>
    </row>
    <row r="79">
      <c r="A79" t="inlineStr">
        <is>
          <t>BITZER</t>
        </is>
      </c>
      <c r="B79" t="inlineStr">
        <is>
          <t>4PE(S)-15</t>
        </is>
      </c>
      <c r="C79" t="inlineStr">
        <is>
          <t>1.0</t>
        </is>
      </c>
      <c r="D79" t="inlineStr">
        <is>
          <t>Reciprocating Semi-hermetic</t>
        </is>
      </c>
      <c r="E79" s="2" t="n">
        <v>3</v>
      </c>
      <c r="F79" s="2" t="n">
        <v>60</v>
      </c>
      <c r="G79" s="2" t="n">
        <v>460</v>
      </c>
      <c r="H79" t="inlineStr">
        <is>
          <t>460</t>
        </is>
      </c>
      <c r="I79" s="2" t="n">
        <v>460</v>
      </c>
      <c r="J79" s="2" t="n">
        <v>460</v>
      </c>
      <c r="L79" s="3" t="n">
        <v>38</v>
      </c>
      <c r="M79" s="3" t="n">
        <v>28.2</v>
      </c>
      <c r="N79" s="3" t="n">
        <v>24.4</v>
      </c>
      <c r="O79" s="3" t="n">
        <v>27.1</v>
      </c>
      <c r="P79" s="3">
        <f>IF(L79&lt;&gt;"",L79/1.4,"")</f>
        <v/>
      </c>
      <c r="Q79" s="3">
        <f>IF(L79&lt;&gt;"",L79/1.56,"")</f>
        <v/>
      </c>
      <c r="R79" s="3">
        <f>IF(M79&lt;&gt;"",M79/1.4,"")</f>
        <v/>
      </c>
      <c r="S79" s="3">
        <f>IF(M79&lt;&gt;"",M79/1.56,"")</f>
        <v/>
      </c>
      <c r="T79" s="3">
        <f>IF(N79&lt;&gt;"",N79,IF(O79&lt;&gt;"",O79,IF(L79&lt;&gt;"",L79/1.56,IF(M79&lt;&gt;"",M79/1.56,""))))</f>
        <v/>
      </c>
      <c r="U79" s="3" t="n">
        <v>147</v>
      </c>
      <c r="V79" s="3" t="n">
        <v>88.2</v>
      </c>
      <c r="W79" s="3" t="n"/>
      <c r="X79" s="4" t="n"/>
      <c r="Y79" s="5" t="n"/>
      <c r="Z79" s="4">
        <f>IF(L79&lt;&gt;"",SQRT(3)*G79*L79/1000,"")</f>
        <v/>
      </c>
      <c r="AB79" t="inlineStr">
        <is>
          <t>Bitzer_RLA_230_460_3ph_60Hz.xlsx</t>
        </is>
      </c>
      <c r="AC79" t="inlineStr">
        <is>
          <t>BITZER_RLA_230_460_3PH</t>
        </is>
      </c>
    </row>
    <row r="80">
      <c r="A80" t="inlineStr">
        <is>
          <t>BITZER</t>
        </is>
      </c>
      <c r="B80" t="inlineStr">
        <is>
          <t>4TE(S)-12</t>
        </is>
      </c>
      <c r="C80" t="inlineStr">
        <is>
          <t>1.0</t>
        </is>
      </c>
      <c r="D80" t="inlineStr">
        <is>
          <t>Reciprocating Semi-hermetic</t>
        </is>
      </c>
      <c r="E80" s="2" t="n">
        <v>3</v>
      </c>
      <c r="F80" s="2" t="n">
        <v>60</v>
      </c>
      <c r="G80" s="2" t="n">
        <v>230</v>
      </c>
      <c r="H80" t="inlineStr">
        <is>
          <t>230</t>
        </is>
      </c>
      <c r="I80" s="2" t="n">
        <v>230</v>
      </c>
      <c r="J80" s="2" t="n">
        <v>230</v>
      </c>
      <c r="L80" s="3" t="n">
        <v>66</v>
      </c>
      <c r="M80" s="3" t="n">
        <v>50.2</v>
      </c>
      <c r="N80" s="3" t="n">
        <v>42.3</v>
      </c>
      <c r="O80" s="3" t="n">
        <v>47.1</v>
      </c>
      <c r="P80" s="3">
        <f>IF(L80&lt;&gt;"",L80/1.4,"")</f>
        <v/>
      </c>
      <c r="Q80" s="3">
        <f>IF(L80&lt;&gt;"",L80/1.56,"")</f>
        <v/>
      </c>
      <c r="R80" s="3">
        <f>IF(M80&lt;&gt;"",M80/1.4,"")</f>
        <v/>
      </c>
      <c r="S80" s="3">
        <f>IF(M80&lt;&gt;"",M80/1.56,"")</f>
        <v/>
      </c>
      <c r="T80" s="3">
        <f>IF(N80&lt;&gt;"",N80,IF(O80&lt;&gt;"",O80,IF(L80&lt;&gt;"",L80/1.56,IF(M80&lt;&gt;"",M80/1.56,""))))</f>
        <v/>
      </c>
      <c r="U80" s="3" t="n">
        <v>252</v>
      </c>
      <c r="V80" s="3" t="n">
        <v>151.2</v>
      </c>
      <c r="W80" s="3" t="n"/>
      <c r="X80" s="4" t="n"/>
      <c r="Y80" s="5" t="n"/>
      <c r="Z80" s="4">
        <f>IF(L80&lt;&gt;"",SQRT(3)*G80*L80/1000,"")</f>
        <v/>
      </c>
      <c r="AB80" t="inlineStr">
        <is>
          <t>Bitzer_RLA_230_460_3ph_60Hz.xlsx</t>
        </is>
      </c>
      <c r="AC80" t="inlineStr">
        <is>
          <t>BITZER_RLA_230_460_3PH</t>
        </is>
      </c>
    </row>
    <row r="81">
      <c r="A81" t="inlineStr">
        <is>
          <t>BITZER</t>
        </is>
      </c>
      <c r="B81" t="inlineStr">
        <is>
          <t>4TE(S)-12</t>
        </is>
      </c>
      <c r="C81" t="inlineStr">
        <is>
          <t>1.0</t>
        </is>
      </c>
      <c r="D81" t="inlineStr">
        <is>
          <t>Reciprocating Semi-hermetic</t>
        </is>
      </c>
      <c r="E81" s="2" t="n">
        <v>3</v>
      </c>
      <c r="F81" s="2" t="n">
        <v>60</v>
      </c>
      <c r="G81" s="2" t="n">
        <v>460</v>
      </c>
      <c r="H81" t="inlineStr">
        <is>
          <t>460</t>
        </is>
      </c>
      <c r="I81" s="2" t="n">
        <v>460</v>
      </c>
      <c r="J81" s="2" t="n">
        <v>460</v>
      </c>
      <c r="L81" s="3" t="n">
        <v>33</v>
      </c>
      <c r="M81" s="3" t="n">
        <v>25.1</v>
      </c>
      <c r="N81" s="3" t="n">
        <v>21.2</v>
      </c>
      <c r="O81" s="3" t="n">
        <v>23.6</v>
      </c>
      <c r="P81" s="3">
        <f>IF(L81&lt;&gt;"",L81/1.4,"")</f>
        <v/>
      </c>
      <c r="Q81" s="3">
        <f>IF(L81&lt;&gt;"",L81/1.56,"")</f>
        <v/>
      </c>
      <c r="R81" s="3">
        <f>IF(M81&lt;&gt;"",M81/1.4,"")</f>
        <v/>
      </c>
      <c r="S81" s="3">
        <f>IF(M81&lt;&gt;"",M81/1.56,"")</f>
        <v/>
      </c>
      <c r="T81" s="3">
        <f>IF(N81&lt;&gt;"",N81,IF(O81&lt;&gt;"",O81,IF(L81&lt;&gt;"",L81/1.56,IF(M81&lt;&gt;"",M81/1.56,""))))</f>
        <v/>
      </c>
      <c r="U81" s="3" t="n">
        <v>126</v>
      </c>
      <c r="V81" s="3" t="n">
        <v>75.59999999999999</v>
      </c>
      <c r="W81" s="3" t="n"/>
      <c r="X81" s="4" t="n"/>
      <c r="Y81" s="5" t="n"/>
      <c r="Z81" s="4">
        <f>IF(L81&lt;&gt;"",SQRT(3)*G81*L81/1000,"")</f>
        <v/>
      </c>
      <c r="AB81" t="inlineStr">
        <is>
          <t>Bitzer_RLA_230_460_3ph_60Hz.xlsx</t>
        </is>
      </c>
      <c r="AC81" t="inlineStr">
        <is>
          <t>BITZER_RLA_230_460_3PH</t>
        </is>
      </c>
    </row>
    <row r="82">
      <c r="A82" t="inlineStr">
        <is>
          <t>BITZER</t>
        </is>
      </c>
      <c r="B82" t="inlineStr">
        <is>
          <t>4TE(S)-8</t>
        </is>
      </c>
      <c r="C82" t="inlineStr">
        <is>
          <t>3.0</t>
        </is>
      </c>
      <c r="D82" t="inlineStr">
        <is>
          <t>Reciprocating Semi-hermetic</t>
        </is>
      </c>
      <c r="E82" s="2" t="n">
        <v>3</v>
      </c>
      <c r="F82" s="2" t="n">
        <v>60</v>
      </c>
      <c r="G82" s="2" t="n">
        <v>230</v>
      </c>
      <c r="H82" t="inlineStr">
        <is>
          <t>230</t>
        </is>
      </c>
      <c r="I82" s="2" t="n">
        <v>230</v>
      </c>
      <c r="J82" s="2" t="n">
        <v>230</v>
      </c>
      <c r="L82" s="3" t="n">
        <v>44</v>
      </c>
      <c r="M82" s="3" t="n">
        <v>22.8</v>
      </c>
      <c r="N82" s="3" t="n">
        <v>28.2</v>
      </c>
      <c r="O82" s="3" t="n">
        <v>31.4</v>
      </c>
      <c r="P82" s="3">
        <f>IF(L82&lt;&gt;"",L82/1.4,"")</f>
        <v/>
      </c>
      <c r="Q82" s="3">
        <f>IF(L82&lt;&gt;"",L82/1.56,"")</f>
        <v/>
      </c>
      <c r="R82" s="3">
        <f>IF(M82&lt;&gt;"",M82/1.4,"")</f>
        <v/>
      </c>
      <c r="S82" s="3">
        <f>IF(M82&lt;&gt;"",M82/1.56,"")</f>
        <v/>
      </c>
      <c r="T82" s="3">
        <f>IF(N82&lt;&gt;"",N82,IF(O82&lt;&gt;"",O82,IF(L82&lt;&gt;"",L82/1.56,IF(M82&lt;&gt;"",M82/1.56,""))))</f>
        <v/>
      </c>
      <c r="U82" s="3" t="n">
        <v>180</v>
      </c>
      <c r="V82" s="3" t="n">
        <v>108</v>
      </c>
      <c r="W82" s="3" t="n"/>
      <c r="X82" s="4" t="n"/>
      <c r="Y82" s="5" t="n"/>
      <c r="Z82" s="4">
        <f>IF(L82&lt;&gt;"",SQRT(3)*G82*L82/1000,"")</f>
        <v/>
      </c>
      <c r="AB82" t="inlineStr">
        <is>
          <t>Bitzer_RLA_230_460_3ph_60Hz.xlsx</t>
        </is>
      </c>
      <c r="AC82" t="inlineStr">
        <is>
          <t>BITZER_RLA_230_460_3PH</t>
        </is>
      </c>
    </row>
    <row r="83">
      <c r="A83" t="inlineStr">
        <is>
          <t>BITZER</t>
        </is>
      </c>
      <c r="B83" t="inlineStr">
        <is>
          <t>4TE(S)-8</t>
        </is>
      </c>
      <c r="C83" t="inlineStr">
        <is>
          <t>3.0</t>
        </is>
      </c>
      <c r="D83" t="inlineStr">
        <is>
          <t>Reciprocating Semi-hermetic</t>
        </is>
      </c>
      <c r="E83" s="2" t="n">
        <v>3</v>
      </c>
      <c r="F83" s="2" t="n">
        <v>60</v>
      </c>
      <c r="G83" s="2" t="n">
        <v>460</v>
      </c>
      <c r="H83" t="inlineStr">
        <is>
          <t>460</t>
        </is>
      </c>
      <c r="I83" s="2" t="n">
        <v>460</v>
      </c>
      <c r="J83" s="2" t="n">
        <v>460</v>
      </c>
      <c r="L83" s="3" t="n">
        <v>22</v>
      </c>
      <c r="M83" s="3" t="n">
        <v>11.4</v>
      </c>
      <c r="N83" s="3" t="n">
        <v>14.1</v>
      </c>
      <c r="O83" s="3" t="n">
        <v>15.7</v>
      </c>
      <c r="P83" s="3">
        <f>IF(L83&lt;&gt;"",L83/1.4,"")</f>
        <v/>
      </c>
      <c r="Q83" s="3">
        <f>IF(L83&lt;&gt;"",L83/1.56,"")</f>
        <v/>
      </c>
      <c r="R83" s="3">
        <f>IF(M83&lt;&gt;"",M83/1.4,"")</f>
        <v/>
      </c>
      <c r="S83" s="3">
        <f>IF(M83&lt;&gt;"",M83/1.56,"")</f>
        <v/>
      </c>
      <c r="T83" s="3">
        <f>IF(N83&lt;&gt;"",N83,IF(O83&lt;&gt;"",O83,IF(L83&lt;&gt;"",L83/1.56,IF(M83&lt;&gt;"",M83/1.56,""))))</f>
        <v/>
      </c>
      <c r="U83" s="3" t="n">
        <v>90</v>
      </c>
      <c r="V83" s="3" t="n">
        <v>54</v>
      </c>
      <c r="W83" s="3" t="n"/>
      <c r="X83" s="4" t="n"/>
      <c r="Y83" s="5" t="n"/>
      <c r="Z83" s="4">
        <f>IF(L83&lt;&gt;"",SQRT(3)*G83*L83/1000,"")</f>
        <v/>
      </c>
      <c r="AB83" t="inlineStr">
        <is>
          <t>Bitzer_RLA_230_460_3ph_60Hz.xlsx</t>
        </is>
      </c>
      <c r="AC83" t="inlineStr">
        <is>
          <t>BITZER_RLA_230_460_3PH</t>
        </is>
      </c>
    </row>
    <row r="84">
      <c r="A84" t="inlineStr">
        <is>
          <t>BITZER</t>
        </is>
      </c>
      <c r="B84" t="inlineStr">
        <is>
          <t>4TE(S)-9</t>
        </is>
      </c>
      <c r="C84" t="inlineStr">
        <is>
          <t>2.0</t>
        </is>
      </c>
      <c r="D84" t="inlineStr">
        <is>
          <t>Reciprocating Semi-hermetic</t>
        </is>
      </c>
      <c r="E84" s="2" t="n">
        <v>3</v>
      </c>
      <c r="F84" s="2" t="n">
        <v>60</v>
      </c>
      <c r="G84" s="2" t="n">
        <v>230</v>
      </c>
      <c r="H84" t="inlineStr">
        <is>
          <t>230</t>
        </is>
      </c>
      <c r="I84" s="2" t="n">
        <v>230</v>
      </c>
      <c r="J84" s="2" t="n">
        <v>230</v>
      </c>
      <c r="L84" s="3" t="n">
        <v>44</v>
      </c>
      <c r="M84" s="3" t="n">
        <v>39.8</v>
      </c>
      <c r="N84" s="3" t="n">
        <v>28.2</v>
      </c>
      <c r="O84" s="3" t="n">
        <v>31.4</v>
      </c>
      <c r="P84" s="3">
        <f>IF(L84&lt;&gt;"",L84/1.4,"")</f>
        <v/>
      </c>
      <c r="Q84" s="3">
        <f>IF(L84&lt;&gt;"",L84/1.56,"")</f>
        <v/>
      </c>
      <c r="R84" s="3">
        <f>IF(M84&lt;&gt;"",M84/1.4,"")</f>
        <v/>
      </c>
      <c r="S84" s="3">
        <f>IF(M84&lt;&gt;"",M84/1.56,"")</f>
        <v/>
      </c>
      <c r="T84" s="3">
        <f>IF(N84&lt;&gt;"",N84,IF(O84&lt;&gt;"",O84,IF(L84&lt;&gt;"",L84/1.56,IF(M84&lt;&gt;"",M84/1.56,""))))</f>
        <v/>
      </c>
      <c r="U84" s="3" t="n">
        <v>180</v>
      </c>
      <c r="V84" s="3" t="n">
        <v>108</v>
      </c>
      <c r="W84" s="3" t="n"/>
      <c r="X84" s="4" t="n"/>
      <c r="Y84" s="5" t="n"/>
      <c r="Z84" s="4">
        <f>IF(L84&lt;&gt;"",SQRT(3)*G84*L84/1000,"")</f>
        <v/>
      </c>
      <c r="AB84" t="inlineStr">
        <is>
          <t>Bitzer_RLA_230_460_3ph_60Hz.xlsx</t>
        </is>
      </c>
      <c r="AC84" t="inlineStr">
        <is>
          <t>BITZER_RLA_230_460_3PH</t>
        </is>
      </c>
    </row>
    <row r="85">
      <c r="A85" t="inlineStr">
        <is>
          <t>BITZER</t>
        </is>
      </c>
      <c r="B85" t="inlineStr">
        <is>
          <t>4TE(S)-9</t>
        </is>
      </c>
      <c r="C85" t="inlineStr">
        <is>
          <t>2.0</t>
        </is>
      </c>
      <c r="D85" t="inlineStr">
        <is>
          <t>Reciprocating Semi-hermetic</t>
        </is>
      </c>
      <c r="E85" s="2" t="n">
        <v>3</v>
      </c>
      <c r="F85" s="2" t="n">
        <v>60</v>
      </c>
      <c r="G85" s="2" t="n">
        <v>460</v>
      </c>
      <c r="H85" t="inlineStr">
        <is>
          <t>460</t>
        </is>
      </c>
      <c r="I85" s="2" t="n">
        <v>460</v>
      </c>
      <c r="J85" s="2" t="n">
        <v>460</v>
      </c>
      <c r="L85" s="3" t="n">
        <v>22</v>
      </c>
      <c r="M85" s="3" t="n">
        <v>19.9</v>
      </c>
      <c r="N85" s="3" t="n">
        <v>14.1</v>
      </c>
      <c r="O85" s="3" t="n">
        <v>15.7</v>
      </c>
      <c r="P85" s="3">
        <f>IF(L85&lt;&gt;"",L85/1.4,"")</f>
        <v/>
      </c>
      <c r="Q85" s="3">
        <f>IF(L85&lt;&gt;"",L85/1.56,"")</f>
        <v/>
      </c>
      <c r="R85" s="3">
        <f>IF(M85&lt;&gt;"",M85/1.4,"")</f>
        <v/>
      </c>
      <c r="S85" s="3">
        <f>IF(M85&lt;&gt;"",M85/1.56,"")</f>
        <v/>
      </c>
      <c r="T85" s="3">
        <f>IF(N85&lt;&gt;"",N85,IF(O85&lt;&gt;"",O85,IF(L85&lt;&gt;"",L85/1.56,IF(M85&lt;&gt;"",M85/1.56,""))))</f>
        <v/>
      </c>
      <c r="U85" s="3" t="n">
        <v>90</v>
      </c>
      <c r="V85" s="3" t="n">
        <v>54</v>
      </c>
      <c r="W85" s="3" t="n"/>
      <c r="X85" s="4" t="n"/>
      <c r="Y85" s="5" t="n"/>
      <c r="Z85" s="4">
        <f>IF(L85&lt;&gt;"",SQRT(3)*G85*L85/1000,"")</f>
        <v/>
      </c>
      <c r="AB85" t="inlineStr">
        <is>
          <t>Bitzer_RLA_230_460_3ph_60Hz.xlsx</t>
        </is>
      </c>
      <c r="AC85" t="inlineStr">
        <is>
          <t>BITZER_RLA_230_460_3PH</t>
        </is>
      </c>
    </row>
    <row r="86">
      <c r="A86" t="inlineStr">
        <is>
          <t>BITZER</t>
        </is>
      </c>
      <c r="B86" t="inlineStr">
        <is>
          <t>4VE(S)-10</t>
        </is>
      </c>
      <c r="C86" t="inlineStr">
        <is>
          <t>1.0</t>
        </is>
      </c>
      <c r="D86" t="inlineStr">
        <is>
          <t>Reciprocating Semi-hermetic</t>
        </is>
      </c>
      <c r="E86" s="2" t="n">
        <v>3</v>
      </c>
      <c r="F86" s="2" t="n">
        <v>60</v>
      </c>
      <c r="G86" s="2" t="n">
        <v>230</v>
      </c>
      <c r="H86" t="inlineStr">
        <is>
          <t>230</t>
        </is>
      </c>
      <c r="I86" s="2" t="n">
        <v>230</v>
      </c>
      <c r="J86" s="2" t="n">
        <v>230</v>
      </c>
      <c r="L86" s="3" t="n">
        <v>60</v>
      </c>
      <c r="M86" s="3" t="n">
        <v>39.8</v>
      </c>
      <c r="N86" s="3" t="n">
        <v>38.5</v>
      </c>
      <c r="O86" s="3" t="n">
        <v>42.9</v>
      </c>
      <c r="P86" s="3">
        <f>IF(L86&lt;&gt;"",L86/1.4,"")</f>
        <v/>
      </c>
      <c r="Q86" s="3">
        <f>IF(L86&lt;&gt;"",L86/1.56,"")</f>
        <v/>
      </c>
      <c r="R86" s="3">
        <f>IF(M86&lt;&gt;"",M86/1.4,"")</f>
        <v/>
      </c>
      <c r="S86" s="3">
        <f>IF(M86&lt;&gt;"",M86/1.56,"")</f>
        <v/>
      </c>
      <c r="T86" s="3">
        <f>IF(N86&lt;&gt;"",N86,IF(O86&lt;&gt;"",O86,IF(L86&lt;&gt;"",L86/1.56,IF(M86&lt;&gt;"",M86/1.56,""))))</f>
        <v/>
      </c>
      <c r="U86" s="3" t="n">
        <v>222</v>
      </c>
      <c r="V86" s="3" t="n">
        <v>133.2</v>
      </c>
      <c r="W86" s="3" t="n"/>
      <c r="X86" s="4" t="n"/>
      <c r="Y86" s="5" t="n"/>
      <c r="Z86" s="4">
        <f>IF(L86&lt;&gt;"",SQRT(3)*G86*L86/1000,"")</f>
        <v/>
      </c>
      <c r="AB86" t="inlineStr">
        <is>
          <t>Bitzer_RLA_230_460_3ph_60Hz.xlsx</t>
        </is>
      </c>
      <c r="AC86" t="inlineStr">
        <is>
          <t>BITZER_RLA_230_460_3PH</t>
        </is>
      </c>
    </row>
    <row r="87">
      <c r="A87" t="inlineStr">
        <is>
          <t>BITZER</t>
        </is>
      </c>
      <c r="B87" t="inlineStr">
        <is>
          <t>4VE(S)-10</t>
        </is>
      </c>
      <c r="C87" t="inlineStr">
        <is>
          <t>1.0</t>
        </is>
      </c>
      <c r="D87" t="inlineStr">
        <is>
          <t>Reciprocating Semi-hermetic</t>
        </is>
      </c>
      <c r="E87" s="2" t="n">
        <v>3</v>
      </c>
      <c r="F87" s="2" t="n">
        <v>60</v>
      </c>
      <c r="G87" s="2" t="n">
        <v>460</v>
      </c>
      <c r="H87" t="inlineStr">
        <is>
          <t>460</t>
        </is>
      </c>
      <c r="I87" s="2" t="n">
        <v>460</v>
      </c>
      <c r="J87" s="2" t="n">
        <v>460</v>
      </c>
      <c r="L87" s="3" t="n">
        <v>30</v>
      </c>
      <c r="M87" s="3" t="n">
        <v>19.9</v>
      </c>
      <c r="N87" s="3" t="n">
        <v>19.2</v>
      </c>
      <c r="O87" s="3" t="n">
        <v>21.4</v>
      </c>
      <c r="P87" s="3">
        <f>IF(L87&lt;&gt;"",L87/1.4,"")</f>
        <v/>
      </c>
      <c r="Q87" s="3">
        <f>IF(L87&lt;&gt;"",L87/1.56,"")</f>
        <v/>
      </c>
      <c r="R87" s="3">
        <f>IF(M87&lt;&gt;"",M87/1.4,"")</f>
        <v/>
      </c>
      <c r="S87" s="3">
        <f>IF(M87&lt;&gt;"",M87/1.56,"")</f>
        <v/>
      </c>
      <c r="T87" s="3">
        <f>IF(N87&lt;&gt;"",N87,IF(O87&lt;&gt;"",O87,IF(L87&lt;&gt;"",L87/1.56,IF(M87&lt;&gt;"",M87/1.56,""))))</f>
        <v/>
      </c>
      <c r="U87" s="3" t="n">
        <v>111</v>
      </c>
      <c r="V87" s="3" t="n">
        <v>66.59999999999999</v>
      </c>
      <c r="W87" s="3" t="n"/>
      <c r="X87" s="4" t="n"/>
      <c r="Y87" s="5" t="n"/>
      <c r="Z87" s="4">
        <f>IF(L87&lt;&gt;"",SQRT(3)*G87*L87/1000,"")</f>
        <v/>
      </c>
      <c r="AB87" t="inlineStr">
        <is>
          <t>Bitzer_RLA_230_460_3ph_60Hz.xlsx</t>
        </is>
      </c>
      <c r="AC87" t="inlineStr">
        <is>
          <t>BITZER_RLA_230_460_3PH</t>
        </is>
      </c>
    </row>
    <row r="88">
      <c r="A88" t="inlineStr">
        <is>
          <t>BITZER</t>
        </is>
      </c>
      <c r="B88" t="inlineStr">
        <is>
          <t>4VE(S)-6</t>
        </is>
      </c>
      <c r="C88" t="inlineStr">
        <is>
          <t>3.0</t>
        </is>
      </c>
      <c r="D88" t="inlineStr">
        <is>
          <t>Reciprocating Semi-hermetic</t>
        </is>
      </c>
      <c r="E88" s="2" t="n">
        <v>3</v>
      </c>
      <c r="F88" s="2" t="n">
        <v>60</v>
      </c>
      <c r="G88" s="2" t="n">
        <v>230</v>
      </c>
      <c r="H88" t="inlineStr">
        <is>
          <t>230</t>
        </is>
      </c>
      <c r="I88" s="2" t="n">
        <v>230</v>
      </c>
      <c r="J88" s="2" t="n">
        <v>230</v>
      </c>
      <c r="L88" s="3" t="n">
        <v>38</v>
      </c>
      <c r="M88" s="3" t="n">
        <v>18.8</v>
      </c>
      <c r="N88" s="3" t="n">
        <v>24.4</v>
      </c>
      <c r="O88" s="3" t="n">
        <v>27.1</v>
      </c>
      <c r="P88" s="3">
        <f>IF(L88&lt;&gt;"",L88/1.4,"")</f>
        <v/>
      </c>
      <c r="Q88" s="3">
        <f>IF(L88&lt;&gt;"",L88/1.56,"")</f>
        <v/>
      </c>
      <c r="R88" s="3">
        <f>IF(M88&lt;&gt;"",M88/1.4,"")</f>
        <v/>
      </c>
      <c r="S88" s="3">
        <f>IF(M88&lt;&gt;"",M88/1.56,"")</f>
        <v/>
      </c>
      <c r="T88" s="3">
        <f>IF(N88&lt;&gt;"",N88,IF(O88&lt;&gt;"",O88,IF(L88&lt;&gt;"",L88/1.56,IF(M88&lt;&gt;"",M88/1.56,""))))</f>
        <v/>
      </c>
      <c r="U88" s="3" t="n">
        <v>150</v>
      </c>
      <c r="V88" s="3" t="n">
        <v>90</v>
      </c>
      <c r="W88" s="3" t="n"/>
      <c r="X88" s="4" t="n"/>
      <c r="Y88" s="5" t="n"/>
      <c r="Z88" s="4">
        <f>IF(L88&lt;&gt;"",SQRT(3)*G88*L88/1000,"")</f>
        <v/>
      </c>
      <c r="AB88" t="inlineStr">
        <is>
          <t>Bitzer_RLA_230_460_3ph_60Hz.xlsx</t>
        </is>
      </c>
      <c r="AC88" t="inlineStr">
        <is>
          <t>BITZER_RLA_230_460_3PH</t>
        </is>
      </c>
    </row>
    <row r="89">
      <c r="A89" t="inlineStr">
        <is>
          <t>BITZER</t>
        </is>
      </c>
      <c r="B89" t="inlineStr">
        <is>
          <t>4VE(S)-6</t>
        </is>
      </c>
      <c r="C89" t="inlineStr">
        <is>
          <t>3.0</t>
        </is>
      </c>
      <c r="D89" t="inlineStr">
        <is>
          <t>Reciprocating Semi-hermetic</t>
        </is>
      </c>
      <c r="E89" s="2" t="n">
        <v>3</v>
      </c>
      <c r="F89" s="2" t="n">
        <v>60</v>
      </c>
      <c r="G89" s="2" t="n">
        <v>460</v>
      </c>
      <c r="H89" t="inlineStr">
        <is>
          <t>460</t>
        </is>
      </c>
      <c r="I89" s="2" t="n">
        <v>460</v>
      </c>
      <c r="J89" s="2" t="n">
        <v>460</v>
      </c>
      <c r="L89" s="3" t="n">
        <v>19</v>
      </c>
      <c r="M89" s="3" t="n">
        <v>9.4</v>
      </c>
      <c r="N89" s="3" t="n">
        <v>12.2</v>
      </c>
      <c r="O89" s="3" t="n">
        <v>13.6</v>
      </c>
      <c r="P89" s="3">
        <f>IF(L89&lt;&gt;"",L89/1.4,"")</f>
        <v/>
      </c>
      <c r="Q89" s="3">
        <f>IF(L89&lt;&gt;"",L89/1.56,"")</f>
        <v/>
      </c>
      <c r="R89" s="3">
        <f>IF(M89&lt;&gt;"",M89/1.4,"")</f>
        <v/>
      </c>
      <c r="S89" s="3">
        <f>IF(M89&lt;&gt;"",M89/1.56,"")</f>
        <v/>
      </c>
      <c r="T89" s="3">
        <f>IF(N89&lt;&gt;"",N89,IF(O89&lt;&gt;"",O89,IF(L89&lt;&gt;"",L89/1.56,IF(M89&lt;&gt;"",M89/1.56,""))))</f>
        <v/>
      </c>
      <c r="U89" s="3" t="n">
        <v>75</v>
      </c>
      <c r="V89" s="3" t="n">
        <v>45</v>
      </c>
      <c r="W89" s="3" t="n"/>
      <c r="X89" s="4" t="n"/>
      <c r="Y89" s="5" t="n"/>
      <c r="Z89" s="4">
        <f>IF(L89&lt;&gt;"",SQRT(3)*G89*L89/1000,"")</f>
        <v/>
      </c>
      <c r="AB89" t="inlineStr">
        <is>
          <t>Bitzer_RLA_230_460_3ph_60Hz.xlsx</t>
        </is>
      </c>
      <c r="AC89" t="inlineStr">
        <is>
          <t>BITZER_RLA_230_460_3PH</t>
        </is>
      </c>
    </row>
    <row r="90">
      <c r="A90" t="inlineStr">
        <is>
          <t>BITZER</t>
        </is>
      </c>
      <c r="B90" t="inlineStr">
        <is>
          <t>4VE(S)-7</t>
        </is>
      </c>
      <c r="C90" t="inlineStr">
        <is>
          <t>2.0</t>
        </is>
      </c>
      <c r="D90" t="inlineStr">
        <is>
          <t>Reciprocating Semi-hermetic</t>
        </is>
      </c>
      <c r="E90" s="2" t="n">
        <v>3</v>
      </c>
      <c r="F90" s="2" t="n">
        <v>60</v>
      </c>
      <c r="G90" s="2" t="n">
        <v>230</v>
      </c>
      <c r="H90" t="inlineStr">
        <is>
          <t>230</t>
        </is>
      </c>
      <c r="I90" s="2" t="n">
        <v>230</v>
      </c>
      <c r="J90" s="2" t="n">
        <v>230</v>
      </c>
      <c r="L90" s="3" t="n">
        <v>38</v>
      </c>
      <c r="M90" s="3" t="n">
        <v>33.2</v>
      </c>
      <c r="N90" s="3" t="n">
        <v>24.4</v>
      </c>
      <c r="O90" s="3" t="n">
        <v>27.1</v>
      </c>
      <c r="P90" s="3">
        <f>IF(L90&lt;&gt;"",L90/1.4,"")</f>
        <v/>
      </c>
      <c r="Q90" s="3">
        <f>IF(L90&lt;&gt;"",L90/1.56,"")</f>
        <v/>
      </c>
      <c r="R90" s="3">
        <f>IF(M90&lt;&gt;"",M90/1.4,"")</f>
        <v/>
      </c>
      <c r="S90" s="3">
        <f>IF(M90&lt;&gt;"",M90/1.56,"")</f>
        <v/>
      </c>
      <c r="T90" s="3">
        <f>IF(N90&lt;&gt;"",N90,IF(O90&lt;&gt;"",O90,IF(L90&lt;&gt;"",L90/1.56,IF(M90&lt;&gt;"",M90/1.56,""))))</f>
        <v/>
      </c>
      <c r="U90" s="3" t="n">
        <v>150</v>
      </c>
      <c r="V90" s="3" t="n">
        <v>90</v>
      </c>
      <c r="W90" s="3" t="n"/>
      <c r="X90" s="4" t="n"/>
      <c r="Y90" s="5" t="n"/>
      <c r="Z90" s="4">
        <f>IF(L90&lt;&gt;"",SQRT(3)*G90*L90/1000,"")</f>
        <v/>
      </c>
      <c r="AB90" t="inlineStr">
        <is>
          <t>Bitzer_RLA_230_460_3ph_60Hz.xlsx</t>
        </is>
      </c>
      <c r="AC90" t="inlineStr">
        <is>
          <t>BITZER_RLA_230_460_3PH</t>
        </is>
      </c>
    </row>
    <row r="91">
      <c r="A91" t="inlineStr">
        <is>
          <t>BITZER</t>
        </is>
      </c>
      <c r="B91" t="inlineStr">
        <is>
          <t>4VE(S)-7</t>
        </is>
      </c>
      <c r="C91" t="inlineStr">
        <is>
          <t>2.0</t>
        </is>
      </c>
      <c r="D91" t="inlineStr">
        <is>
          <t>Reciprocating Semi-hermetic</t>
        </is>
      </c>
      <c r="E91" s="2" t="n">
        <v>3</v>
      </c>
      <c r="F91" s="2" t="n">
        <v>60</v>
      </c>
      <c r="G91" s="2" t="n">
        <v>460</v>
      </c>
      <c r="H91" t="inlineStr">
        <is>
          <t>460</t>
        </is>
      </c>
      <c r="I91" s="2" t="n">
        <v>460</v>
      </c>
      <c r="J91" s="2" t="n">
        <v>460</v>
      </c>
      <c r="L91" s="3" t="n">
        <v>19</v>
      </c>
      <c r="M91" s="3" t="n">
        <v>16.6</v>
      </c>
      <c r="N91" s="3" t="n">
        <v>12.2</v>
      </c>
      <c r="O91" s="3" t="n">
        <v>13.6</v>
      </c>
      <c r="P91" s="3">
        <f>IF(L91&lt;&gt;"",L91/1.4,"")</f>
        <v/>
      </c>
      <c r="Q91" s="3">
        <f>IF(L91&lt;&gt;"",L91/1.56,"")</f>
        <v/>
      </c>
      <c r="R91" s="3">
        <f>IF(M91&lt;&gt;"",M91/1.4,"")</f>
        <v/>
      </c>
      <c r="S91" s="3">
        <f>IF(M91&lt;&gt;"",M91/1.56,"")</f>
        <v/>
      </c>
      <c r="T91" s="3">
        <f>IF(N91&lt;&gt;"",N91,IF(O91&lt;&gt;"",O91,IF(L91&lt;&gt;"",L91/1.56,IF(M91&lt;&gt;"",M91/1.56,""))))</f>
        <v/>
      </c>
      <c r="U91" s="3" t="n">
        <v>75</v>
      </c>
      <c r="V91" s="3" t="n">
        <v>45</v>
      </c>
      <c r="W91" s="3" t="n"/>
      <c r="X91" s="4" t="n"/>
      <c r="Y91" s="5" t="n"/>
      <c r="Z91" s="4">
        <f>IF(L91&lt;&gt;"",SQRT(3)*G91*L91/1000,"")</f>
        <v/>
      </c>
      <c r="AB91" t="inlineStr">
        <is>
          <t>Bitzer_RLA_230_460_3ph_60Hz.xlsx</t>
        </is>
      </c>
      <c r="AC91" t="inlineStr">
        <is>
          <t>BITZER_RLA_230_460_3PH</t>
        </is>
      </c>
    </row>
    <row r="92">
      <c r="A92" t="inlineStr">
        <is>
          <t>BITZER</t>
        </is>
      </c>
      <c r="B92" t="inlineStr">
        <is>
          <t>6FE-40</t>
        </is>
      </c>
      <c r="C92" t="inlineStr">
        <is>
          <t>3.0</t>
        </is>
      </c>
      <c r="D92" t="inlineStr">
        <is>
          <t>Reciprocating Semi-hermetic</t>
        </is>
      </c>
      <c r="E92" s="2" t="n">
        <v>3</v>
      </c>
      <c r="F92" s="2" t="n">
        <v>60</v>
      </c>
      <c r="G92" s="2" t="n">
        <v>230</v>
      </c>
      <c r="H92" t="inlineStr">
        <is>
          <t>230</t>
        </is>
      </c>
      <c r="I92" s="2" t="n">
        <v>230</v>
      </c>
      <c r="J92" s="2" t="n">
        <v>230</v>
      </c>
      <c r="L92" s="3" t="n">
        <v>152</v>
      </c>
      <c r="M92" s="3" t="n">
        <v>97</v>
      </c>
      <c r="N92" s="3" t="n">
        <v>97.40000000000001</v>
      </c>
      <c r="O92" s="3" t="n">
        <v>108.6</v>
      </c>
      <c r="P92" s="3">
        <f>IF(L92&lt;&gt;"",L92/1.4,"")</f>
        <v/>
      </c>
      <c r="Q92" s="3">
        <f>IF(L92&lt;&gt;"",L92/1.56,"")</f>
        <v/>
      </c>
      <c r="R92" s="3">
        <f>IF(M92&lt;&gt;"",M92/1.4,"")</f>
        <v/>
      </c>
      <c r="S92" s="3">
        <f>IF(M92&lt;&gt;"",M92/1.56,"")</f>
        <v/>
      </c>
      <c r="T92" s="3">
        <f>IF(N92&lt;&gt;"",N92,IF(O92&lt;&gt;"",O92,IF(L92&lt;&gt;"",L92/1.56,IF(M92&lt;&gt;"",M92/1.56,""))))</f>
        <v/>
      </c>
      <c r="U92" s="3" t="n">
        <v>700</v>
      </c>
      <c r="V92" s="3" t="n">
        <v>419.9</v>
      </c>
      <c r="W92" s="3" t="n"/>
      <c r="X92" s="4" t="n"/>
      <c r="Y92" s="5" t="n"/>
      <c r="Z92" s="4">
        <f>IF(L92&lt;&gt;"",SQRT(3)*G92*L92/1000,"")</f>
        <v/>
      </c>
      <c r="AB92" t="inlineStr">
        <is>
          <t>Bitzer_RLA_230_460_3ph_60Hz.xlsx</t>
        </is>
      </c>
      <c r="AC92" t="inlineStr">
        <is>
          <t>BITZER_RLA_230_460_3PH</t>
        </is>
      </c>
    </row>
    <row r="93">
      <c r="A93" t="inlineStr">
        <is>
          <t>BITZER</t>
        </is>
      </c>
      <c r="B93" t="inlineStr">
        <is>
          <t>6FE-40</t>
        </is>
      </c>
      <c r="C93" t="inlineStr">
        <is>
          <t>3.0</t>
        </is>
      </c>
      <c r="D93" t="inlineStr">
        <is>
          <t>Reciprocating Semi-hermetic</t>
        </is>
      </c>
      <c r="E93" s="2" t="n">
        <v>3</v>
      </c>
      <c r="F93" s="2" t="n">
        <v>60</v>
      </c>
      <c r="G93" s="2" t="n">
        <v>460</v>
      </c>
      <c r="H93" t="inlineStr">
        <is>
          <t>460</t>
        </is>
      </c>
      <c r="I93" s="2" t="n">
        <v>460</v>
      </c>
      <c r="J93" s="2" t="n">
        <v>460</v>
      </c>
      <c r="L93" s="3" t="n">
        <v>76</v>
      </c>
      <c r="M93" s="3" t="n">
        <v>48.5</v>
      </c>
      <c r="N93" s="3" t="n">
        <v>48.7</v>
      </c>
      <c r="O93" s="3" t="n">
        <v>54.3</v>
      </c>
      <c r="P93" s="3">
        <f>IF(L93&lt;&gt;"",L93/1.4,"")</f>
        <v/>
      </c>
      <c r="Q93" s="3">
        <f>IF(L93&lt;&gt;"",L93/1.56,"")</f>
        <v/>
      </c>
      <c r="R93" s="3">
        <f>IF(M93&lt;&gt;"",M93/1.4,"")</f>
        <v/>
      </c>
      <c r="S93" s="3">
        <f>IF(M93&lt;&gt;"",M93/1.56,"")</f>
        <v/>
      </c>
      <c r="T93" s="3">
        <f>IF(N93&lt;&gt;"",N93,IF(O93&lt;&gt;"",O93,IF(L93&lt;&gt;"",L93/1.56,IF(M93&lt;&gt;"",M93/1.56,""))))</f>
        <v/>
      </c>
      <c r="U93" s="3" t="n">
        <v>350</v>
      </c>
      <c r="V93" s="3" t="n">
        <v>210</v>
      </c>
      <c r="W93" s="3" t="n"/>
      <c r="X93" s="4" t="n"/>
      <c r="Y93" s="5" t="n"/>
      <c r="Z93" s="4">
        <f>IF(L93&lt;&gt;"",SQRT(3)*G93*L93/1000,"")</f>
        <v/>
      </c>
      <c r="AB93" t="inlineStr">
        <is>
          <t>Bitzer_RLA_230_460_3ph_60Hz.xlsx</t>
        </is>
      </c>
      <c r="AC93" t="inlineStr">
        <is>
          <t>BITZER_RLA_230_460_3PH</t>
        </is>
      </c>
    </row>
    <row r="94">
      <c r="A94" t="inlineStr">
        <is>
          <t>BITZER</t>
        </is>
      </c>
      <c r="B94" t="inlineStr">
        <is>
          <t>6FE-44</t>
        </is>
      </c>
      <c r="C94" t="inlineStr">
        <is>
          <t>2.0</t>
        </is>
      </c>
      <c r="D94" t="inlineStr">
        <is>
          <t>Reciprocating Semi-hermetic</t>
        </is>
      </c>
      <c r="E94" s="2" t="n">
        <v>3</v>
      </c>
      <c r="F94" s="2" t="n">
        <v>60</v>
      </c>
      <c r="G94" s="2" t="n">
        <v>230</v>
      </c>
      <c r="H94" t="inlineStr">
        <is>
          <t>230</t>
        </is>
      </c>
      <c r="I94" s="2" t="n">
        <v>230</v>
      </c>
      <c r="J94" s="2" t="n">
        <v>230</v>
      </c>
      <c r="L94" s="3" t="n">
        <v>152</v>
      </c>
      <c r="M94" s="3" t="n">
        <v>166.4</v>
      </c>
      <c r="N94" s="3" t="n">
        <v>97.40000000000001</v>
      </c>
      <c r="O94" s="3" t="n">
        <v>108.6</v>
      </c>
      <c r="P94" s="3">
        <f>IF(L94&lt;&gt;"",L94/1.4,"")</f>
        <v/>
      </c>
      <c r="Q94" s="3">
        <f>IF(L94&lt;&gt;"",L94/1.56,"")</f>
        <v/>
      </c>
      <c r="R94" s="3">
        <f>IF(M94&lt;&gt;"",M94/1.4,"")</f>
        <v/>
      </c>
      <c r="S94" s="3">
        <f>IF(M94&lt;&gt;"",M94/1.56,"")</f>
        <v/>
      </c>
      <c r="T94" s="3">
        <f>IF(N94&lt;&gt;"",N94,IF(O94&lt;&gt;"",O94,IF(L94&lt;&gt;"",L94/1.56,IF(M94&lt;&gt;"",M94/1.56,""))))</f>
        <v/>
      </c>
      <c r="U94" s="3" t="n">
        <v>700</v>
      </c>
      <c r="V94" s="3" t="n">
        <v>419.9</v>
      </c>
      <c r="W94" s="3" t="n"/>
      <c r="X94" s="4" t="n">
        <v>55.5</v>
      </c>
      <c r="Y94" s="5" t="n"/>
      <c r="Z94" s="4">
        <f>IF(L94&lt;&gt;"",SQRT(3)*G94*L94/1000,"")</f>
        <v/>
      </c>
      <c r="AB94" t="inlineStr">
        <is>
          <t>Bitzer_RLA_230_460_3ph_60Hz.xlsx</t>
        </is>
      </c>
      <c r="AC94" t="inlineStr">
        <is>
          <t>BITZER_RLA_230_460_3PH</t>
        </is>
      </c>
    </row>
    <row r="95">
      <c r="A95" t="inlineStr">
        <is>
          <t>BITZER</t>
        </is>
      </c>
      <c r="B95" t="inlineStr">
        <is>
          <t>6FE-44</t>
        </is>
      </c>
      <c r="C95" t="inlineStr">
        <is>
          <t>2.0</t>
        </is>
      </c>
      <c r="D95" t="inlineStr">
        <is>
          <t>Reciprocating Semi-hermetic</t>
        </is>
      </c>
      <c r="E95" s="2" t="n">
        <v>3</v>
      </c>
      <c r="F95" s="2" t="n">
        <v>60</v>
      </c>
      <c r="G95" s="2" t="n">
        <v>460</v>
      </c>
      <c r="H95" t="inlineStr">
        <is>
          <t>460</t>
        </is>
      </c>
      <c r="I95" s="2" t="n">
        <v>460</v>
      </c>
      <c r="J95" s="2" t="n">
        <v>460</v>
      </c>
      <c r="L95" s="3" t="n">
        <v>76</v>
      </c>
      <c r="M95" s="3" t="n">
        <v>83.2</v>
      </c>
      <c r="N95" s="3" t="n">
        <v>48.7</v>
      </c>
      <c r="O95" s="3" t="n">
        <v>54.3</v>
      </c>
      <c r="P95" s="3">
        <f>IF(L95&lt;&gt;"",L95/1.4,"")</f>
        <v/>
      </c>
      <c r="Q95" s="3">
        <f>IF(L95&lt;&gt;"",L95/1.56,"")</f>
        <v/>
      </c>
      <c r="R95" s="3">
        <f>IF(M95&lt;&gt;"",M95/1.4,"")</f>
        <v/>
      </c>
      <c r="S95" s="3">
        <f>IF(M95&lt;&gt;"",M95/1.56,"")</f>
        <v/>
      </c>
      <c r="T95" s="3">
        <f>IF(N95&lt;&gt;"",N95,IF(O95&lt;&gt;"",O95,IF(L95&lt;&gt;"",L95/1.56,IF(M95&lt;&gt;"",M95/1.56,""))))</f>
        <v/>
      </c>
      <c r="U95" s="3" t="n">
        <v>350</v>
      </c>
      <c r="V95" s="3" t="n">
        <v>210</v>
      </c>
      <c r="W95" s="3" t="n"/>
      <c r="X95" s="4" t="n">
        <v>55.5</v>
      </c>
      <c r="Y95" s="5" t="n"/>
      <c r="Z95" s="4">
        <f>IF(L95&lt;&gt;"",SQRT(3)*G95*L95/1000,"")</f>
        <v/>
      </c>
      <c r="AB95" t="inlineStr">
        <is>
          <t>Bitzer_RLA_230_460_3ph_60Hz.xlsx</t>
        </is>
      </c>
      <c r="AC95" t="inlineStr">
        <is>
          <t>BITZER_RLA_230_460_3PH</t>
        </is>
      </c>
    </row>
    <row r="96">
      <c r="A96" t="inlineStr">
        <is>
          <t>BITZER</t>
        </is>
      </c>
      <c r="B96" t="inlineStr">
        <is>
          <t>6FE-50</t>
        </is>
      </c>
      <c r="C96" t="inlineStr">
        <is>
          <t>1.0</t>
        </is>
      </c>
      <c r="D96" t="inlineStr">
        <is>
          <t>Reciprocating Semi-hermetic</t>
        </is>
      </c>
      <c r="E96" s="2" t="n">
        <v>3</v>
      </c>
      <c r="F96" s="2" t="n">
        <v>60</v>
      </c>
      <c r="G96" s="2" t="n">
        <v>230</v>
      </c>
      <c r="H96" t="inlineStr">
        <is>
          <t>230</t>
        </is>
      </c>
      <c r="I96" s="2" t="n">
        <v>230</v>
      </c>
      <c r="J96" s="2" t="n">
        <v>230</v>
      </c>
      <c r="L96" s="3" t="n">
        <v>224</v>
      </c>
      <c r="M96" s="3" t="n">
        <v>192.4</v>
      </c>
      <c r="N96" s="3" t="n">
        <v>143.6</v>
      </c>
      <c r="O96" s="3" t="n">
        <v>160</v>
      </c>
      <c r="P96" s="3">
        <f>IF(L96&lt;&gt;"",L96/1.4,"")</f>
        <v/>
      </c>
      <c r="Q96" s="3">
        <f>IF(L96&lt;&gt;"",L96/1.56,"")</f>
        <v/>
      </c>
      <c r="R96" s="3">
        <f>IF(M96&lt;&gt;"",M96/1.4,"")</f>
        <v/>
      </c>
      <c r="S96" s="3">
        <f>IF(M96&lt;&gt;"",M96/1.56,"")</f>
        <v/>
      </c>
      <c r="T96" s="3">
        <f>IF(N96&lt;&gt;"",N96,IF(O96&lt;&gt;"",O96,IF(L96&lt;&gt;"",L96/1.56,IF(M96&lt;&gt;"",M96/1.56,""))))</f>
        <v/>
      </c>
      <c r="U96" s="3" t="n">
        <v>950</v>
      </c>
      <c r="V96" s="3" t="n">
        <v>570</v>
      </c>
      <c r="W96" s="3" t="n"/>
      <c r="X96" s="4" t="n">
        <v>61.6</v>
      </c>
      <c r="Y96" s="5" t="n"/>
      <c r="Z96" s="4">
        <f>IF(L96&lt;&gt;"",SQRT(3)*G96*L96/1000,"")</f>
        <v/>
      </c>
      <c r="AB96" t="inlineStr">
        <is>
          <t>Bitzer_RLA_230_460_3ph_60Hz.xlsx</t>
        </is>
      </c>
      <c r="AC96" t="inlineStr">
        <is>
          <t>BITZER_RLA_230_460_3PH</t>
        </is>
      </c>
    </row>
    <row r="97">
      <c r="A97" t="inlineStr">
        <is>
          <t>BITZER</t>
        </is>
      </c>
      <c r="B97" t="inlineStr">
        <is>
          <t>6FE-50</t>
        </is>
      </c>
      <c r="C97" t="inlineStr">
        <is>
          <t>1.0</t>
        </is>
      </c>
      <c r="D97" t="inlineStr">
        <is>
          <t>Reciprocating Semi-hermetic</t>
        </is>
      </c>
      <c r="E97" s="2" t="n">
        <v>3</v>
      </c>
      <c r="F97" s="2" t="n">
        <v>60</v>
      </c>
      <c r="G97" s="2" t="n">
        <v>460</v>
      </c>
      <c r="H97" t="inlineStr">
        <is>
          <t>460</t>
        </is>
      </c>
      <c r="I97" s="2" t="n">
        <v>460</v>
      </c>
      <c r="J97" s="2" t="n">
        <v>460</v>
      </c>
      <c r="L97" s="3" t="n">
        <v>112</v>
      </c>
      <c r="M97" s="3" t="n">
        <v>96.2</v>
      </c>
      <c r="N97" s="3" t="n">
        <v>71.8</v>
      </c>
      <c r="O97" s="3" t="n">
        <v>80</v>
      </c>
      <c r="P97" s="3">
        <f>IF(L97&lt;&gt;"",L97/1.4,"")</f>
        <v/>
      </c>
      <c r="Q97" s="3">
        <f>IF(L97&lt;&gt;"",L97/1.56,"")</f>
        <v/>
      </c>
      <c r="R97" s="3">
        <f>IF(M97&lt;&gt;"",M97/1.4,"")</f>
        <v/>
      </c>
      <c r="S97" s="3">
        <f>IF(M97&lt;&gt;"",M97/1.56,"")</f>
        <v/>
      </c>
      <c r="T97" s="3">
        <f>IF(N97&lt;&gt;"",N97,IF(O97&lt;&gt;"",O97,IF(L97&lt;&gt;"",L97/1.56,IF(M97&lt;&gt;"",M97/1.56,""))))</f>
        <v/>
      </c>
      <c r="U97" s="3" t="n">
        <v>425</v>
      </c>
      <c r="V97" s="3" t="n">
        <v>255</v>
      </c>
      <c r="W97" s="3" t="n"/>
      <c r="X97" s="4" t="n">
        <v>61.6</v>
      </c>
      <c r="Y97" s="5" t="n"/>
      <c r="Z97" s="4">
        <f>IF(L97&lt;&gt;"",SQRT(3)*G97*L97/1000,"")</f>
        <v/>
      </c>
      <c r="AB97" t="inlineStr">
        <is>
          <t>Bitzer_RLA_230_460_3ph_60Hz.xlsx</t>
        </is>
      </c>
      <c r="AC97" t="inlineStr">
        <is>
          <t>BITZER_RLA_230_460_3PH</t>
        </is>
      </c>
    </row>
    <row r="98">
      <c r="A98" t="inlineStr">
        <is>
          <t>BITZER</t>
        </is>
      </c>
      <c r="B98" t="inlineStr">
        <is>
          <t>6GE-30</t>
        </is>
      </c>
      <c r="C98" t="inlineStr">
        <is>
          <t>3.0</t>
        </is>
      </c>
      <c r="D98" t="inlineStr">
        <is>
          <t>Reciprocating Semi-hermetic</t>
        </is>
      </c>
      <c r="E98" s="2" t="n">
        <v>3</v>
      </c>
      <c r="F98" s="2" t="n">
        <v>60</v>
      </c>
      <c r="G98" s="2" t="n">
        <v>230</v>
      </c>
      <c r="H98" t="inlineStr">
        <is>
          <t>230</t>
        </is>
      </c>
      <c r="I98" s="2" t="n">
        <v>230</v>
      </c>
      <c r="J98" s="2" t="n">
        <v>230</v>
      </c>
      <c r="L98" s="3" t="n">
        <v>132</v>
      </c>
      <c r="M98" s="3" t="n">
        <v>76</v>
      </c>
      <c r="N98" s="3" t="n">
        <v>84.59999999999999</v>
      </c>
      <c r="O98" s="3" t="n">
        <v>94.3</v>
      </c>
      <c r="P98" s="3">
        <f>IF(L98&lt;&gt;"",L98/1.4,"")</f>
        <v/>
      </c>
      <c r="Q98" s="3">
        <f>IF(L98&lt;&gt;"",L98/1.56,"")</f>
        <v/>
      </c>
      <c r="R98" s="3">
        <f>IF(M98&lt;&gt;"",M98/1.4,"")</f>
        <v/>
      </c>
      <c r="S98" s="3">
        <f>IF(M98&lt;&gt;"",M98/1.56,"")</f>
        <v/>
      </c>
      <c r="T98" s="3">
        <f>IF(N98&lt;&gt;"",N98,IF(O98&lt;&gt;"",O98,IF(L98&lt;&gt;"",L98/1.56,IF(M98&lt;&gt;"",M98/1.56,""))))</f>
        <v/>
      </c>
      <c r="U98" s="3" t="n">
        <v>490</v>
      </c>
      <c r="V98" s="3" t="n">
        <v>294</v>
      </c>
      <c r="W98" s="3" t="n"/>
      <c r="X98" s="4" t="n"/>
      <c r="Y98" s="5" t="n"/>
      <c r="Z98" s="4">
        <f>IF(L98&lt;&gt;"",SQRT(3)*G98*L98/1000,"")</f>
        <v/>
      </c>
      <c r="AB98" t="inlineStr">
        <is>
          <t>Bitzer_RLA_230_460_3ph_60Hz.xlsx</t>
        </is>
      </c>
      <c r="AC98" t="inlineStr">
        <is>
          <t>BITZER_RLA_230_460_3PH</t>
        </is>
      </c>
    </row>
    <row r="99">
      <c r="A99" t="inlineStr">
        <is>
          <t>BITZER</t>
        </is>
      </c>
      <c r="B99" t="inlineStr">
        <is>
          <t>6GE-30</t>
        </is>
      </c>
      <c r="C99" t="inlineStr">
        <is>
          <t>3.0</t>
        </is>
      </c>
      <c r="D99" t="inlineStr">
        <is>
          <t>Reciprocating Semi-hermetic</t>
        </is>
      </c>
      <c r="E99" s="2" t="n">
        <v>3</v>
      </c>
      <c r="F99" s="2" t="n">
        <v>60</v>
      </c>
      <c r="G99" s="2" t="n">
        <v>460</v>
      </c>
      <c r="H99" t="inlineStr">
        <is>
          <t>460</t>
        </is>
      </c>
      <c r="I99" s="2" t="n">
        <v>460</v>
      </c>
      <c r="J99" s="2" t="n">
        <v>460</v>
      </c>
      <c r="L99" s="3" t="n">
        <v>66</v>
      </c>
      <c r="M99" s="3" t="n">
        <v>38</v>
      </c>
      <c r="N99" s="3" t="n">
        <v>42.3</v>
      </c>
      <c r="O99" s="3" t="n">
        <v>47.1</v>
      </c>
      <c r="P99" s="3">
        <f>IF(L99&lt;&gt;"",L99/1.4,"")</f>
        <v/>
      </c>
      <c r="Q99" s="3">
        <f>IF(L99&lt;&gt;"",L99/1.56,"")</f>
        <v/>
      </c>
      <c r="R99" s="3">
        <f>IF(M99&lt;&gt;"",M99/1.4,"")</f>
        <v/>
      </c>
      <c r="S99" s="3">
        <f>IF(M99&lt;&gt;"",M99/1.56,"")</f>
        <v/>
      </c>
      <c r="T99" s="3">
        <f>IF(N99&lt;&gt;"",N99,IF(O99&lt;&gt;"",O99,IF(L99&lt;&gt;"",L99/1.56,IF(M99&lt;&gt;"",M99/1.56,""))))</f>
        <v/>
      </c>
      <c r="U99" s="3" t="n">
        <v>245</v>
      </c>
      <c r="V99" s="3" t="n">
        <v>147</v>
      </c>
      <c r="W99" s="3" t="n"/>
      <c r="X99" s="4" t="n"/>
      <c r="Y99" s="5" t="n"/>
      <c r="Z99" s="4">
        <f>IF(L99&lt;&gt;"",SQRT(3)*G99*L99/1000,"")</f>
        <v/>
      </c>
      <c r="AB99" t="inlineStr">
        <is>
          <t>Bitzer_RLA_230_460_3ph_60Hz.xlsx</t>
        </is>
      </c>
      <c r="AC99" t="inlineStr">
        <is>
          <t>BITZER_RLA_230_460_3PH</t>
        </is>
      </c>
    </row>
    <row r="100">
      <c r="A100" t="inlineStr">
        <is>
          <t>BITZER</t>
        </is>
      </c>
      <c r="B100" t="inlineStr">
        <is>
          <t>6GE-34</t>
        </is>
      </c>
      <c r="C100" t="inlineStr">
        <is>
          <t>2.0</t>
        </is>
      </c>
      <c r="D100" t="inlineStr">
        <is>
          <t>Reciprocating Semi-hermetic</t>
        </is>
      </c>
      <c r="E100" s="2" t="n">
        <v>3</v>
      </c>
      <c r="F100" s="2" t="n">
        <v>60</v>
      </c>
      <c r="G100" s="2" t="n">
        <v>230</v>
      </c>
      <c r="H100" t="inlineStr">
        <is>
          <t>230</t>
        </is>
      </c>
      <c r="I100" s="2" t="n">
        <v>230</v>
      </c>
      <c r="J100" s="2" t="n">
        <v>230</v>
      </c>
      <c r="L100" s="3" t="n">
        <v>132</v>
      </c>
      <c r="M100" s="3" t="n">
        <v>131</v>
      </c>
      <c r="N100" s="3" t="n">
        <v>84.59999999999999</v>
      </c>
      <c r="O100" s="3" t="n">
        <v>94.3</v>
      </c>
      <c r="P100" s="3">
        <f>IF(L100&lt;&gt;"",L100/1.4,"")</f>
        <v/>
      </c>
      <c r="Q100" s="3">
        <f>IF(L100&lt;&gt;"",L100/1.56,"")</f>
        <v/>
      </c>
      <c r="R100" s="3">
        <f>IF(M100&lt;&gt;"",M100/1.4,"")</f>
        <v/>
      </c>
      <c r="S100" s="3">
        <f>IF(M100&lt;&gt;"",M100/1.56,"")</f>
        <v/>
      </c>
      <c r="T100" s="3">
        <f>IF(N100&lt;&gt;"",N100,IF(O100&lt;&gt;"",O100,IF(L100&lt;&gt;"",L100/1.56,IF(M100&lt;&gt;"",M100/1.56,""))))</f>
        <v/>
      </c>
      <c r="U100" s="3" t="n">
        <v>490</v>
      </c>
      <c r="V100" s="3" t="n">
        <v>294</v>
      </c>
      <c r="W100" s="3" t="n"/>
      <c r="X100" s="4" t="n"/>
      <c r="Y100" s="5" t="n"/>
      <c r="Z100" s="4">
        <f>IF(L100&lt;&gt;"",SQRT(3)*G100*L100/1000,"")</f>
        <v/>
      </c>
      <c r="AB100" t="inlineStr">
        <is>
          <t>Bitzer_RLA_230_460_3ph_60Hz.xlsx</t>
        </is>
      </c>
      <c r="AC100" t="inlineStr">
        <is>
          <t>BITZER_RLA_230_460_3PH</t>
        </is>
      </c>
    </row>
    <row r="101">
      <c r="A101" t="inlineStr">
        <is>
          <t>BITZER</t>
        </is>
      </c>
      <c r="B101" t="inlineStr">
        <is>
          <t>6GE-34</t>
        </is>
      </c>
      <c r="C101" t="inlineStr">
        <is>
          <t>2.0</t>
        </is>
      </c>
      <c r="D101" t="inlineStr">
        <is>
          <t>Reciprocating Semi-hermetic</t>
        </is>
      </c>
      <c r="E101" s="2" t="n">
        <v>3</v>
      </c>
      <c r="F101" s="2" t="n">
        <v>60</v>
      </c>
      <c r="G101" s="2" t="n">
        <v>460</v>
      </c>
      <c r="H101" t="inlineStr">
        <is>
          <t>460</t>
        </is>
      </c>
      <c r="I101" s="2" t="n">
        <v>460</v>
      </c>
      <c r="J101" s="2" t="n">
        <v>460</v>
      </c>
      <c r="L101" s="3" t="n">
        <v>66</v>
      </c>
      <c r="M101" s="3" t="n">
        <v>65.5</v>
      </c>
      <c r="N101" s="3" t="n">
        <v>42.3</v>
      </c>
      <c r="O101" s="3" t="n">
        <v>47.1</v>
      </c>
      <c r="P101" s="3">
        <f>IF(L101&lt;&gt;"",L101/1.4,"")</f>
        <v/>
      </c>
      <c r="Q101" s="3">
        <f>IF(L101&lt;&gt;"",L101/1.56,"")</f>
        <v/>
      </c>
      <c r="R101" s="3">
        <f>IF(M101&lt;&gt;"",M101/1.4,"")</f>
        <v/>
      </c>
      <c r="S101" s="3">
        <f>IF(M101&lt;&gt;"",M101/1.56,"")</f>
        <v/>
      </c>
      <c r="T101" s="3">
        <f>IF(N101&lt;&gt;"",N101,IF(O101&lt;&gt;"",O101,IF(L101&lt;&gt;"",L101/1.56,IF(M101&lt;&gt;"",M101/1.56,""))))</f>
        <v/>
      </c>
      <c r="U101" s="3" t="n">
        <v>245</v>
      </c>
      <c r="V101" s="3" t="n">
        <v>147</v>
      </c>
      <c r="W101" s="3" t="n"/>
      <c r="X101" s="4" t="n"/>
      <c r="Y101" s="5" t="n"/>
      <c r="Z101" s="4">
        <f>IF(L101&lt;&gt;"",SQRT(3)*G101*L101/1000,"")</f>
        <v/>
      </c>
      <c r="AB101" t="inlineStr">
        <is>
          <t>Bitzer_RLA_230_460_3ph_60Hz.xlsx</t>
        </is>
      </c>
      <c r="AC101" t="inlineStr">
        <is>
          <t>BITZER_RLA_230_460_3PH</t>
        </is>
      </c>
    </row>
    <row r="102">
      <c r="A102" t="inlineStr">
        <is>
          <t>BITZER</t>
        </is>
      </c>
      <c r="B102" t="inlineStr">
        <is>
          <t>6GE-40</t>
        </is>
      </c>
      <c r="C102" t="inlineStr">
        <is>
          <t>1.0</t>
        </is>
      </c>
      <c r="D102" t="inlineStr">
        <is>
          <t>Reciprocating Semi-hermetic</t>
        </is>
      </c>
      <c r="E102" s="2" t="n">
        <v>3</v>
      </c>
      <c r="F102" s="2" t="n">
        <v>60</v>
      </c>
      <c r="G102" s="2" t="n">
        <v>230</v>
      </c>
      <c r="H102" t="inlineStr">
        <is>
          <t>230</t>
        </is>
      </c>
      <c r="I102" s="2" t="n">
        <v>230</v>
      </c>
      <c r="J102" s="2" t="n">
        <v>230</v>
      </c>
      <c r="L102" s="3" t="n">
        <v>220</v>
      </c>
      <c r="M102" s="3" t="n">
        <v>147.8</v>
      </c>
      <c r="N102" s="3" t="n">
        <v>141</v>
      </c>
      <c r="O102" s="3" t="n">
        <v>157.1</v>
      </c>
      <c r="P102" s="3">
        <f>IF(L102&lt;&gt;"",L102/1.4,"")</f>
        <v/>
      </c>
      <c r="Q102" s="3">
        <f>IF(L102&lt;&gt;"",L102/1.56,"")</f>
        <v/>
      </c>
      <c r="R102" s="3">
        <f>IF(M102&lt;&gt;"",M102/1.4,"")</f>
        <v/>
      </c>
      <c r="S102" s="3">
        <f>IF(M102&lt;&gt;"",M102/1.56,"")</f>
        <v/>
      </c>
      <c r="T102" s="3">
        <f>IF(N102&lt;&gt;"",N102,IF(O102&lt;&gt;"",O102,IF(L102&lt;&gt;"",L102/1.56,IF(M102&lt;&gt;"",M102/1.56,""))))</f>
        <v/>
      </c>
      <c r="U102" s="3" t="n">
        <v>700</v>
      </c>
      <c r="V102" s="3" t="n">
        <v>419.9</v>
      </c>
      <c r="W102" s="3" t="n"/>
      <c r="X102" s="4" t="n"/>
      <c r="Y102" s="5" t="n"/>
      <c r="Z102" s="4">
        <f>IF(L102&lt;&gt;"",SQRT(3)*G102*L102/1000,"")</f>
        <v/>
      </c>
      <c r="AB102" t="inlineStr">
        <is>
          <t>Bitzer_RLA_230_460_3ph_60Hz.xlsx</t>
        </is>
      </c>
      <c r="AC102" t="inlineStr">
        <is>
          <t>BITZER_RLA_230_460_3PH</t>
        </is>
      </c>
    </row>
    <row r="103">
      <c r="A103" t="inlineStr">
        <is>
          <t>BITZER</t>
        </is>
      </c>
      <c r="B103" t="inlineStr">
        <is>
          <t>6GE-40</t>
        </is>
      </c>
      <c r="C103" t="inlineStr">
        <is>
          <t>1.0</t>
        </is>
      </c>
      <c r="D103" t="inlineStr">
        <is>
          <t>Reciprocating Semi-hermetic</t>
        </is>
      </c>
      <c r="E103" s="2" t="n">
        <v>3</v>
      </c>
      <c r="F103" s="2" t="n">
        <v>60</v>
      </c>
      <c r="G103" s="2" t="n">
        <v>460</v>
      </c>
      <c r="H103" t="inlineStr">
        <is>
          <t>460</t>
        </is>
      </c>
      <c r="I103" s="2" t="n">
        <v>460</v>
      </c>
      <c r="J103" s="2" t="n">
        <v>460</v>
      </c>
      <c r="L103" s="3" t="n">
        <v>110</v>
      </c>
      <c r="M103" s="3" t="n">
        <v>73.90000000000001</v>
      </c>
      <c r="N103" s="3" t="n">
        <v>70.5</v>
      </c>
      <c r="O103" s="3" t="n">
        <v>78.59999999999999</v>
      </c>
      <c r="P103" s="3">
        <f>IF(L103&lt;&gt;"",L103/1.4,"")</f>
        <v/>
      </c>
      <c r="Q103" s="3">
        <f>IF(L103&lt;&gt;"",L103/1.56,"")</f>
        <v/>
      </c>
      <c r="R103" s="3">
        <f>IF(M103&lt;&gt;"",M103/1.4,"")</f>
        <v/>
      </c>
      <c r="S103" s="3">
        <f>IF(M103&lt;&gt;"",M103/1.56,"")</f>
        <v/>
      </c>
      <c r="T103" s="3">
        <f>IF(N103&lt;&gt;"",N103,IF(O103&lt;&gt;"",O103,IF(L103&lt;&gt;"",L103/1.56,IF(M103&lt;&gt;"",M103/1.56,""))))</f>
        <v/>
      </c>
      <c r="U103" s="3" t="n">
        <v>350</v>
      </c>
      <c r="V103" s="3" t="n">
        <v>210</v>
      </c>
      <c r="W103" s="3" t="n"/>
      <c r="X103" s="4" t="n"/>
      <c r="Y103" s="5" t="n"/>
      <c r="Z103" s="4">
        <f>IF(L103&lt;&gt;"",SQRT(3)*G103*L103/1000,"")</f>
        <v/>
      </c>
      <c r="AB103" t="inlineStr">
        <is>
          <t>Bitzer_RLA_230_460_3ph_60Hz.xlsx</t>
        </is>
      </c>
      <c r="AC103" t="inlineStr">
        <is>
          <t>BITZER_RLA_230_460_3PH</t>
        </is>
      </c>
    </row>
    <row r="104">
      <c r="A104" t="inlineStr">
        <is>
          <t>BITZER</t>
        </is>
      </c>
      <c r="B104" t="inlineStr">
        <is>
          <t>6HE-25</t>
        </is>
      </c>
      <c r="C104" t="inlineStr">
        <is>
          <t>3.0</t>
        </is>
      </c>
      <c r="D104" t="inlineStr">
        <is>
          <t>Reciprocating Semi-hermetic</t>
        </is>
      </c>
      <c r="E104" s="2" t="n">
        <v>3</v>
      </c>
      <c r="F104" s="2" t="n">
        <v>60</v>
      </c>
      <c r="G104" s="2" t="n">
        <v>230</v>
      </c>
      <c r="H104" t="inlineStr">
        <is>
          <t>230</t>
        </is>
      </c>
      <c r="I104" s="2" t="n">
        <v>230</v>
      </c>
      <c r="J104" s="2" t="n">
        <v>230</v>
      </c>
      <c r="L104" s="3" t="n">
        <v>108</v>
      </c>
      <c r="M104" s="3" t="n">
        <v>62.6</v>
      </c>
      <c r="N104" s="3" t="n">
        <v>69.2</v>
      </c>
      <c r="O104" s="3" t="n">
        <v>77.09999999999999</v>
      </c>
      <c r="P104" s="3">
        <f>IF(L104&lt;&gt;"",L104/1.4,"")</f>
        <v/>
      </c>
      <c r="Q104" s="3">
        <f>IF(L104&lt;&gt;"",L104/1.56,"")</f>
        <v/>
      </c>
      <c r="R104" s="3">
        <f>IF(M104&lt;&gt;"",M104/1.4,"")</f>
        <v/>
      </c>
      <c r="S104" s="3">
        <f>IF(M104&lt;&gt;"",M104/1.56,"")</f>
        <v/>
      </c>
      <c r="T104" s="3">
        <f>IF(N104&lt;&gt;"",N104,IF(O104&lt;&gt;"",O104,IF(L104&lt;&gt;"",L104/1.56,IF(M104&lt;&gt;"",M104/1.56,""))))</f>
        <v/>
      </c>
      <c r="U104" s="3" t="n">
        <v>436</v>
      </c>
      <c r="V104" s="3" t="n">
        <v>261.6</v>
      </c>
      <c r="W104" s="3" t="n"/>
      <c r="X104" s="4" t="n"/>
      <c r="Y104" s="5" t="n"/>
      <c r="Z104" s="4">
        <f>IF(L104&lt;&gt;"",SQRT(3)*G104*L104/1000,"")</f>
        <v/>
      </c>
      <c r="AB104" t="inlineStr">
        <is>
          <t>Bitzer_RLA_230_460_3ph_60Hz.xlsx</t>
        </is>
      </c>
      <c r="AC104" t="inlineStr">
        <is>
          <t>BITZER_RLA_230_460_3PH</t>
        </is>
      </c>
    </row>
    <row r="105">
      <c r="A105" t="inlineStr">
        <is>
          <t>BITZER</t>
        </is>
      </c>
      <c r="B105" t="inlineStr">
        <is>
          <t>6HE-25</t>
        </is>
      </c>
      <c r="C105" t="inlineStr">
        <is>
          <t>3.0</t>
        </is>
      </c>
      <c r="D105" t="inlineStr">
        <is>
          <t>Reciprocating Semi-hermetic</t>
        </is>
      </c>
      <c r="E105" s="2" t="n">
        <v>3</v>
      </c>
      <c r="F105" s="2" t="n">
        <v>60</v>
      </c>
      <c r="G105" s="2" t="n">
        <v>460</v>
      </c>
      <c r="H105" t="inlineStr">
        <is>
          <t>460</t>
        </is>
      </c>
      <c r="I105" s="2" t="n">
        <v>460</v>
      </c>
      <c r="J105" s="2" t="n">
        <v>460</v>
      </c>
      <c r="L105" s="3" t="n">
        <v>54</v>
      </c>
      <c r="M105" s="3" t="n">
        <v>31.3</v>
      </c>
      <c r="N105" s="3" t="n">
        <v>34.6</v>
      </c>
      <c r="O105" s="3" t="n">
        <v>38.6</v>
      </c>
      <c r="P105" s="3">
        <f>IF(L105&lt;&gt;"",L105/1.4,"")</f>
        <v/>
      </c>
      <c r="Q105" s="3">
        <f>IF(L105&lt;&gt;"",L105/1.56,"")</f>
        <v/>
      </c>
      <c r="R105" s="3">
        <f>IF(M105&lt;&gt;"",M105/1.4,"")</f>
        <v/>
      </c>
      <c r="S105" s="3">
        <f>IF(M105&lt;&gt;"",M105/1.56,"")</f>
        <v/>
      </c>
      <c r="T105" s="3">
        <f>IF(N105&lt;&gt;"",N105,IF(O105&lt;&gt;"",O105,IF(L105&lt;&gt;"",L105/1.56,IF(M105&lt;&gt;"",M105/1.56,""))))</f>
        <v/>
      </c>
      <c r="U105" s="3" t="n">
        <v>218</v>
      </c>
      <c r="V105" s="3" t="n">
        <v>130.8</v>
      </c>
      <c r="W105" s="3" t="n"/>
      <c r="X105" s="4" t="n"/>
      <c r="Y105" s="5" t="n"/>
      <c r="Z105" s="4">
        <f>IF(L105&lt;&gt;"",SQRT(3)*G105*L105/1000,"")</f>
        <v/>
      </c>
      <c r="AB105" t="inlineStr">
        <is>
          <t>Bitzer_RLA_230_460_3ph_60Hz.xlsx</t>
        </is>
      </c>
      <c r="AC105" t="inlineStr">
        <is>
          <t>BITZER_RLA_230_460_3PH</t>
        </is>
      </c>
    </row>
    <row r="106">
      <c r="A106" t="inlineStr">
        <is>
          <t>BITZER</t>
        </is>
      </c>
      <c r="B106" t="inlineStr">
        <is>
          <t>6HE-28</t>
        </is>
      </c>
      <c r="C106" t="inlineStr">
        <is>
          <t>2.0</t>
        </is>
      </c>
      <c r="D106" t="inlineStr">
        <is>
          <t>Reciprocating Semi-hermetic</t>
        </is>
      </c>
      <c r="E106" s="2" t="n">
        <v>3</v>
      </c>
      <c r="F106" s="2" t="n">
        <v>60</v>
      </c>
      <c r="G106" s="2" t="n">
        <v>230</v>
      </c>
      <c r="H106" t="inlineStr">
        <is>
          <t>230</t>
        </is>
      </c>
      <c r="I106" s="2" t="n">
        <v>230</v>
      </c>
      <c r="J106" s="2" t="n">
        <v>230</v>
      </c>
      <c r="L106" s="3" t="n">
        <v>121</v>
      </c>
      <c r="M106" s="3" t="n">
        <v>106.4</v>
      </c>
      <c r="N106" s="3" t="n">
        <v>77.59999999999999</v>
      </c>
      <c r="O106" s="3" t="n">
        <v>86.40000000000001</v>
      </c>
      <c r="P106" s="3">
        <f>IF(L106&lt;&gt;"",L106/1.4,"")</f>
        <v/>
      </c>
      <c r="Q106" s="3">
        <f>IF(L106&lt;&gt;"",L106/1.56,"")</f>
        <v/>
      </c>
      <c r="R106" s="3">
        <f>IF(M106&lt;&gt;"",M106/1.4,"")</f>
        <v/>
      </c>
      <c r="S106" s="3">
        <f>IF(M106&lt;&gt;"",M106/1.56,"")</f>
        <v/>
      </c>
      <c r="T106" s="3">
        <f>IF(N106&lt;&gt;"",N106,IF(O106&lt;&gt;"",O106,IF(L106&lt;&gt;"",L106/1.56,IF(M106&lt;&gt;"",M106/1.56,""))))</f>
        <v/>
      </c>
      <c r="U106" s="3" t="n">
        <v>490</v>
      </c>
      <c r="V106" s="3" t="n">
        <v>294</v>
      </c>
      <c r="W106" s="3" t="n"/>
      <c r="X106" s="4" t="n">
        <v>39.8</v>
      </c>
      <c r="Y106" s="5" t="n"/>
      <c r="Z106" s="4">
        <f>IF(L106&lt;&gt;"",SQRT(3)*G106*L106/1000,"")</f>
        <v/>
      </c>
      <c r="AB106" t="inlineStr">
        <is>
          <t>Bitzer_RLA_230_460_3ph_60Hz.xlsx</t>
        </is>
      </c>
      <c r="AC106" t="inlineStr">
        <is>
          <t>BITZER_RLA_230_460_3PH</t>
        </is>
      </c>
    </row>
    <row r="107">
      <c r="A107" t="inlineStr">
        <is>
          <t>BITZER</t>
        </is>
      </c>
      <c r="B107" t="inlineStr">
        <is>
          <t>6HE-28</t>
        </is>
      </c>
      <c r="C107" t="inlineStr">
        <is>
          <t>2.0</t>
        </is>
      </c>
      <c r="D107" t="inlineStr">
        <is>
          <t>Reciprocating Semi-hermetic</t>
        </is>
      </c>
      <c r="E107" s="2" t="n">
        <v>3</v>
      </c>
      <c r="F107" s="2" t="n">
        <v>60</v>
      </c>
      <c r="G107" s="2" t="n">
        <v>460</v>
      </c>
      <c r="H107" t="inlineStr">
        <is>
          <t>460</t>
        </is>
      </c>
      <c r="I107" s="2" t="n">
        <v>460</v>
      </c>
      <c r="J107" s="2" t="n">
        <v>460</v>
      </c>
      <c r="L107" s="3" t="n">
        <v>60.5</v>
      </c>
      <c r="M107" s="3" t="n">
        <v>53.2</v>
      </c>
      <c r="N107" s="3" t="n">
        <v>38.8</v>
      </c>
      <c r="O107" s="3" t="n">
        <v>43.2</v>
      </c>
      <c r="P107" s="3">
        <f>IF(L107&lt;&gt;"",L107/1.4,"")</f>
        <v/>
      </c>
      <c r="Q107" s="3">
        <f>IF(L107&lt;&gt;"",L107/1.56,"")</f>
        <v/>
      </c>
      <c r="R107" s="3">
        <f>IF(M107&lt;&gt;"",M107/1.4,"")</f>
        <v/>
      </c>
      <c r="S107" s="3">
        <f>IF(M107&lt;&gt;"",M107/1.56,"")</f>
        <v/>
      </c>
      <c r="T107" s="3">
        <f>IF(N107&lt;&gt;"",N107,IF(O107&lt;&gt;"",O107,IF(L107&lt;&gt;"",L107/1.56,IF(M107&lt;&gt;"",M107/1.56,""))))</f>
        <v/>
      </c>
      <c r="U107" s="3" t="n">
        <v>245</v>
      </c>
      <c r="V107" s="3" t="n">
        <v>147</v>
      </c>
      <c r="W107" s="3" t="n"/>
      <c r="X107" s="4" t="n">
        <v>39.8</v>
      </c>
      <c r="Y107" s="5" t="n"/>
      <c r="Z107" s="4">
        <f>IF(L107&lt;&gt;"",SQRT(3)*G107*L107/1000,"")</f>
        <v/>
      </c>
      <c r="AB107" t="inlineStr">
        <is>
          <t>Bitzer_RLA_230_460_3ph_60Hz.xlsx</t>
        </is>
      </c>
      <c r="AC107" t="inlineStr">
        <is>
          <t>BITZER_RLA_230_460_3PH</t>
        </is>
      </c>
    </row>
    <row r="108">
      <c r="A108" t="inlineStr">
        <is>
          <t>BITZER</t>
        </is>
      </c>
      <c r="B108" t="inlineStr">
        <is>
          <t>6HE-35</t>
        </is>
      </c>
      <c r="C108" t="inlineStr">
        <is>
          <t>1.0</t>
        </is>
      </c>
      <c r="D108" t="inlineStr">
        <is>
          <t>Reciprocating Semi-hermetic</t>
        </is>
      </c>
      <c r="E108" s="2" t="n">
        <v>3</v>
      </c>
      <c r="F108" s="2" t="n">
        <v>60</v>
      </c>
      <c r="G108" s="2" t="n">
        <v>230</v>
      </c>
      <c r="H108" t="inlineStr">
        <is>
          <t>230</t>
        </is>
      </c>
      <c r="I108" s="2" t="n">
        <v>230</v>
      </c>
      <c r="J108" s="2" t="n">
        <v>230</v>
      </c>
      <c r="L108" s="3" t="n">
        <v>164</v>
      </c>
      <c r="M108" s="3" t="n">
        <v>128.8</v>
      </c>
      <c r="N108" s="3" t="n">
        <v>105.1</v>
      </c>
      <c r="O108" s="3" t="n">
        <v>117.1</v>
      </c>
      <c r="P108" s="3">
        <f>IF(L108&lt;&gt;"",L108/1.4,"")</f>
        <v/>
      </c>
      <c r="Q108" s="3">
        <f>IF(L108&lt;&gt;"",L108/1.56,"")</f>
        <v/>
      </c>
      <c r="R108" s="3">
        <f>IF(M108&lt;&gt;"",M108/1.4,"")</f>
        <v/>
      </c>
      <c r="S108" s="3">
        <f>IF(M108&lt;&gt;"",M108/1.56,"")</f>
        <v/>
      </c>
      <c r="T108" s="3">
        <f>IF(N108&lt;&gt;"",N108,IF(O108&lt;&gt;"",O108,IF(L108&lt;&gt;"",L108/1.56,IF(M108&lt;&gt;"",M108/1.56,""))))</f>
        <v/>
      </c>
      <c r="U108" s="3" t="n">
        <v>550</v>
      </c>
      <c r="V108" s="3" t="n">
        <v>330</v>
      </c>
      <c r="W108" s="3" t="n"/>
      <c r="X108" s="4" t="n">
        <v>43.4</v>
      </c>
      <c r="Y108" s="5" t="n"/>
      <c r="Z108" s="4">
        <f>IF(L108&lt;&gt;"",SQRT(3)*G108*L108/1000,"")</f>
        <v/>
      </c>
      <c r="AB108" t="inlineStr">
        <is>
          <t>Bitzer_RLA_230_460_3ph_60Hz.xlsx</t>
        </is>
      </c>
      <c r="AC108" t="inlineStr">
        <is>
          <t>BITZER_RLA_230_460_3PH</t>
        </is>
      </c>
    </row>
    <row r="109">
      <c r="A109" t="inlineStr">
        <is>
          <t>BITZER</t>
        </is>
      </c>
      <c r="B109" t="inlineStr">
        <is>
          <t>6HE-35</t>
        </is>
      </c>
      <c r="C109" t="inlineStr">
        <is>
          <t>1.0</t>
        </is>
      </c>
      <c r="D109" t="inlineStr">
        <is>
          <t>Reciprocating Semi-hermetic</t>
        </is>
      </c>
      <c r="E109" s="2" t="n">
        <v>3</v>
      </c>
      <c r="F109" s="2" t="n">
        <v>60</v>
      </c>
      <c r="G109" s="2" t="n">
        <v>460</v>
      </c>
      <c r="H109" t="inlineStr">
        <is>
          <t>460</t>
        </is>
      </c>
      <c r="I109" s="2" t="n">
        <v>460</v>
      </c>
      <c r="J109" s="2" t="n">
        <v>460</v>
      </c>
      <c r="L109" s="3" t="n">
        <v>82</v>
      </c>
      <c r="M109" s="3" t="n">
        <v>64.40000000000001</v>
      </c>
      <c r="N109" s="3" t="n">
        <v>52.6</v>
      </c>
      <c r="O109" s="3" t="n">
        <v>58.6</v>
      </c>
      <c r="P109" s="3">
        <f>IF(L109&lt;&gt;"",L109/1.4,"")</f>
        <v/>
      </c>
      <c r="Q109" s="3">
        <f>IF(L109&lt;&gt;"",L109/1.56,"")</f>
        <v/>
      </c>
      <c r="R109" s="3">
        <f>IF(M109&lt;&gt;"",M109/1.4,"")</f>
        <v/>
      </c>
      <c r="S109" s="3">
        <f>IF(M109&lt;&gt;"",M109/1.56,"")</f>
        <v/>
      </c>
      <c r="T109" s="3">
        <f>IF(N109&lt;&gt;"",N109,IF(O109&lt;&gt;"",O109,IF(L109&lt;&gt;"",L109/1.56,IF(M109&lt;&gt;"",M109/1.56,""))))</f>
        <v/>
      </c>
      <c r="U109" s="3" t="n">
        <v>275</v>
      </c>
      <c r="V109" s="3" t="n">
        <v>165</v>
      </c>
      <c r="W109" s="3" t="n"/>
      <c r="X109" s="4" t="n">
        <v>43.4</v>
      </c>
      <c r="Y109" s="5" t="n"/>
      <c r="Z109" s="4">
        <f>IF(L109&lt;&gt;"",SQRT(3)*G109*L109/1000,"")</f>
        <v/>
      </c>
      <c r="AB109" t="inlineStr">
        <is>
          <t>Bitzer_RLA_230_460_3ph_60Hz.xlsx</t>
        </is>
      </c>
      <c r="AC109" t="inlineStr">
        <is>
          <t>BITZER_RLA_230_460_3PH</t>
        </is>
      </c>
    </row>
    <row r="110">
      <c r="A110" t="inlineStr">
        <is>
          <t>BITZER</t>
        </is>
      </c>
      <c r="B110" t="inlineStr">
        <is>
          <t>6JE-22</t>
        </is>
      </c>
      <c r="C110" t="inlineStr">
        <is>
          <t>3.0</t>
        </is>
      </c>
      <c r="D110" t="inlineStr">
        <is>
          <t>Reciprocating Semi-hermetic</t>
        </is>
      </c>
      <c r="E110" s="2" t="n">
        <v>3</v>
      </c>
      <c r="F110" s="2" t="n">
        <v>60</v>
      </c>
      <c r="G110" s="2" t="n">
        <v>230</v>
      </c>
      <c r="H110" t="inlineStr">
        <is>
          <t>230</t>
        </is>
      </c>
      <c r="I110" s="2" t="n">
        <v>230</v>
      </c>
      <c r="J110" s="2" t="n">
        <v>230</v>
      </c>
      <c r="L110" s="3" t="n">
        <v>102</v>
      </c>
      <c r="M110" s="3" t="n">
        <v>53.2</v>
      </c>
      <c r="N110" s="3" t="n">
        <v>65.40000000000001</v>
      </c>
      <c r="O110" s="3" t="n">
        <v>72.90000000000001</v>
      </c>
      <c r="P110" s="3">
        <f>IF(L110&lt;&gt;"",L110/1.4,"")</f>
        <v/>
      </c>
      <c r="Q110" s="3">
        <f>IF(L110&lt;&gt;"",L110/1.56,"")</f>
        <v/>
      </c>
      <c r="R110" s="3">
        <f>IF(M110&lt;&gt;"",M110/1.4,"")</f>
        <v/>
      </c>
      <c r="S110" s="3">
        <f>IF(M110&lt;&gt;"",M110/1.56,"")</f>
        <v/>
      </c>
      <c r="T110" s="3">
        <f>IF(N110&lt;&gt;"",N110,IF(O110&lt;&gt;"",O110,IF(L110&lt;&gt;"",L110/1.56,IF(M110&lt;&gt;"",M110/1.56,""))))</f>
        <v/>
      </c>
      <c r="U110" s="3" t="n">
        <v>436</v>
      </c>
      <c r="V110" s="3" t="n">
        <v>261.6</v>
      </c>
      <c r="W110" s="3" t="n"/>
      <c r="X110" s="4" t="n"/>
      <c r="Y110" s="5" t="n"/>
      <c r="Z110" s="4">
        <f>IF(L110&lt;&gt;"",SQRT(3)*G110*L110/1000,"")</f>
        <v/>
      </c>
      <c r="AB110" t="inlineStr">
        <is>
          <t>Bitzer_RLA_230_460_3ph_60Hz.xlsx</t>
        </is>
      </c>
      <c r="AC110" t="inlineStr">
        <is>
          <t>BITZER_RLA_230_460_3PH</t>
        </is>
      </c>
    </row>
    <row r="111">
      <c r="A111" t="inlineStr">
        <is>
          <t>BITZER</t>
        </is>
      </c>
      <c r="B111" t="inlineStr">
        <is>
          <t>6JE-22</t>
        </is>
      </c>
      <c r="C111" t="inlineStr">
        <is>
          <t>3.0</t>
        </is>
      </c>
      <c r="D111" t="inlineStr">
        <is>
          <t>Reciprocating Semi-hermetic</t>
        </is>
      </c>
      <c r="E111" s="2" t="n">
        <v>3</v>
      </c>
      <c r="F111" s="2" t="n">
        <v>60</v>
      </c>
      <c r="G111" s="2" t="n">
        <v>460</v>
      </c>
      <c r="H111" t="inlineStr">
        <is>
          <t>460</t>
        </is>
      </c>
      <c r="I111" s="2" t="n">
        <v>460</v>
      </c>
      <c r="J111" s="2" t="n">
        <v>460</v>
      </c>
      <c r="L111" s="3" t="n">
        <v>51</v>
      </c>
      <c r="M111" s="3" t="n">
        <v>26.6</v>
      </c>
      <c r="N111" s="3" t="n">
        <v>32.7</v>
      </c>
      <c r="O111" s="3" t="n">
        <v>36.4</v>
      </c>
      <c r="P111" s="3">
        <f>IF(L111&lt;&gt;"",L111/1.4,"")</f>
        <v/>
      </c>
      <c r="Q111" s="3">
        <f>IF(L111&lt;&gt;"",L111/1.56,"")</f>
        <v/>
      </c>
      <c r="R111" s="3">
        <f>IF(M111&lt;&gt;"",M111/1.4,"")</f>
        <v/>
      </c>
      <c r="S111" s="3">
        <f>IF(M111&lt;&gt;"",M111/1.56,"")</f>
        <v/>
      </c>
      <c r="T111" s="3">
        <f>IF(N111&lt;&gt;"",N111,IF(O111&lt;&gt;"",O111,IF(L111&lt;&gt;"",L111/1.56,IF(M111&lt;&gt;"",M111/1.56,""))))</f>
        <v/>
      </c>
      <c r="U111" s="3" t="n">
        <v>218</v>
      </c>
      <c r="V111" s="3" t="n">
        <v>130.8</v>
      </c>
      <c r="W111" s="3" t="n"/>
      <c r="X111" s="4" t="n"/>
      <c r="Y111" s="5" t="n"/>
      <c r="Z111" s="4">
        <f>IF(L111&lt;&gt;"",SQRT(3)*G111*L111/1000,"")</f>
        <v/>
      </c>
      <c r="AB111" t="inlineStr">
        <is>
          <t>Bitzer_RLA_230_460_3ph_60Hz.xlsx</t>
        </is>
      </c>
      <c r="AC111" t="inlineStr">
        <is>
          <t>BITZER_RLA_230_460_3PH</t>
        </is>
      </c>
    </row>
    <row r="112">
      <c r="A112" t="inlineStr">
        <is>
          <t>BITZER</t>
        </is>
      </c>
      <c r="B112" t="inlineStr">
        <is>
          <t>6JE-25</t>
        </is>
      </c>
      <c r="C112" t="inlineStr">
        <is>
          <t>2.0</t>
        </is>
      </c>
      <c r="D112" t="inlineStr">
        <is>
          <t>Reciprocating Semi-hermetic</t>
        </is>
      </c>
      <c r="E112" s="2" t="n">
        <v>3</v>
      </c>
      <c r="F112" s="2" t="n">
        <v>60</v>
      </c>
      <c r="G112" s="2" t="n">
        <v>230</v>
      </c>
      <c r="H112" t="inlineStr">
        <is>
          <t>230</t>
        </is>
      </c>
      <c r="I112" s="2" t="n">
        <v>230</v>
      </c>
      <c r="J112" s="2" t="n">
        <v>230</v>
      </c>
      <c r="L112" s="3" t="n">
        <v>110.8</v>
      </c>
      <c r="M112" s="3" t="n">
        <v>92.8</v>
      </c>
      <c r="N112" s="3" t="n">
        <v>71</v>
      </c>
      <c r="O112" s="3" t="n">
        <v>79.09999999999999</v>
      </c>
      <c r="P112" s="3">
        <f>IF(L112&lt;&gt;"",L112/1.4,"")</f>
        <v/>
      </c>
      <c r="Q112" s="3">
        <f>IF(L112&lt;&gt;"",L112/1.56,"")</f>
        <v/>
      </c>
      <c r="R112" s="3">
        <f>IF(M112&lt;&gt;"",M112/1.4,"")</f>
        <v/>
      </c>
      <c r="S112" s="3">
        <f>IF(M112&lt;&gt;"",M112/1.56,"")</f>
        <v/>
      </c>
      <c r="T112" s="3">
        <f>IF(N112&lt;&gt;"",N112,IF(O112&lt;&gt;"",O112,IF(L112&lt;&gt;"",L112/1.56,IF(M112&lt;&gt;"",M112/1.56,""))))</f>
        <v/>
      </c>
      <c r="U112" s="3" t="n">
        <v>490</v>
      </c>
      <c r="V112" s="3" t="n">
        <v>294</v>
      </c>
      <c r="W112" s="3" t="n"/>
      <c r="X112" s="4" t="n"/>
      <c r="Y112" s="5" t="n"/>
      <c r="Z112" s="4">
        <f>IF(L112&lt;&gt;"",SQRT(3)*G112*L112/1000,"")</f>
        <v/>
      </c>
      <c r="AB112" t="inlineStr">
        <is>
          <t>Bitzer_RLA_230_460_3ph_60Hz.xlsx</t>
        </is>
      </c>
      <c r="AC112" t="inlineStr">
        <is>
          <t>BITZER_RLA_230_460_3PH</t>
        </is>
      </c>
    </row>
    <row r="113">
      <c r="A113" t="inlineStr">
        <is>
          <t>BITZER</t>
        </is>
      </c>
      <c r="B113" t="inlineStr">
        <is>
          <t>6JE-25</t>
        </is>
      </c>
      <c r="C113" t="inlineStr">
        <is>
          <t>2.0</t>
        </is>
      </c>
      <c r="D113" t="inlineStr">
        <is>
          <t>Reciprocating Semi-hermetic</t>
        </is>
      </c>
      <c r="E113" s="2" t="n">
        <v>3</v>
      </c>
      <c r="F113" s="2" t="n">
        <v>60</v>
      </c>
      <c r="G113" s="2" t="n">
        <v>460</v>
      </c>
      <c r="H113" t="inlineStr">
        <is>
          <t>460</t>
        </is>
      </c>
      <c r="I113" s="2" t="n">
        <v>460</v>
      </c>
      <c r="J113" s="2" t="n">
        <v>460</v>
      </c>
      <c r="L113" s="3" t="n">
        <v>55.4</v>
      </c>
      <c r="M113" s="3" t="n">
        <v>46.4</v>
      </c>
      <c r="N113" s="3" t="n">
        <v>35.5</v>
      </c>
      <c r="O113" s="3" t="n">
        <v>39.6</v>
      </c>
      <c r="P113" s="3">
        <f>IF(L113&lt;&gt;"",L113/1.4,"")</f>
        <v/>
      </c>
      <c r="Q113" s="3">
        <f>IF(L113&lt;&gt;"",L113/1.56,"")</f>
        <v/>
      </c>
      <c r="R113" s="3">
        <f>IF(M113&lt;&gt;"",M113/1.4,"")</f>
        <v/>
      </c>
      <c r="S113" s="3">
        <f>IF(M113&lt;&gt;"",M113/1.56,"")</f>
        <v/>
      </c>
      <c r="T113" s="3">
        <f>IF(N113&lt;&gt;"",N113,IF(O113&lt;&gt;"",O113,IF(L113&lt;&gt;"",L113/1.56,IF(M113&lt;&gt;"",M113/1.56,""))))</f>
        <v/>
      </c>
      <c r="U113" s="3" t="n">
        <v>245</v>
      </c>
      <c r="V113" s="3" t="n">
        <v>147</v>
      </c>
      <c r="W113" s="3" t="n"/>
      <c r="X113" s="4" t="n"/>
      <c r="Y113" s="5" t="n"/>
      <c r="Z113" s="4">
        <f>IF(L113&lt;&gt;"",SQRT(3)*G113*L113/1000,"")</f>
        <v/>
      </c>
      <c r="AB113" t="inlineStr">
        <is>
          <t>Bitzer_RLA_230_460_3ph_60Hz.xlsx</t>
        </is>
      </c>
      <c r="AC113" t="inlineStr">
        <is>
          <t>BITZER_RLA_230_460_3PH</t>
        </is>
      </c>
    </row>
    <row r="114">
      <c r="A114" t="inlineStr">
        <is>
          <t>BITZER</t>
        </is>
      </c>
      <c r="B114" t="inlineStr">
        <is>
          <t>6JE-33</t>
        </is>
      </c>
      <c r="C114" t="inlineStr">
        <is>
          <t>1.0</t>
        </is>
      </c>
      <c r="D114" t="inlineStr">
        <is>
          <t>Reciprocating Semi-hermetic</t>
        </is>
      </c>
      <c r="E114" s="2" t="n">
        <v>3</v>
      </c>
      <c r="F114" s="2" t="n">
        <v>60</v>
      </c>
      <c r="G114" s="2" t="n">
        <v>230</v>
      </c>
      <c r="H114" t="inlineStr">
        <is>
          <t>230</t>
        </is>
      </c>
      <c r="I114" s="2" t="n">
        <v>230</v>
      </c>
      <c r="J114" s="2" t="n">
        <v>230</v>
      </c>
      <c r="L114" s="3" t="n">
        <v>156</v>
      </c>
      <c r="M114" s="3" t="n">
        <v>106.4</v>
      </c>
      <c r="N114" s="3" t="n">
        <v>100</v>
      </c>
      <c r="O114" s="3" t="n">
        <v>111.4</v>
      </c>
      <c r="P114" s="3">
        <f>IF(L114&lt;&gt;"",L114/1.4,"")</f>
        <v/>
      </c>
      <c r="Q114" s="3">
        <f>IF(L114&lt;&gt;"",L114/1.56,"")</f>
        <v/>
      </c>
      <c r="R114" s="3">
        <f>IF(M114&lt;&gt;"",M114/1.4,"")</f>
        <v/>
      </c>
      <c r="S114" s="3">
        <f>IF(M114&lt;&gt;"",M114/1.56,"")</f>
        <v/>
      </c>
      <c r="T114" s="3">
        <f>IF(N114&lt;&gt;"",N114,IF(O114&lt;&gt;"",O114,IF(L114&lt;&gt;"",L114/1.56,IF(M114&lt;&gt;"",M114/1.56,""))))</f>
        <v/>
      </c>
      <c r="U114" s="3" t="n">
        <v>550</v>
      </c>
      <c r="V114" s="3" t="n">
        <v>330</v>
      </c>
      <c r="W114" s="3" t="n"/>
      <c r="X114" s="4" t="n"/>
      <c r="Y114" s="5" t="n"/>
      <c r="Z114" s="4">
        <f>IF(L114&lt;&gt;"",SQRT(3)*G114*L114/1000,"")</f>
        <v/>
      </c>
      <c r="AB114" t="inlineStr">
        <is>
          <t>Bitzer_RLA_230_460_3ph_60Hz.xlsx</t>
        </is>
      </c>
      <c r="AC114" t="inlineStr">
        <is>
          <t>BITZER_RLA_230_460_3PH</t>
        </is>
      </c>
    </row>
    <row r="115">
      <c r="A115" t="inlineStr">
        <is>
          <t>BITZER</t>
        </is>
      </c>
      <c r="B115" t="inlineStr">
        <is>
          <t>6JE-33</t>
        </is>
      </c>
      <c r="C115" t="inlineStr">
        <is>
          <t>1.0</t>
        </is>
      </c>
      <c r="D115" t="inlineStr">
        <is>
          <t>Reciprocating Semi-hermetic</t>
        </is>
      </c>
      <c r="E115" s="2" t="n">
        <v>3</v>
      </c>
      <c r="F115" s="2" t="n">
        <v>60</v>
      </c>
      <c r="G115" s="2" t="n">
        <v>460</v>
      </c>
      <c r="H115" t="inlineStr">
        <is>
          <t>460</t>
        </is>
      </c>
      <c r="I115" s="2" t="n">
        <v>460</v>
      </c>
      <c r="J115" s="2" t="n">
        <v>460</v>
      </c>
      <c r="L115" s="3" t="n">
        <v>78</v>
      </c>
      <c r="M115" s="3" t="n">
        <v>53.2</v>
      </c>
      <c r="N115" s="3" t="n">
        <v>50</v>
      </c>
      <c r="O115" s="3" t="n">
        <v>55.7</v>
      </c>
      <c r="P115" s="3">
        <f>IF(L115&lt;&gt;"",L115/1.4,"")</f>
        <v/>
      </c>
      <c r="Q115" s="3">
        <f>IF(L115&lt;&gt;"",L115/1.56,"")</f>
        <v/>
      </c>
      <c r="R115" s="3">
        <f>IF(M115&lt;&gt;"",M115/1.4,"")</f>
        <v/>
      </c>
      <c r="S115" s="3">
        <f>IF(M115&lt;&gt;"",M115/1.56,"")</f>
        <v/>
      </c>
      <c r="T115" s="3">
        <f>IF(N115&lt;&gt;"",N115,IF(O115&lt;&gt;"",O115,IF(L115&lt;&gt;"",L115/1.56,IF(M115&lt;&gt;"",M115/1.56,""))))</f>
        <v/>
      </c>
      <c r="U115" s="3" t="n">
        <v>275</v>
      </c>
      <c r="V115" s="3" t="n">
        <v>165</v>
      </c>
      <c r="W115" s="3" t="n"/>
      <c r="X115" s="4" t="n"/>
      <c r="Y115" s="5" t="n"/>
      <c r="Z115" s="4">
        <f>IF(L115&lt;&gt;"",SQRT(3)*G115*L115/1000,"")</f>
        <v/>
      </c>
      <c r="AB115" t="inlineStr">
        <is>
          <t>Bitzer_RLA_230_460_3ph_60Hz.xlsx</t>
        </is>
      </c>
      <c r="AC115" t="inlineStr">
        <is>
          <t>BITZER_RLA_230_460_3PH</t>
        </is>
      </c>
    </row>
    <row r="116">
      <c r="A116" t="inlineStr">
        <is>
          <t>BITZER</t>
        </is>
      </c>
      <c r="B116" t="inlineStr">
        <is>
          <t>8FE-70</t>
        </is>
      </c>
      <c r="C116" t="inlineStr">
        <is>
          <t>nan</t>
        </is>
      </c>
      <c r="D116" t="inlineStr">
        <is>
          <t>Reciprocating Semi-hermetic</t>
        </is>
      </c>
      <c r="E116" s="2" t="n">
        <v>3</v>
      </c>
      <c r="F116" s="2" t="n">
        <v>60</v>
      </c>
      <c r="G116" s="2" t="n">
        <v>230</v>
      </c>
      <c r="H116" t="inlineStr">
        <is>
          <t>230</t>
        </is>
      </c>
      <c r="I116" s="2" t="n">
        <v>230</v>
      </c>
      <c r="J116" s="2" t="n">
        <v>230</v>
      </c>
      <c r="L116" s="3" t="n">
        <v>329</v>
      </c>
      <c r="M116" s="3" t="n"/>
      <c r="N116" s="3" t="n">
        <v>210.9</v>
      </c>
      <c r="O116" s="3" t="n">
        <v>235</v>
      </c>
      <c r="P116" s="3">
        <f>IF(L116&lt;&gt;"",L116/1.4,"")</f>
        <v/>
      </c>
      <c r="Q116" s="3">
        <f>IF(L116&lt;&gt;"",L116/1.56,"")</f>
        <v/>
      </c>
      <c r="R116" s="3">
        <f>IF(M116&lt;&gt;"",M116/1.4,"")</f>
        <v/>
      </c>
      <c r="S116" s="3">
        <f>IF(M116&lt;&gt;"",M116/1.56,"")</f>
        <v/>
      </c>
      <c r="T116" s="3">
        <f>IF(N116&lt;&gt;"",N116,IF(O116&lt;&gt;"",O116,IF(L116&lt;&gt;"",L116/1.56,IF(M116&lt;&gt;"",M116/1.56,""))))</f>
        <v/>
      </c>
      <c r="U116" s="3" t="n">
        <v>1288</v>
      </c>
      <c r="V116" s="3" t="n">
        <v>876</v>
      </c>
      <c r="W116" s="3" t="n"/>
      <c r="X116" s="4" t="n"/>
      <c r="Y116" s="5" t="n"/>
      <c r="Z116" s="4">
        <f>IF(L116&lt;&gt;"",SQRT(3)*G116*L116/1000,"")</f>
        <v/>
      </c>
      <c r="AB116" t="inlineStr">
        <is>
          <t>Bitzer_RLA_230_460_3ph_60Hz.xlsx</t>
        </is>
      </c>
      <c r="AC116" t="inlineStr">
        <is>
          <t>BITZER_RLA_230_460_3PH</t>
        </is>
      </c>
    </row>
    <row r="117">
      <c r="A117" t="inlineStr">
        <is>
          <t>BITZER</t>
        </is>
      </c>
      <c r="B117" t="inlineStr">
        <is>
          <t>8FE-70</t>
        </is>
      </c>
      <c r="C117" t="inlineStr">
        <is>
          <t>nan</t>
        </is>
      </c>
      <c r="D117" t="inlineStr">
        <is>
          <t>Reciprocating Semi-hermetic</t>
        </is>
      </c>
      <c r="E117" s="2" t="n">
        <v>3</v>
      </c>
      <c r="F117" s="2" t="n">
        <v>60</v>
      </c>
      <c r="G117" s="2" t="n">
        <v>460</v>
      </c>
      <c r="H117" t="inlineStr">
        <is>
          <t>460</t>
        </is>
      </c>
      <c r="I117" s="2" t="n">
        <v>460</v>
      </c>
      <c r="J117" s="2" t="n">
        <v>460</v>
      </c>
      <c r="L117" s="3" t="n">
        <v>164</v>
      </c>
      <c r="M117" s="3" t="n">
        <v>139</v>
      </c>
      <c r="N117" s="3" t="n">
        <v>105.1</v>
      </c>
      <c r="O117" s="3" t="n">
        <v>117.1</v>
      </c>
      <c r="P117" s="3">
        <f>IF(L117&lt;&gt;"",L117/1.4,"")</f>
        <v/>
      </c>
      <c r="Q117" s="3">
        <f>IF(L117&lt;&gt;"",L117/1.56,"")</f>
        <v/>
      </c>
      <c r="R117" s="3">
        <f>IF(M117&lt;&gt;"",M117/1.4,"")</f>
        <v/>
      </c>
      <c r="S117" s="3">
        <f>IF(M117&lt;&gt;"",M117/1.56,"")</f>
        <v/>
      </c>
      <c r="T117" s="3">
        <f>IF(N117&lt;&gt;"",N117,IF(O117&lt;&gt;"",O117,IF(L117&lt;&gt;"",L117/1.56,IF(M117&lt;&gt;"",M117/1.56,""))))</f>
        <v/>
      </c>
      <c r="U117" s="3" t="n">
        <v>590</v>
      </c>
      <c r="V117" s="3" t="n">
        <v>401</v>
      </c>
      <c r="W117" s="3" t="n"/>
      <c r="X117" s="4" t="n"/>
      <c r="Y117" s="5" t="n"/>
      <c r="Z117" s="4">
        <f>IF(L117&lt;&gt;"",SQRT(3)*G117*L117/1000,"")</f>
        <v/>
      </c>
      <c r="AB117" t="inlineStr">
        <is>
          <t>Bitzer_RLA_230_460_3ph_60Hz.xlsx</t>
        </is>
      </c>
      <c r="AC117" t="inlineStr">
        <is>
          <t>BITZER_RLA_230_460_3PH</t>
        </is>
      </c>
    </row>
    <row r="118">
      <c r="A118" t="inlineStr">
        <is>
          <t>BITZER</t>
        </is>
      </c>
      <c r="B118" t="inlineStr">
        <is>
          <t>8GE-60</t>
        </is>
      </c>
      <c r="C118" t="inlineStr">
        <is>
          <t>nan</t>
        </is>
      </c>
      <c r="D118" t="inlineStr">
        <is>
          <t>Reciprocating Semi-hermetic</t>
        </is>
      </c>
      <c r="E118" s="2" t="n">
        <v>3</v>
      </c>
      <c r="F118" s="2" t="n">
        <v>60</v>
      </c>
      <c r="G118" s="2" t="n">
        <v>230</v>
      </c>
      <c r="H118" t="inlineStr">
        <is>
          <t>230</t>
        </is>
      </c>
      <c r="I118" s="2" t="n">
        <v>230</v>
      </c>
      <c r="J118" s="2" t="n">
        <v>230</v>
      </c>
      <c r="L118" s="3" t="n">
        <v>281</v>
      </c>
      <c r="M118" s="3" t="n"/>
      <c r="N118" s="3" t="n">
        <v>180.1</v>
      </c>
      <c r="O118" s="3" t="n">
        <v>200.7</v>
      </c>
      <c r="P118" s="3">
        <f>IF(L118&lt;&gt;"",L118/1.4,"")</f>
        <v/>
      </c>
      <c r="Q118" s="3">
        <f>IF(L118&lt;&gt;"",L118/1.56,"")</f>
        <v/>
      </c>
      <c r="R118" s="3">
        <f>IF(M118&lt;&gt;"",M118/1.4,"")</f>
        <v/>
      </c>
      <c r="S118" s="3">
        <f>IF(M118&lt;&gt;"",M118/1.56,"")</f>
        <v/>
      </c>
      <c r="T118" s="3">
        <f>IF(N118&lt;&gt;"",N118,IF(O118&lt;&gt;"",O118,IF(L118&lt;&gt;"",L118/1.56,IF(M118&lt;&gt;"",M118/1.56,""))))</f>
        <v/>
      </c>
      <c r="U118" s="3" t="n">
        <v>1230</v>
      </c>
      <c r="V118" s="3" t="n">
        <v>836</v>
      </c>
      <c r="W118" s="3" t="n"/>
      <c r="X118" s="4" t="n"/>
      <c r="Y118" s="5" t="n"/>
      <c r="Z118" s="4">
        <f>IF(L118&lt;&gt;"",SQRT(3)*G118*L118/1000,"")</f>
        <v/>
      </c>
      <c r="AB118" t="inlineStr">
        <is>
          <t>Bitzer_RLA_230_460_3ph_60Hz.xlsx</t>
        </is>
      </c>
      <c r="AC118" t="inlineStr">
        <is>
          <t>BITZER_RLA_230_460_3PH</t>
        </is>
      </c>
    </row>
    <row r="119">
      <c r="A119" t="inlineStr">
        <is>
          <t>BITZER</t>
        </is>
      </c>
      <c r="B119" t="inlineStr">
        <is>
          <t>8GE-60</t>
        </is>
      </c>
      <c r="C119" t="inlineStr">
        <is>
          <t>nan</t>
        </is>
      </c>
      <c r="D119" t="inlineStr">
        <is>
          <t>Reciprocating Semi-hermetic</t>
        </is>
      </c>
      <c r="E119" s="2" t="n">
        <v>3</v>
      </c>
      <c r="F119" s="2" t="n">
        <v>60</v>
      </c>
      <c r="G119" s="2" t="n">
        <v>460</v>
      </c>
      <c r="H119" t="inlineStr">
        <is>
          <t>460</t>
        </is>
      </c>
      <c r="I119" s="2" t="n">
        <v>460</v>
      </c>
      <c r="J119" s="2" t="n">
        <v>460</v>
      </c>
      <c r="L119" s="3" t="n">
        <v>141</v>
      </c>
      <c r="M119" s="3" t="n">
        <v>113</v>
      </c>
      <c r="N119" s="3" t="n">
        <v>90.40000000000001</v>
      </c>
      <c r="O119" s="3" t="n">
        <v>100.7</v>
      </c>
      <c r="P119" s="3">
        <f>IF(L119&lt;&gt;"",L119/1.4,"")</f>
        <v/>
      </c>
      <c r="Q119" s="3">
        <f>IF(L119&lt;&gt;"",L119/1.56,"")</f>
        <v/>
      </c>
      <c r="R119" s="3">
        <f>IF(M119&lt;&gt;"",M119/1.4,"")</f>
        <v/>
      </c>
      <c r="S119" s="3">
        <f>IF(M119&lt;&gt;"",M119/1.56,"")</f>
        <v/>
      </c>
      <c r="T119" s="3">
        <f>IF(N119&lt;&gt;"",N119,IF(O119&lt;&gt;"",O119,IF(L119&lt;&gt;"",L119/1.56,IF(M119&lt;&gt;"",M119/1.56,""))))</f>
        <v/>
      </c>
      <c r="U119" s="3" t="n">
        <v>513</v>
      </c>
      <c r="V119" s="3" t="n">
        <v>349</v>
      </c>
      <c r="W119" s="3" t="n"/>
      <c r="X119" s="4" t="n"/>
      <c r="Y119" s="5" t="n"/>
      <c r="Z119" s="4">
        <f>IF(L119&lt;&gt;"",SQRT(3)*G119*L119/1000,"")</f>
        <v/>
      </c>
      <c r="AB119" t="inlineStr">
        <is>
          <t>Bitzer_RLA_230_460_3ph_60Hz.xlsx</t>
        </is>
      </c>
      <c r="AC119" t="inlineStr">
        <is>
          <t>BITZER_RLA_230_460_3PH</t>
        </is>
      </c>
    </row>
    <row r="120">
      <c r="A120" t="inlineStr">
        <is>
          <t>DORIN</t>
        </is>
      </c>
      <c r="B120" t="inlineStr">
        <is>
          <t>H51CS</t>
        </is>
      </c>
      <c r="D120" t="inlineStr">
        <is>
          <t>Reciprocating Semi-hermetic</t>
        </is>
      </c>
      <c r="E120" s="2" t="n">
        <v>3</v>
      </c>
      <c r="F120" s="2" t="n">
        <v>60</v>
      </c>
      <c r="G120" s="2" t="n">
        <v>230</v>
      </c>
      <c r="H120" t="inlineStr">
        <is>
          <t>208-230</t>
        </is>
      </c>
      <c r="I120" s="2" t="n">
        <v>208</v>
      </c>
      <c r="J120" s="2" t="n">
        <v>230</v>
      </c>
      <c r="K120" t="inlineStr">
        <is>
          <t>Delta</t>
        </is>
      </c>
      <c r="L120" s="3" t="n"/>
      <c r="M120" s="3" t="n">
        <v>3.7</v>
      </c>
      <c r="N120" s="3" t="n"/>
      <c r="O120" s="3" t="n"/>
      <c r="P120" s="3">
        <f>IF(L120&lt;&gt;"",L120/1.4,"")</f>
        <v/>
      </c>
      <c r="Q120" s="3">
        <f>IF(L120&lt;&gt;"",L120/1.56,"")</f>
        <v/>
      </c>
      <c r="R120" s="3">
        <f>IF(M120&lt;&gt;"",M120/1.4,"")</f>
        <v/>
      </c>
      <c r="S120" s="3">
        <f>IF(M120&lt;&gt;"",M120/1.56,"")</f>
        <v/>
      </c>
      <c r="T120" s="3">
        <f>IF(N120&lt;&gt;"",N120,IF(O120&lt;&gt;"",O120,IF(L120&lt;&gt;"",L120/1.56,IF(M120&lt;&gt;"",M120/1.56,""))))</f>
        <v/>
      </c>
      <c r="U120" s="3" t="n"/>
      <c r="V120" s="3" t="n"/>
      <c r="W120" s="3" t="n">
        <v>18.7</v>
      </c>
      <c r="X120" s="4" t="n">
        <v>1.2</v>
      </c>
      <c r="Y120" s="5" t="n"/>
      <c r="Z120" s="4">
        <f>IF(L120&lt;&gt;"",SQRT(3)*G120*L120/1000,"")</f>
        <v/>
      </c>
      <c r="AA120" t="inlineStr">
        <is>
          <t>Displacement_CFH=187.3</t>
        </is>
      </c>
      <c r="AB120" t="inlineStr">
        <is>
          <t>Dorin_RLA_230_460_3ph_60Hz.xlsx</t>
        </is>
      </c>
      <c r="AC120" t="inlineStr">
        <is>
          <t>DORIN_H_60Hz_3ph</t>
        </is>
      </c>
    </row>
    <row r="121">
      <c r="A121" t="inlineStr">
        <is>
          <t>DORIN</t>
        </is>
      </c>
      <c r="B121" t="inlineStr">
        <is>
          <t>H51CS</t>
        </is>
      </c>
      <c r="D121" t="inlineStr">
        <is>
          <t>Reciprocating Semi-hermetic</t>
        </is>
      </c>
      <c r="E121" s="2" t="n">
        <v>3</v>
      </c>
      <c r="F121" s="2" t="n">
        <v>60</v>
      </c>
      <c r="G121" s="2" t="n">
        <v>460</v>
      </c>
      <c r="H121" t="inlineStr">
        <is>
          <t>440-480</t>
        </is>
      </c>
      <c r="I121" s="2" t="n">
        <v>440</v>
      </c>
      <c r="J121" s="2" t="n">
        <v>480</v>
      </c>
      <c r="K121" t="inlineStr">
        <is>
          <t>Wye</t>
        </is>
      </c>
      <c r="L121" s="3" t="n"/>
      <c r="M121" s="3" t="n">
        <v>1.8</v>
      </c>
      <c r="N121" s="3" t="n"/>
      <c r="O121" s="3" t="n"/>
      <c r="P121" s="3">
        <f>IF(L121&lt;&gt;"",L121/1.4,"")</f>
        <v/>
      </c>
      <c r="Q121" s="3">
        <f>IF(L121&lt;&gt;"",L121/1.56,"")</f>
        <v/>
      </c>
      <c r="R121" s="3">
        <f>IF(M121&lt;&gt;"",M121/1.4,"")</f>
        <v/>
      </c>
      <c r="S121" s="3">
        <f>IF(M121&lt;&gt;"",M121/1.56,"")</f>
        <v/>
      </c>
      <c r="T121" s="3">
        <f>IF(N121&lt;&gt;"",N121,IF(O121&lt;&gt;"",O121,IF(L121&lt;&gt;"",L121/1.56,IF(M121&lt;&gt;"",M121/1.56,""))))</f>
        <v/>
      </c>
      <c r="U121" s="3" t="n"/>
      <c r="V121" s="3" t="n"/>
      <c r="W121" s="3" t="n">
        <v>9</v>
      </c>
      <c r="X121" s="4" t="n">
        <v>1.2</v>
      </c>
      <c r="Y121" s="5" t="n"/>
      <c r="Z121" s="4">
        <f>IF(L121&lt;&gt;"",SQRT(3)*G121*L121/1000,"")</f>
        <v/>
      </c>
      <c r="AA121" t="inlineStr">
        <is>
          <t>Displacement_CFH=187.3</t>
        </is>
      </c>
      <c r="AB121" t="inlineStr">
        <is>
          <t>Dorin_RLA_230_460_3ph_60Hz.xlsx</t>
        </is>
      </c>
      <c r="AC121" t="inlineStr">
        <is>
          <t>DORIN_H_60Hz_3ph</t>
        </is>
      </c>
    </row>
    <row r="122">
      <c r="A122" t="inlineStr">
        <is>
          <t>DORIN</t>
        </is>
      </c>
      <c r="B122" t="inlineStr">
        <is>
          <t>H80CC</t>
        </is>
      </c>
      <c r="D122" t="inlineStr">
        <is>
          <t>Reciprocating Semi-hermetic</t>
        </is>
      </c>
      <c r="E122" s="2" t="n">
        <v>3</v>
      </c>
      <c r="F122" s="2" t="n">
        <v>60</v>
      </c>
      <c r="G122" s="2" t="n">
        <v>230</v>
      </c>
      <c r="H122" t="inlineStr">
        <is>
          <t>208-230</t>
        </is>
      </c>
      <c r="I122" s="2" t="n">
        <v>208</v>
      </c>
      <c r="J122" s="2" t="n">
        <v>230</v>
      </c>
      <c r="K122" t="inlineStr">
        <is>
          <t>Delta</t>
        </is>
      </c>
      <c r="L122" s="3" t="n"/>
      <c r="M122" s="3" t="n">
        <v>5</v>
      </c>
      <c r="N122" s="3" t="n"/>
      <c r="O122" s="3" t="n"/>
      <c r="P122" s="3">
        <f>IF(L122&lt;&gt;"",L122/1.4,"")</f>
        <v/>
      </c>
      <c r="Q122" s="3">
        <f>IF(L122&lt;&gt;"",L122/1.56,"")</f>
        <v/>
      </c>
      <c r="R122" s="3">
        <f>IF(M122&lt;&gt;"",M122/1.4,"")</f>
        <v/>
      </c>
      <c r="S122" s="3">
        <f>IF(M122&lt;&gt;"",M122/1.56,"")</f>
        <v/>
      </c>
      <c r="T122" s="3">
        <f>IF(N122&lt;&gt;"",N122,IF(O122&lt;&gt;"",O122,IF(L122&lt;&gt;"",L122/1.56,IF(M122&lt;&gt;"",M122/1.56,""))))</f>
        <v/>
      </c>
      <c r="U122" s="3" t="n"/>
      <c r="V122" s="3" t="n"/>
      <c r="W122" s="3" t="n">
        <v>23</v>
      </c>
      <c r="X122" s="4" t="n">
        <v>1.6</v>
      </c>
      <c r="Y122" s="5" t="n"/>
      <c r="Z122" s="4">
        <f>IF(L122&lt;&gt;"",SQRT(3)*G122*L122/1000,"")</f>
        <v/>
      </c>
      <c r="AA122" t="inlineStr">
        <is>
          <t>Displacement_CFH=187.3</t>
        </is>
      </c>
      <c r="AB122" t="inlineStr">
        <is>
          <t>Dorin_RLA_230_460_3ph_60Hz.xlsx</t>
        </is>
      </c>
      <c r="AC122" t="inlineStr">
        <is>
          <t>DORIN_H_60Hz_3ph</t>
        </is>
      </c>
    </row>
    <row r="123">
      <c r="A123" t="inlineStr">
        <is>
          <t>DORIN</t>
        </is>
      </c>
      <c r="B123" t="inlineStr">
        <is>
          <t>H80CC</t>
        </is>
      </c>
      <c r="D123" t="inlineStr">
        <is>
          <t>Reciprocating Semi-hermetic</t>
        </is>
      </c>
      <c r="E123" s="2" t="n">
        <v>3</v>
      </c>
      <c r="F123" s="2" t="n">
        <v>60</v>
      </c>
      <c r="G123" s="2" t="n">
        <v>460</v>
      </c>
      <c r="H123" t="inlineStr">
        <is>
          <t>440-480</t>
        </is>
      </c>
      <c r="I123" s="2" t="n">
        <v>440</v>
      </c>
      <c r="J123" s="2" t="n">
        <v>480</v>
      </c>
      <c r="K123" t="inlineStr">
        <is>
          <t>Wye</t>
        </is>
      </c>
      <c r="L123" s="3" t="n"/>
      <c r="M123" s="3" t="n">
        <v>2.4</v>
      </c>
      <c r="N123" s="3" t="n"/>
      <c r="O123" s="3" t="n"/>
      <c r="P123" s="3">
        <f>IF(L123&lt;&gt;"",L123/1.4,"")</f>
        <v/>
      </c>
      <c r="Q123" s="3">
        <f>IF(L123&lt;&gt;"",L123/1.56,"")</f>
        <v/>
      </c>
      <c r="R123" s="3">
        <f>IF(M123&lt;&gt;"",M123/1.4,"")</f>
        <v/>
      </c>
      <c r="S123" s="3">
        <f>IF(M123&lt;&gt;"",M123/1.56,"")</f>
        <v/>
      </c>
      <c r="T123" s="3">
        <f>IF(N123&lt;&gt;"",N123,IF(O123&lt;&gt;"",O123,IF(L123&lt;&gt;"",L123/1.56,IF(M123&lt;&gt;"",M123/1.56,""))))</f>
        <v/>
      </c>
      <c r="U123" s="3" t="n"/>
      <c r="V123" s="3" t="n"/>
      <c r="W123" s="3" t="n">
        <v>11.1</v>
      </c>
      <c r="X123" s="4" t="n">
        <v>1.6</v>
      </c>
      <c r="Y123" s="5" t="n"/>
      <c r="Z123" s="4">
        <f>IF(L123&lt;&gt;"",SQRT(3)*G123*L123/1000,"")</f>
        <v/>
      </c>
      <c r="AA123" t="inlineStr">
        <is>
          <t>Displacement_CFH=187.3</t>
        </is>
      </c>
      <c r="AB123" t="inlineStr">
        <is>
          <t>Dorin_RLA_230_460_3ph_60Hz.xlsx</t>
        </is>
      </c>
      <c r="AC123" t="inlineStr">
        <is>
          <t>DORIN_H_60Hz_3ph</t>
        </is>
      </c>
    </row>
    <row r="124">
      <c r="A124" t="inlineStr">
        <is>
          <t>DORIN</t>
        </is>
      </c>
      <c r="B124" t="inlineStr">
        <is>
          <t>H101CC</t>
        </is>
      </c>
      <c r="D124" t="inlineStr">
        <is>
          <t>Reciprocating Semi-hermetic</t>
        </is>
      </c>
      <c r="E124" s="2" t="n">
        <v>3</v>
      </c>
      <c r="F124" s="2" t="n">
        <v>60</v>
      </c>
      <c r="G124" s="2" t="n">
        <v>230</v>
      </c>
      <c r="H124" t="inlineStr">
        <is>
          <t>208-230</t>
        </is>
      </c>
      <c r="I124" s="2" t="n">
        <v>208</v>
      </c>
      <c r="J124" s="2" t="n">
        <v>230</v>
      </c>
      <c r="K124" t="inlineStr">
        <is>
          <t>Delta</t>
        </is>
      </c>
      <c r="L124" s="3" t="n"/>
      <c r="M124" s="3" t="n">
        <v>6</v>
      </c>
      <c r="N124" s="3" t="n"/>
      <c r="O124" s="3" t="n"/>
      <c r="P124" s="3">
        <f>IF(L124&lt;&gt;"",L124/1.4,"")</f>
        <v/>
      </c>
      <c r="Q124" s="3">
        <f>IF(L124&lt;&gt;"",L124/1.56,"")</f>
        <v/>
      </c>
      <c r="R124" s="3">
        <f>IF(M124&lt;&gt;"",M124/1.4,"")</f>
        <v/>
      </c>
      <c r="S124" s="3">
        <f>IF(M124&lt;&gt;"",M124/1.56,"")</f>
        <v/>
      </c>
      <c r="T124" s="3">
        <f>IF(N124&lt;&gt;"",N124,IF(O124&lt;&gt;"",O124,IF(L124&lt;&gt;"",L124/1.56,IF(M124&lt;&gt;"",M124/1.56,""))))</f>
        <v/>
      </c>
      <c r="U124" s="3" t="n"/>
      <c r="V124" s="3" t="n"/>
      <c r="W124" s="3" t="n">
        <v>29</v>
      </c>
      <c r="X124" s="4" t="n">
        <v>1.9</v>
      </c>
      <c r="Y124" s="5" t="n"/>
      <c r="Z124" s="4">
        <f>IF(L124&lt;&gt;"",SQRT(3)*G124*L124/1000,"")</f>
        <v/>
      </c>
      <c r="AA124" t="inlineStr">
        <is>
          <t>Displacement_CFH=227.6</t>
        </is>
      </c>
      <c r="AB124" t="inlineStr">
        <is>
          <t>Dorin_RLA_230_460_3ph_60Hz.xlsx</t>
        </is>
      </c>
      <c r="AC124" t="inlineStr">
        <is>
          <t>DORIN_H_60Hz_3ph</t>
        </is>
      </c>
    </row>
    <row r="125">
      <c r="A125" t="inlineStr">
        <is>
          <t>DORIN</t>
        </is>
      </c>
      <c r="B125" t="inlineStr">
        <is>
          <t>H101CC</t>
        </is>
      </c>
      <c r="D125" t="inlineStr">
        <is>
          <t>Reciprocating Semi-hermetic</t>
        </is>
      </c>
      <c r="E125" s="2" t="n">
        <v>3</v>
      </c>
      <c r="F125" s="2" t="n">
        <v>60</v>
      </c>
      <c r="G125" s="2" t="n">
        <v>460</v>
      </c>
      <c r="H125" t="inlineStr">
        <is>
          <t>440-480</t>
        </is>
      </c>
      <c r="I125" s="2" t="n">
        <v>440</v>
      </c>
      <c r="J125" s="2" t="n">
        <v>480</v>
      </c>
      <c r="K125" t="inlineStr">
        <is>
          <t>Wye</t>
        </is>
      </c>
      <c r="L125" s="3" t="n"/>
      <c r="M125" s="3" t="n">
        <v>2.9</v>
      </c>
      <c r="N125" s="3" t="n"/>
      <c r="O125" s="3" t="n"/>
      <c r="P125" s="3">
        <f>IF(L125&lt;&gt;"",L125/1.4,"")</f>
        <v/>
      </c>
      <c r="Q125" s="3">
        <f>IF(L125&lt;&gt;"",L125/1.56,"")</f>
        <v/>
      </c>
      <c r="R125" s="3">
        <f>IF(M125&lt;&gt;"",M125/1.4,"")</f>
        <v/>
      </c>
      <c r="S125" s="3">
        <f>IF(M125&lt;&gt;"",M125/1.56,"")</f>
        <v/>
      </c>
      <c r="T125" s="3">
        <f>IF(N125&lt;&gt;"",N125,IF(O125&lt;&gt;"",O125,IF(L125&lt;&gt;"",L125/1.56,IF(M125&lt;&gt;"",M125/1.56,""))))</f>
        <v/>
      </c>
      <c r="U125" s="3" t="n"/>
      <c r="V125" s="3" t="n"/>
      <c r="W125" s="3" t="n">
        <v>13.8</v>
      </c>
      <c r="X125" s="4" t="n">
        <v>1.9</v>
      </c>
      <c r="Y125" s="5" t="n"/>
      <c r="Z125" s="4">
        <f>IF(L125&lt;&gt;"",SQRT(3)*G125*L125/1000,"")</f>
        <v/>
      </c>
      <c r="AA125" t="inlineStr">
        <is>
          <t>Displacement_CFH=227.6</t>
        </is>
      </c>
      <c r="AB125" t="inlineStr">
        <is>
          <t>Dorin_RLA_230_460_3ph_60Hz.xlsx</t>
        </is>
      </c>
      <c r="AC125" t="inlineStr">
        <is>
          <t>DORIN_H_60Hz_3ph</t>
        </is>
      </c>
    </row>
    <row r="126">
      <c r="A126" t="inlineStr">
        <is>
          <t>DORIN</t>
        </is>
      </c>
      <c r="B126" t="inlineStr">
        <is>
          <t>H80CS</t>
        </is>
      </c>
      <c r="D126" t="inlineStr">
        <is>
          <t>Reciprocating Semi-hermetic</t>
        </is>
      </c>
      <c r="E126" s="2" t="n">
        <v>3</v>
      </c>
      <c r="F126" s="2" t="n">
        <v>60</v>
      </c>
      <c r="G126" s="2" t="n">
        <v>230</v>
      </c>
      <c r="H126" t="inlineStr">
        <is>
          <t>208-230</t>
        </is>
      </c>
      <c r="I126" s="2" t="n">
        <v>208</v>
      </c>
      <c r="J126" s="2" t="n">
        <v>230</v>
      </c>
      <c r="K126" t="inlineStr">
        <is>
          <t>Delta</t>
        </is>
      </c>
      <c r="L126" s="3" t="n"/>
      <c r="M126" s="3" t="n">
        <v>5</v>
      </c>
      <c r="N126" s="3" t="n"/>
      <c r="O126" s="3" t="n"/>
      <c r="P126" s="3">
        <f>IF(L126&lt;&gt;"",L126/1.4,"")</f>
        <v/>
      </c>
      <c r="Q126" s="3">
        <f>IF(L126&lt;&gt;"",L126/1.56,"")</f>
        <v/>
      </c>
      <c r="R126" s="3">
        <f>IF(M126&lt;&gt;"",M126/1.4,"")</f>
        <v/>
      </c>
      <c r="S126" s="3">
        <f>IF(M126&lt;&gt;"",M126/1.56,"")</f>
        <v/>
      </c>
      <c r="T126" s="3">
        <f>IF(N126&lt;&gt;"",N126,IF(O126&lt;&gt;"",O126,IF(L126&lt;&gt;"",L126/1.56,IF(M126&lt;&gt;"",M126/1.56,""))))</f>
        <v/>
      </c>
      <c r="U126" s="3" t="n"/>
      <c r="V126" s="3" t="n"/>
      <c r="W126" s="3" t="n">
        <v>23</v>
      </c>
      <c r="X126" s="4" t="n">
        <v>1.6</v>
      </c>
      <c r="Y126" s="5" t="n"/>
      <c r="Z126" s="4">
        <f>IF(L126&lt;&gt;"",SQRT(3)*G126*L126/1000,"")</f>
        <v/>
      </c>
      <c r="AA126" t="inlineStr">
        <is>
          <t>Displacement_CFH=227.6</t>
        </is>
      </c>
      <c r="AB126" t="inlineStr">
        <is>
          <t>Dorin_RLA_230_460_3ph_60Hz.xlsx</t>
        </is>
      </c>
      <c r="AC126" t="inlineStr">
        <is>
          <t>DORIN_H_60Hz_3ph</t>
        </is>
      </c>
    </row>
    <row r="127">
      <c r="A127" t="inlineStr">
        <is>
          <t>DORIN</t>
        </is>
      </c>
      <c r="B127" t="inlineStr">
        <is>
          <t>H80CS</t>
        </is>
      </c>
      <c r="D127" t="inlineStr">
        <is>
          <t>Reciprocating Semi-hermetic</t>
        </is>
      </c>
      <c r="E127" s="2" t="n">
        <v>3</v>
      </c>
      <c r="F127" s="2" t="n">
        <v>60</v>
      </c>
      <c r="G127" s="2" t="n">
        <v>460</v>
      </c>
      <c r="H127" t="inlineStr">
        <is>
          <t>440-480</t>
        </is>
      </c>
      <c r="I127" s="2" t="n">
        <v>440</v>
      </c>
      <c r="J127" s="2" t="n">
        <v>480</v>
      </c>
      <c r="K127" t="inlineStr">
        <is>
          <t>Wye</t>
        </is>
      </c>
      <c r="L127" s="3" t="n"/>
      <c r="M127" s="3" t="n">
        <v>2.4</v>
      </c>
      <c r="N127" s="3" t="n"/>
      <c r="O127" s="3" t="n"/>
      <c r="P127" s="3">
        <f>IF(L127&lt;&gt;"",L127/1.4,"")</f>
        <v/>
      </c>
      <c r="Q127" s="3">
        <f>IF(L127&lt;&gt;"",L127/1.56,"")</f>
        <v/>
      </c>
      <c r="R127" s="3">
        <f>IF(M127&lt;&gt;"",M127/1.4,"")</f>
        <v/>
      </c>
      <c r="S127" s="3">
        <f>IF(M127&lt;&gt;"",M127/1.56,"")</f>
        <v/>
      </c>
      <c r="T127" s="3">
        <f>IF(N127&lt;&gt;"",N127,IF(O127&lt;&gt;"",O127,IF(L127&lt;&gt;"",L127/1.56,IF(M127&lt;&gt;"",M127/1.56,""))))</f>
        <v/>
      </c>
      <c r="U127" s="3" t="n"/>
      <c r="V127" s="3" t="n"/>
      <c r="W127" s="3" t="n">
        <v>11.1</v>
      </c>
      <c r="X127" s="4" t="n">
        <v>1.6</v>
      </c>
      <c r="Y127" s="5" t="n"/>
      <c r="Z127" s="4">
        <f>IF(L127&lt;&gt;"",SQRT(3)*G127*L127/1000,"")</f>
        <v/>
      </c>
      <c r="AA127" t="inlineStr">
        <is>
          <t>Displacement_CFH=227.6</t>
        </is>
      </c>
      <c r="AB127" t="inlineStr">
        <is>
          <t>Dorin_RLA_230_460_3ph_60Hz.xlsx</t>
        </is>
      </c>
      <c r="AC127" t="inlineStr">
        <is>
          <t>DORIN_H_60Hz_3ph</t>
        </is>
      </c>
    </row>
    <row r="128">
      <c r="A128" t="inlineStr">
        <is>
          <t>DORIN</t>
        </is>
      </c>
      <c r="B128" t="inlineStr">
        <is>
          <t>H101CS</t>
        </is>
      </c>
      <c r="D128" t="inlineStr">
        <is>
          <t>Reciprocating Semi-hermetic</t>
        </is>
      </c>
      <c r="E128" s="2" t="n">
        <v>3</v>
      </c>
      <c r="F128" s="2" t="n">
        <v>60</v>
      </c>
      <c r="G128" s="2" t="n">
        <v>230</v>
      </c>
      <c r="H128" t="inlineStr">
        <is>
          <t>208-230</t>
        </is>
      </c>
      <c r="I128" s="2" t="n">
        <v>208</v>
      </c>
      <c r="J128" s="2" t="n">
        <v>230</v>
      </c>
      <c r="K128" t="inlineStr">
        <is>
          <t>Delta</t>
        </is>
      </c>
      <c r="L128" s="3" t="n"/>
      <c r="M128" s="3" t="n">
        <v>6</v>
      </c>
      <c r="N128" s="3" t="n"/>
      <c r="O128" s="3" t="n"/>
      <c r="P128" s="3">
        <f>IF(L128&lt;&gt;"",L128/1.4,"")</f>
        <v/>
      </c>
      <c r="Q128" s="3">
        <f>IF(L128&lt;&gt;"",L128/1.56,"")</f>
        <v/>
      </c>
      <c r="R128" s="3">
        <f>IF(M128&lt;&gt;"",M128/1.4,"")</f>
        <v/>
      </c>
      <c r="S128" s="3">
        <f>IF(M128&lt;&gt;"",M128/1.56,"")</f>
        <v/>
      </c>
      <c r="T128" s="3">
        <f>IF(N128&lt;&gt;"",N128,IF(O128&lt;&gt;"",O128,IF(L128&lt;&gt;"",L128/1.56,IF(M128&lt;&gt;"",M128/1.56,""))))</f>
        <v/>
      </c>
      <c r="U128" s="3" t="n"/>
      <c r="V128" s="3" t="n"/>
      <c r="W128" s="3" t="n">
        <v>29</v>
      </c>
      <c r="X128" s="4" t="n">
        <v>1.9</v>
      </c>
      <c r="Y128" s="5" t="n"/>
      <c r="Z128" s="4">
        <f>IF(L128&lt;&gt;"",SQRT(3)*G128*L128/1000,"")</f>
        <v/>
      </c>
      <c r="AA128" t="inlineStr">
        <is>
          <t>Displacement_CFH=284.4</t>
        </is>
      </c>
      <c r="AB128" t="inlineStr">
        <is>
          <t>Dorin_RLA_230_460_3ph_60Hz.xlsx</t>
        </is>
      </c>
      <c r="AC128" t="inlineStr">
        <is>
          <t>DORIN_H_60Hz_3ph</t>
        </is>
      </c>
    </row>
    <row r="129">
      <c r="A129" t="inlineStr">
        <is>
          <t>DORIN</t>
        </is>
      </c>
      <c r="B129" t="inlineStr">
        <is>
          <t>H101CS</t>
        </is>
      </c>
      <c r="D129" t="inlineStr">
        <is>
          <t>Reciprocating Semi-hermetic</t>
        </is>
      </c>
      <c r="E129" s="2" t="n">
        <v>3</v>
      </c>
      <c r="F129" s="2" t="n">
        <v>60</v>
      </c>
      <c r="G129" s="2" t="n">
        <v>460</v>
      </c>
      <c r="H129" t="inlineStr">
        <is>
          <t>440-480</t>
        </is>
      </c>
      <c r="I129" s="2" t="n">
        <v>440</v>
      </c>
      <c r="J129" s="2" t="n">
        <v>480</v>
      </c>
      <c r="K129" t="inlineStr">
        <is>
          <t>Wye</t>
        </is>
      </c>
      <c r="L129" s="3" t="n"/>
      <c r="M129" s="3" t="n">
        <v>2.9</v>
      </c>
      <c r="N129" s="3" t="n"/>
      <c r="O129" s="3" t="n"/>
      <c r="P129" s="3">
        <f>IF(L129&lt;&gt;"",L129/1.4,"")</f>
        <v/>
      </c>
      <c r="Q129" s="3">
        <f>IF(L129&lt;&gt;"",L129/1.56,"")</f>
        <v/>
      </c>
      <c r="R129" s="3">
        <f>IF(M129&lt;&gt;"",M129/1.4,"")</f>
        <v/>
      </c>
      <c r="S129" s="3">
        <f>IF(M129&lt;&gt;"",M129/1.56,"")</f>
        <v/>
      </c>
      <c r="T129" s="3">
        <f>IF(N129&lt;&gt;"",N129,IF(O129&lt;&gt;"",O129,IF(L129&lt;&gt;"",L129/1.56,IF(M129&lt;&gt;"",M129/1.56,""))))</f>
        <v/>
      </c>
      <c r="U129" s="3" t="n"/>
      <c r="V129" s="3" t="n"/>
      <c r="W129" s="3" t="n">
        <v>13.8</v>
      </c>
      <c r="X129" s="4" t="n">
        <v>1.9</v>
      </c>
      <c r="Y129" s="5" t="n"/>
      <c r="Z129" s="4">
        <f>IF(L129&lt;&gt;"",SQRT(3)*G129*L129/1000,"")</f>
        <v/>
      </c>
      <c r="AA129" t="inlineStr">
        <is>
          <t>Displacement_CFH=284.4</t>
        </is>
      </c>
      <c r="AB129" t="inlineStr">
        <is>
          <t>Dorin_RLA_230_460_3ph_60Hz.xlsx</t>
        </is>
      </c>
      <c r="AC129" t="inlineStr">
        <is>
          <t>DORIN_H_60Hz_3ph</t>
        </is>
      </c>
    </row>
    <row r="130">
      <c r="A130" t="inlineStr">
        <is>
          <t>DORIN</t>
        </is>
      </c>
      <c r="B130" t="inlineStr">
        <is>
          <t>H151CC</t>
        </is>
      </c>
      <c r="D130" t="inlineStr">
        <is>
          <t>Reciprocating Semi-hermetic</t>
        </is>
      </c>
      <c r="E130" s="2" t="n">
        <v>3</v>
      </c>
      <c r="F130" s="2" t="n">
        <v>60</v>
      </c>
      <c r="G130" s="2" t="n">
        <v>230</v>
      </c>
      <c r="H130" t="inlineStr">
        <is>
          <t>208-230</t>
        </is>
      </c>
      <c r="I130" s="2" t="n">
        <v>208</v>
      </c>
      <c r="J130" s="2" t="n">
        <v>230</v>
      </c>
      <c r="K130" t="inlineStr">
        <is>
          <t>Delta</t>
        </is>
      </c>
      <c r="L130" s="3" t="n"/>
      <c r="M130" s="3" t="n">
        <v>7.1</v>
      </c>
      <c r="N130" s="3" t="n"/>
      <c r="O130" s="3" t="n"/>
      <c r="P130" s="3">
        <f>IF(L130&lt;&gt;"",L130/1.4,"")</f>
        <v/>
      </c>
      <c r="Q130" s="3">
        <f>IF(L130&lt;&gt;"",L130/1.56,"")</f>
        <v/>
      </c>
      <c r="R130" s="3">
        <f>IF(M130&lt;&gt;"",M130/1.4,"")</f>
        <v/>
      </c>
      <c r="S130" s="3">
        <f>IF(M130&lt;&gt;"",M130/1.56,"")</f>
        <v/>
      </c>
      <c r="T130" s="3">
        <f>IF(N130&lt;&gt;"",N130,IF(O130&lt;&gt;"",O130,IF(L130&lt;&gt;"",L130/1.56,IF(M130&lt;&gt;"",M130/1.56,""))))</f>
        <v/>
      </c>
      <c r="U130" s="3" t="n"/>
      <c r="V130" s="3" t="n"/>
      <c r="W130" s="3" t="n">
        <v>32.5</v>
      </c>
      <c r="X130" s="4" t="n">
        <v>2.4</v>
      </c>
      <c r="Y130" s="5" t="n"/>
      <c r="Z130" s="4">
        <f>IF(L130&lt;&gt;"",SQRT(3)*G130*L130/1000,"")</f>
        <v/>
      </c>
      <c r="AA130" t="inlineStr">
        <is>
          <t>Displacement_CFH=284.4</t>
        </is>
      </c>
      <c r="AB130" t="inlineStr">
        <is>
          <t>Dorin_RLA_230_460_3ph_60Hz.xlsx</t>
        </is>
      </c>
      <c r="AC130" t="inlineStr">
        <is>
          <t>DORIN_H_60Hz_3ph</t>
        </is>
      </c>
    </row>
    <row r="131">
      <c r="A131" t="inlineStr">
        <is>
          <t>DORIN</t>
        </is>
      </c>
      <c r="B131" t="inlineStr">
        <is>
          <t>H151CC</t>
        </is>
      </c>
      <c r="D131" t="inlineStr">
        <is>
          <t>Reciprocating Semi-hermetic</t>
        </is>
      </c>
      <c r="E131" s="2" t="n">
        <v>3</v>
      </c>
      <c r="F131" s="2" t="n">
        <v>60</v>
      </c>
      <c r="G131" s="2" t="n">
        <v>460</v>
      </c>
      <c r="H131" t="inlineStr">
        <is>
          <t>440-480</t>
        </is>
      </c>
      <c r="I131" s="2" t="n">
        <v>440</v>
      </c>
      <c r="J131" s="2" t="n">
        <v>480</v>
      </c>
      <c r="K131" t="inlineStr">
        <is>
          <t>Wye</t>
        </is>
      </c>
      <c r="L131" s="3" t="n"/>
      <c r="M131" s="3" t="n">
        <v>3.4</v>
      </c>
      <c r="N131" s="3" t="n"/>
      <c r="O131" s="3" t="n"/>
      <c r="P131" s="3">
        <f>IF(L131&lt;&gt;"",L131/1.4,"")</f>
        <v/>
      </c>
      <c r="Q131" s="3">
        <f>IF(L131&lt;&gt;"",L131/1.56,"")</f>
        <v/>
      </c>
      <c r="R131" s="3">
        <f>IF(M131&lt;&gt;"",M131/1.4,"")</f>
        <v/>
      </c>
      <c r="S131" s="3">
        <f>IF(M131&lt;&gt;"",M131/1.56,"")</f>
        <v/>
      </c>
      <c r="T131" s="3">
        <f>IF(N131&lt;&gt;"",N131,IF(O131&lt;&gt;"",O131,IF(L131&lt;&gt;"",L131/1.56,IF(M131&lt;&gt;"",M131/1.56,""))))</f>
        <v/>
      </c>
      <c r="U131" s="3" t="n"/>
      <c r="V131" s="3" t="n"/>
      <c r="W131" s="3" t="n">
        <v>15.5</v>
      </c>
      <c r="X131" s="4" t="n">
        <v>2.4</v>
      </c>
      <c r="Y131" s="5" t="n"/>
      <c r="Z131" s="4">
        <f>IF(L131&lt;&gt;"",SQRT(3)*G131*L131/1000,"")</f>
        <v/>
      </c>
      <c r="AA131" t="inlineStr">
        <is>
          <t>Displacement_CFH=284.4</t>
        </is>
      </c>
      <c r="AB131" t="inlineStr">
        <is>
          <t>Dorin_RLA_230_460_3ph_60Hz.xlsx</t>
        </is>
      </c>
      <c r="AC131" t="inlineStr">
        <is>
          <t>DORIN_H_60Hz_3ph</t>
        </is>
      </c>
    </row>
    <row r="132">
      <c r="A132" t="inlineStr">
        <is>
          <t>DORIN</t>
        </is>
      </c>
      <c r="B132" t="inlineStr">
        <is>
          <t>H151CS</t>
        </is>
      </c>
      <c r="D132" t="inlineStr">
        <is>
          <t>Reciprocating Semi-hermetic</t>
        </is>
      </c>
      <c r="E132" s="2" t="n">
        <v>3</v>
      </c>
      <c r="F132" s="2" t="n">
        <v>60</v>
      </c>
      <c r="G132" s="2" t="n">
        <v>230</v>
      </c>
      <c r="H132" t="inlineStr">
        <is>
          <t>208-230</t>
        </is>
      </c>
      <c r="I132" s="2" t="n">
        <v>208</v>
      </c>
      <c r="J132" s="2" t="n">
        <v>230</v>
      </c>
      <c r="K132" t="inlineStr">
        <is>
          <t>Delta</t>
        </is>
      </c>
      <c r="L132" s="3" t="n"/>
      <c r="M132" s="3" t="n">
        <v>7.1</v>
      </c>
      <c r="N132" s="3" t="n"/>
      <c r="O132" s="3" t="n"/>
      <c r="P132" s="3">
        <f>IF(L132&lt;&gt;"",L132/1.4,"")</f>
        <v/>
      </c>
      <c r="Q132" s="3">
        <f>IF(L132&lt;&gt;"",L132/1.56,"")</f>
        <v/>
      </c>
      <c r="R132" s="3">
        <f>IF(M132&lt;&gt;"",M132/1.4,"")</f>
        <v/>
      </c>
      <c r="S132" s="3">
        <f>IF(M132&lt;&gt;"",M132/1.56,"")</f>
        <v/>
      </c>
      <c r="T132" s="3">
        <f>IF(N132&lt;&gt;"",N132,IF(O132&lt;&gt;"",O132,IF(L132&lt;&gt;"",L132/1.56,IF(M132&lt;&gt;"",M132/1.56,""))))</f>
        <v/>
      </c>
      <c r="U132" s="3" t="n"/>
      <c r="V132" s="3" t="n"/>
      <c r="W132" s="3" t="n">
        <v>32.5</v>
      </c>
      <c r="X132" s="4" t="n">
        <v>2.4</v>
      </c>
      <c r="Y132" s="5" t="n"/>
      <c r="Z132" s="4">
        <f>IF(L132&lt;&gt;"",SQRT(3)*G132*L132/1000,"")</f>
        <v/>
      </c>
      <c r="AA132" t="inlineStr">
        <is>
          <t>Displacement_CFH=317.8</t>
        </is>
      </c>
      <c r="AB132" t="inlineStr">
        <is>
          <t>Dorin_RLA_230_460_3ph_60Hz.xlsx</t>
        </is>
      </c>
      <c r="AC132" t="inlineStr">
        <is>
          <t>DORIN_H_60Hz_3ph</t>
        </is>
      </c>
    </row>
    <row r="133">
      <c r="A133" t="inlineStr">
        <is>
          <t>DORIN</t>
        </is>
      </c>
      <c r="B133" t="inlineStr">
        <is>
          <t>H151CS</t>
        </is>
      </c>
      <c r="D133" t="inlineStr">
        <is>
          <t>Reciprocating Semi-hermetic</t>
        </is>
      </c>
      <c r="E133" s="2" t="n">
        <v>3</v>
      </c>
      <c r="F133" s="2" t="n">
        <v>60</v>
      </c>
      <c r="G133" s="2" t="n">
        <v>460</v>
      </c>
      <c r="H133" t="inlineStr">
        <is>
          <t>440-480</t>
        </is>
      </c>
      <c r="I133" s="2" t="n">
        <v>440</v>
      </c>
      <c r="J133" s="2" t="n">
        <v>480</v>
      </c>
      <c r="K133" t="inlineStr">
        <is>
          <t>Wye</t>
        </is>
      </c>
      <c r="L133" s="3" t="n"/>
      <c r="M133" s="3" t="n">
        <v>3.4</v>
      </c>
      <c r="N133" s="3" t="n"/>
      <c r="O133" s="3" t="n"/>
      <c r="P133" s="3">
        <f>IF(L133&lt;&gt;"",L133/1.4,"")</f>
        <v/>
      </c>
      <c r="Q133" s="3">
        <f>IF(L133&lt;&gt;"",L133/1.56,"")</f>
        <v/>
      </c>
      <c r="R133" s="3">
        <f>IF(M133&lt;&gt;"",M133/1.4,"")</f>
        <v/>
      </c>
      <c r="S133" s="3">
        <f>IF(M133&lt;&gt;"",M133/1.56,"")</f>
        <v/>
      </c>
      <c r="T133" s="3">
        <f>IF(N133&lt;&gt;"",N133,IF(O133&lt;&gt;"",O133,IF(L133&lt;&gt;"",L133/1.56,IF(M133&lt;&gt;"",M133/1.56,""))))</f>
        <v/>
      </c>
      <c r="U133" s="3" t="n"/>
      <c r="V133" s="3" t="n"/>
      <c r="W133" s="3" t="n">
        <v>15.5</v>
      </c>
      <c r="X133" s="4" t="n">
        <v>2.4</v>
      </c>
      <c r="Y133" s="5" t="n"/>
      <c r="Z133" s="4">
        <f>IF(L133&lt;&gt;"",SQRT(3)*G133*L133/1000,"")</f>
        <v/>
      </c>
      <c r="AA133" t="inlineStr">
        <is>
          <t>Displacement_CFH=317.8</t>
        </is>
      </c>
      <c r="AB133" t="inlineStr">
        <is>
          <t>Dorin_RLA_230_460_3ph_60Hz.xlsx</t>
        </is>
      </c>
      <c r="AC133" t="inlineStr">
        <is>
          <t>DORIN_H_60Hz_3ph</t>
        </is>
      </c>
    </row>
    <row r="134">
      <c r="A134" t="inlineStr">
        <is>
          <t>DORIN</t>
        </is>
      </c>
      <c r="B134" t="inlineStr">
        <is>
          <t>H181CC</t>
        </is>
      </c>
      <c r="D134" t="inlineStr">
        <is>
          <t>Reciprocating Semi-hermetic</t>
        </is>
      </c>
      <c r="E134" s="2" t="n">
        <v>3</v>
      </c>
      <c r="F134" s="2" t="n">
        <v>60</v>
      </c>
      <c r="G134" s="2" t="n">
        <v>230</v>
      </c>
      <c r="H134" t="inlineStr">
        <is>
          <t>208-230</t>
        </is>
      </c>
      <c r="I134" s="2" t="n">
        <v>208</v>
      </c>
      <c r="J134" s="2" t="n">
        <v>230</v>
      </c>
      <c r="K134" t="inlineStr">
        <is>
          <t>Delta</t>
        </is>
      </c>
      <c r="L134" s="3" t="n"/>
      <c r="M134" s="3" t="n">
        <v>9.1</v>
      </c>
      <c r="N134" s="3" t="n"/>
      <c r="O134" s="3" t="n"/>
      <c r="P134" s="3">
        <f>IF(L134&lt;&gt;"",L134/1.4,"")</f>
        <v/>
      </c>
      <c r="Q134" s="3">
        <f>IF(L134&lt;&gt;"",L134/1.56,"")</f>
        <v/>
      </c>
      <c r="R134" s="3">
        <f>IF(M134&lt;&gt;"",M134/1.4,"")</f>
        <v/>
      </c>
      <c r="S134" s="3">
        <f>IF(M134&lt;&gt;"",M134/1.56,"")</f>
        <v/>
      </c>
      <c r="T134" s="3">
        <f>IF(N134&lt;&gt;"",N134,IF(O134&lt;&gt;"",O134,IF(L134&lt;&gt;"",L134/1.56,IF(M134&lt;&gt;"",M134/1.56,""))))</f>
        <v/>
      </c>
      <c r="U134" s="3" t="n"/>
      <c r="V134" s="3" t="n"/>
      <c r="W134" s="3" t="n">
        <v>41.5</v>
      </c>
      <c r="X134" s="4" t="n">
        <v>3.2</v>
      </c>
      <c r="Y134" s="5" t="n"/>
      <c r="Z134" s="4">
        <f>IF(L134&lt;&gt;"",SQRT(3)*G134*L134/1000,"")</f>
        <v/>
      </c>
      <c r="AA134" t="inlineStr">
        <is>
          <t>Displacement_CFH=317.8</t>
        </is>
      </c>
      <c r="AB134" t="inlineStr">
        <is>
          <t>Dorin_RLA_230_460_3ph_60Hz.xlsx</t>
        </is>
      </c>
      <c r="AC134" t="inlineStr">
        <is>
          <t>DORIN_H_60Hz_3ph</t>
        </is>
      </c>
    </row>
    <row r="135">
      <c r="A135" t="inlineStr">
        <is>
          <t>DORIN</t>
        </is>
      </c>
      <c r="B135" t="inlineStr">
        <is>
          <t>H181CC</t>
        </is>
      </c>
      <c r="D135" t="inlineStr">
        <is>
          <t>Reciprocating Semi-hermetic</t>
        </is>
      </c>
      <c r="E135" s="2" t="n">
        <v>3</v>
      </c>
      <c r="F135" s="2" t="n">
        <v>60</v>
      </c>
      <c r="G135" s="2" t="n">
        <v>460</v>
      </c>
      <c r="H135" t="inlineStr">
        <is>
          <t>440-480</t>
        </is>
      </c>
      <c r="I135" s="2" t="n">
        <v>440</v>
      </c>
      <c r="J135" s="2" t="n">
        <v>480</v>
      </c>
      <c r="K135" t="inlineStr">
        <is>
          <t>Wye</t>
        </is>
      </c>
      <c r="L135" s="3" t="n"/>
      <c r="M135" s="3" t="n">
        <v>4.4</v>
      </c>
      <c r="N135" s="3" t="n"/>
      <c r="O135" s="3" t="n"/>
      <c r="P135" s="3">
        <f>IF(L135&lt;&gt;"",L135/1.4,"")</f>
        <v/>
      </c>
      <c r="Q135" s="3">
        <f>IF(L135&lt;&gt;"",L135/1.56,"")</f>
        <v/>
      </c>
      <c r="R135" s="3">
        <f>IF(M135&lt;&gt;"",M135/1.4,"")</f>
        <v/>
      </c>
      <c r="S135" s="3">
        <f>IF(M135&lt;&gt;"",M135/1.56,"")</f>
        <v/>
      </c>
      <c r="T135" s="3">
        <f>IF(N135&lt;&gt;"",N135,IF(O135&lt;&gt;"",O135,IF(L135&lt;&gt;"",L135/1.56,IF(M135&lt;&gt;"",M135/1.56,""))))</f>
        <v/>
      </c>
      <c r="U135" s="3" t="n"/>
      <c r="V135" s="3" t="n"/>
      <c r="W135" s="3" t="n">
        <v>20</v>
      </c>
      <c r="X135" s="4" t="n">
        <v>3.2</v>
      </c>
      <c r="Y135" s="5" t="n"/>
      <c r="Z135" s="4">
        <f>IF(L135&lt;&gt;"",SQRT(3)*G135*L135/1000,"")</f>
        <v/>
      </c>
      <c r="AA135" t="inlineStr">
        <is>
          <t>Displacement_CFH=317.8</t>
        </is>
      </c>
      <c r="AB135" t="inlineStr">
        <is>
          <t>Dorin_RLA_230_460_3ph_60Hz.xlsx</t>
        </is>
      </c>
      <c r="AC135" t="inlineStr">
        <is>
          <t>DORIN_H_60Hz_3ph</t>
        </is>
      </c>
    </row>
    <row r="136">
      <c r="A136" t="inlineStr">
        <is>
          <t>DORIN</t>
        </is>
      </c>
      <c r="B136" t="inlineStr">
        <is>
          <t>H181CS</t>
        </is>
      </c>
      <c r="D136" t="inlineStr">
        <is>
          <t>Reciprocating Semi-hermetic</t>
        </is>
      </c>
      <c r="E136" s="2" t="n">
        <v>3</v>
      </c>
      <c r="F136" s="2" t="n">
        <v>60</v>
      </c>
      <c r="G136" s="2" t="n">
        <v>230</v>
      </c>
      <c r="H136" t="inlineStr">
        <is>
          <t>208-230</t>
        </is>
      </c>
      <c r="I136" s="2" t="n">
        <v>208</v>
      </c>
      <c r="J136" s="2" t="n">
        <v>230</v>
      </c>
      <c r="K136" t="inlineStr">
        <is>
          <t>Delta</t>
        </is>
      </c>
      <c r="L136" s="3" t="n"/>
      <c r="M136" s="3" t="n">
        <v>9.1</v>
      </c>
      <c r="N136" s="3" t="n"/>
      <c r="O136" s="3" t="n"/>
      <c r="P136" s="3">
        <f>IF(L136&lt;&gt;"",L136/1.4,"")</f>
        <v/>
      </c>
      <c r="Q136" s="3">
        <f>IF(L136&lt;&gt;"",L136/1.56,"")</f>
        <v/>
      </c>
      <c r="R136" s="3">
        <f>IF(M136&lt;&gt;"",M136/1.4,"")</f>
        <v/>
      </c>
      <c r="S136" s="3">
        <f>IF(M136&lt;&gt;"",M136/1.56,"")</f>
        <v/>
      </c>
      <c r="T136" s="3">
        <f>IF(N136&lt;&gt;"",N136,IF(O136&lt;&gt;"",O136,IF(L136&lt;&gt;"",L136/1.56,IF(M136&lt;&gt;"",M136/1.56,""))))</f>
        <v/>
      </c>
      <c r="U136" s="3" t="n"/>
      <c r="V136" s="3" t="n"/>
      <c r="W136" s="3" t="n">
        <v>41.5</v>
      </c>
      <c r="X136" s="4" t="n">
        <v>3.2</v>
      </c>
      <c r="Y136" s="5" t="n"/>
      <c r="Z136" s="4">
        <f>IF(L136&lt;&gt;"",SQRT(3)*G136*L136/1000,"")</f>
        <v/>
      </c>
      <c r="AA136" t="inlineStr">
        <is>
          <t>Displacement_CFH=388.2</t>
        </is>
      </c>
      <c r="AB136" t="inlineStr">
        <is>
          <t>Dorin_RLA_230_460_3ph_60Hz.xlsx</t>
        </is>
      </c>
      <c r="AC136" t="inlineStr">
        <is>
          <t>DORIN_H_60Hz_3ph</t>
        </is>
      </c>
    </row>
    <row r="137">
      <c r="A137" t="inlineStr">
        <is>
          <t>DORIN</t>
        </is>
      </c>
      <c r="B137" t="inlineStr">
        <is>
          <t>H181CS</t>
        </is>
      </c>
      <c r="D137" t="inlineStr">
        <is>
          <t>Reciprocating Semi-hermetic</t>
        </is>
      </c>
      <c r="E137" s="2" t="n">
        <v>3</v>
      </c>
      <c r="F137" s="2" t="n">
        <v>60</v>
      </c>
      <c r="G137" s="2" t="n">
        <v>460</v>
      </c>
      <c r="H137" t="inlineStr">
        <is>
          <t>440-480</t>
        </is>
      </c>
      <c r="I137" s="2" t="n">
        <v>440</v>
      </c>
      <c r="J137" s="2" t="n">
        <v>480</v>
      </c>
      <c r="K137" t="inlineStr">
        <is>
          <t>Wye</t>
        </is>
      </c>
      <c r="L137" s="3" t="n"/>
      <c r="M137" s="3" t="n">
        <v>4.4</v>
      </c>
      <c r="N137" s="3" t="n"/>
      <c r="O137" s="3" t="n"/>
      <c r="P137" s="3">
        <f>IF(L137&lt;&gt;"",L137/1.4,"")</f>
        <v/>
      </c>
      <c r="Q137" s="3">
        <f>IF(L137&lt;&gt;"",L137/1.56,"")</f>
        <v/>
      </c>
      <c r="R137" s="3">
        <f>IF(M137&lt;&gt;"",M137/1.4,"")</f>
        <v/>
      </c>
      <c r="S137" s="3">
        <f>IF(M137&lt;&gt;"",M137/1.56,"")</f>
        <v/>
      </c>
      <c r="T137" s="3">
        <f>IF(N137&lt;&gt;"",N137,IF(O137&lt;&gt;"",O137,IF(L137&lt;&gt;"",L137/1.56,IF(M137&lt;&gt;"",M137/1.56,""))))</f>
        <v/>
      </c>
      <c r="U137" s="3" t="n"/>
      <c r="V137" s="3" t="n"/>
      <c r="W137" s="3" t="n">
        <v>20</v>
      </c>
      <c r="X137" s="4" t="n">
        <v>3.2</v>
      </c>
      <c r="Y137" s="5" t="n"/>
      <c r="Z137" s="4">
        <f>IF(L137&lt;&gt;"",SQRT(3)*G137*L137/1000,"")</f>
        <v/>
      </c>
      <c r="AA137" t="inlineStr">
        <is>
          <t>Displacement_CFH=388.2</t>
        </is>
      </c>
      <c r="AB137" t="inlineStr">
        <is>
          <t>Dorin_RLA_230_460_3ph_60Hz.xlsx</t>
        </is>
      </c>
      <c r="AC137" t="inlineStr">
        <is>
          <t>DORIN_H_60Hz_3ph</t>
        </is>
      </c>
    </row>
    <row r="138">
      <c r="A138" t="inlineStr">
        <is>
          <t>DORIN</t>
        </is>
      </c>
      <c r="B138" t="inlineStr">
        <is>
          <t>H201CC</t>
        </is>
      </c>
      <c r="D138" t="inlineStr">
        <is>
          <t>Reciprocating Semi-hermetic</t>
        </is>
      </c>
      <c r="E138" s="2" t="n">
        <v>3</v>
      </c>
      <c r="F138" s="2" t="n">
        <v>60</v>
      </c>
      <c r="G138" s="2" t="n">
        <v>230</v>
      </c>
      <c r="H138" t="inlineStr">
        <is>
          <t>208-230</t>
        </is>
      </c>
      <c r="I138" s="2" t="n">
        <v>208</v>
      </c>
      <c r="J138" s="2" t="n">
        <v>230</v>
      </c>
      <c r="K138" t="inlineStr">
        <is>
          <t>Delta</t>
        </is>
      </c>
      <c r="L138" s="3" t="n"/>
      <c r="M138" s="3" t="n">
        <v>12.5</v>
      </c>
      <c r="N138" s="3" t="n"/>
      <c r="O138" s="3" t="n"/>
      <c r="P138" s="3">
        <f>IF(L138&lt;&gt;"",L138/1.4,"")</f>
        <v/>
      </c>
      <c r="Q138" s="3">
        <f>IF(L138&lt;&gt;"",L138/1.56,"")</f>
        <v/>
      </c>
      <c r="R138" s="3">
        <f>IF(M138&lt;&gt;"",M138/1.4,"")</f>
        <v/>
      </c>
      <c r="S138" s="3">
        <f>IF(M138&lt;&gt;"",M138/1.56,"")</f>
        <v/>
      </c>
      <c r="T138" s="3">
        <f>IF(N138&lt;&gt;"",N138,IF(O138&lt;&gt;"",O138,IF(L138&lt;&gt;"",L138/1.56,IF(M138&lt;&gt;"",M138/1.56,""))))</f>
        <v/>
      </c>
      <c r="U138" s="3" t="n"/>
      <c r="V138" s="3" t="n"/>
      <c r="W138" s="3" t="n">
        <v>50.6</v>
      </c>
      <c r="X138" s="4" t="n">
        <v>4.4</v>
      </c>
      <c r="Y138" s="5" t="n"/>
      <c r="Z138" s="4">
        <f>IF(L138&lt;&gt;"",SQRT(3)*G138*L138/1000,"")</f>
        <v/>
      </c>
      <c r="AA138" t="inlineStr">
        <is>
          <t>Displacement_CFH=388.2</t>
        </is>
      </c>
      <c r="AB138" t="inlineStr">
        <is>
          <t>Dorin_RLA_230_460_3ph_60Hz.xlsx</t>
        </is>
      </c>
      <c r="AC138" t="inlineStr">
        <is>
          <t>DORIN_H_60Hz_3ph</t>
        </is>
      </c>
    </row>
    <row r="139">
      <c r="A139" t="inlineStr">
        <is>
          <t>DORIN</t>
        </is>
      </c>
      <c r="B139" t="inlineStr">
        <is>
          <t>H201CC</t>
        </is>
      </c>
      <c r="D139" t="inlineStr">
        <is>
          <t>Reciprocating Semi-hermetic</t>
        </is>
      </c>
      <c r="E139" s="2" t="n">
        <v>3</v>
      </c>
      <c r="F139" s="2" t="n">
        <v>60</v>
      </c>
      <c r="G139" s="2" t="n">
        <v>460</v>
      </c>
      <c r="H139" t="inlineStr">
        <is>
          <t>440-480</t>
        </is>
      </c>
      <c r="I139" s="2" t="n">
        <v>440</v>
      </c>
      <c r="J139" s="2" t="n">
        <v>480</v>
      </c>
      <c r="K139" t="inlineStr">
        <is>
          <t>Wye</t>
        </is>
      </c>
      <c r="L139" s="3" t="n"/>
      <c r="M139" s="3" t="n">
        <v>6</v>
      </c>
      <c r="N139" s="3" t="n"/>
      <c r="O139" s="3" t="n"/>
      <c r="P139" s="3">
        <f>IF(L139&lt;&gt;"",L139/1.4,"")</f>
        <v/>
      </c>
      <c r="Q139" s="3">
        <f>IF(L139&lt;&gt;"",L139/1.56,"")</f>
        <v/>
      </c>
      <c r="R139" s="3">
        <f>IF(M139&lt;&gt;"",M139/1.4,"")</f>
        <v/>
      </c>
      <c r="S139" s="3">
        <f>IF(M139&lt;&gt;"",M139/1.56,"")</f>
        <v/>
      </c>
      <c r="T139" s="3">
        <f>IF(N139&lt;&gt;"",N139,IF(O139&lt;&gt;"",O139,IF(L139&lt;&gt;"",L139/1.56,IF(M139&lt;&gt;"",M139/1.56,""))))</f>
        <v/>
      </c>
      <c r="U139" s="3" t="n"/>
      <c r="V139" s="3" t="n"/>
      <c r="W139" s="3" t="n">
        <v>24.5</v>
      </c>
      <c r="X139" s="4" t="n">
        <v>4.4</v>
      </c>
      <c r="Y139" s="5" t="n"/>
      <c r="Z139" s="4">
        <f>IF(L139&lt;&gt;"",SQRT(3)*G139*L139/1000,"")</f>
        <v/>
      </c>
      <c r="AA139" t="inlineStr">
        <is>
          <t>Displacement_CFH=388.2</t>
        </is>
      </c>
      <c r="AB139" t="inlineStr">
        <is>
          <t>Dorin_RLA_230_460_3ph_60Hz.xlsx</t>
        </is>
      </c>
      <c r="AC139" t="inlineStr">
        <is>
          <t>DORIN_H_60Hz_3ph</t>
        </is>
      </c>
    </row>
    <row r="140">
      <c r="A140" t="inlineStr">
        <is>
          <t>DORIN</t>
        </is>
      </c>
      <c r="B140" t="inlineStr">
        <is>
          <t>H201CS</t>
        </is>
      </c>
      <c r="D140" t="inlineStr">
        <is>
          <t>Reciprocating Semi-hermetic</t>
        </is>
      </c>
      <c r="E140" s="2" t="n">
        <v>3</v>
      </c>
      <c r="F140" s="2" t="n">
        <v>60</v>
      </c>
      <c r="G140" s="2" t="n">
        <v>230</v>
      </c>
      <c r="H140" t="inlineStr">
        <is>
          <t>208-230</t>
        </is>
      </c>
      <c r="I140" s="2" t="n">
        <v>208</v>
      </c>
      <c r="J140" s="2" t="n">
        <v>230</v>
      </c>
      <c r="K140" t="inlineStr">
        <is>
          <t>Delta</t>
        </is>
      </c>
      <c r="L140" s="3" t="n"/>
      <c r="M140" s="3" t="n">
        <v>9.1</v>
      </c>
      <c r="N140" s="3" t="n"/>
      <c r="O140" s="3" t="n"/>
      <c r="P140" s="3">
        <f>IF(L140&lt;&gt;"",L140/1.4,"")</f>
        <v/>
      </c>
      <c r="Q140" s="3">
        <f>IF(L140&lt;&gt;"",L140/1.56,"")</f>
        <v/>
      </c>
      <c r="R140" s="3">
        <f>IF(M140&lt;&gt;"",M140/1.4,"")</f>
        <v/>
      </c>
      <c r="S140" s="3">
        <f>IF(M140&lt;&gt;"",M140/1.56,"")</f>
        <v/>
      </c>
      <c r="T140" s="3">
        <f>IF(N140&lt;&gt;"",N140,IF(O140&lt;&gt;"",O140,IF(L140&lt;&gt;"",L140/1.56,IF(M140&lt;&gt;"",M140/1.56,""))))</f>
        <v/>
      </c>
      <c r="U140" s="3" t="n"/>
      <c r="V140" s="3" t="n"/>
      <c r="W140" s="3" t="n">
        <v>41.5</v>
      </c>
      <c r="X140" s="4" t="n">
        <v>3.2</v>
      </c>
      <c r="Y140" s="5" t="n"/>
      <c r="Z140" s="4">
        <f>IF(L140&lt;&gt;"",SQRT(3)*G140*L140/1000,"")</f>
        <v/>
      </c>
      <c r="AA140" t="inlineStr">
        <is>
          <t>Displacement_CFH=418.7</t>
        </is>
      </c>
      <c r="AB140" t="inlineStr">
        <is>
          <t>Dorin_RLA_230_460_3ph_60Hz.xlsx</t>
        </is>
      </c>
      <c r="AC140" t="inlineStr">
        <is>
          <t>DORIN_H_60Hz_3ph</t>
        </is>
      </c>
    </row>
    <row r="141">
      <c r="A141" t="inlineStr">
        <is>
          <t>DORIN</t>
        </is>
      </c>
      <c r="B141" t="inlineStr">
        <is>
          <t>H201CS</t>
        </is>
      </c>
      <c r="D141" t="inlineStr">
        <is>
          <t>Reciprocating Semi-hermetic</t>
        </is>
      </c>
      <c r="E141" s="2" t="n">
        <v>3</v>
      </c>
      <c r="F141" s="2" t="n">
        <v>60</v>
      </c>
      <c r="G141" s="2" t="n">
        <v>460</v>
      </c>
      <c r="H141" t="inlineStr">
        <is>
          <t>440-480</t>
        </is>
      </c>
      <c r="I141" s="2" t="n">
        <v>440</v>
      </c>
      <c r="J141" s="2" t="n">
        <v>480</v>
      </c>
      <c r="K141" t="inlineStr">
        <is>
          <t>Wye</t>
        </is>
      </c>
      <c r="L141" s="3" t="n"/>
      <c r="M141" s="3" t="n">
        <v>4.4</v>
      </c>
      <c r="N141" s="3" t="n"/>
      <c r="O141" s="3" t="n"/>
      <c r="P141" s="3">
        <f>IF(L141&lt;&gt;"",L141/1.4,"")</f>
        <v/>
      </c>
      <c r="Q141" s="3">
        <f>IF(L141&lt;&gt;"",L141/1.56,"")</f>
        <v/>
      </c>
      <c r="R141" s="3">
        <f>IF(M141&lt;&gt;"",M141/1.4,"")</f>
        <v/>
      </c>
      <c r="S141" s="3">
        <f>IF(M141&lt;&gt;"",M141/1.56,"")</f>
        <v/>
      </c>
      <c r="T141" s="3">
        <f>IF(N141&lt;&gt;"",N141,IF(O141&lt;&gt;"",O141,IF(L141&lt;&gt;"",L141/1.56,IF(M141&lt;&gt;"",M141/1.56,""))))</f>
        <v/>
      </c>
      <c r="U141" s="3" t="n"/>
      <c r="V141" s="3" t="n"/>
      <c r="W141" s="3" t="n">
        <v>20</v>
      </c>
      <c r="X141" s="4" t="n">
        <v>3.2</v>
      </c>
      <c r="Y141" s="5" t="n"/>
      <c r="Z141" s="4">
        <f>IF(L141&lt;&gt;"",SQRT(3)*G141*L141/1000,"")</f>
        <v/>
      </c>
      <c r="AA141" t="inlineStr">
        <is>
          <t>Displacement_CFH=418.7</t>
        </is>
      </c>
      <c r="AB141" t="inlineStr">
        <is>
          <t>Dorin_RLA_230_460_3ph_60Hz.xlsx</t>
        </is>
      </c>
      <c r="AC141" t="inlineStr">
        <is>
          <t>DORIN_H_60Hz_3ph</t>
        </is>
      </c>
    </row>
    <row r="142">
      <c r="A142" t="inlineStr">
        <is>
          <t>DORIN</t>
        </is>
      </c>
      <c r="B142" t="inlineStr">
        <is>
          <t>H221CC</t>
        </is>
      </c>
      <c r="D142" t="inlineStr">
        <is>
          <t>Reciprocating Semi-hermetic</t>
        </is>
      </c>
      <c r="E142" s="2" t="n">
        <v>3</v>
      </c>
      <c r="F142" s="2" t="n">
        <v>60</v>
      </c>
      <c r="G142" s="2" t="n">
        <v>230</v>
      </c>
      <c r="H142" t="inlineStr">
        <is>
          <t>208-230</t>
        </is>
      </c>
      <c r="I142" s="2" t="n">
        <v>208</v>
      </c>
      <c r="J142" s="2" t="n">
        <v>230</v>
      </c>
      <c r="K142" t="inlineStr">
        <is>
          <t>Delta</t>
        </is>
      </c>
      <c r="L142" s="3" t="n"/>
      <c r="M142" s="3" t="n">
        <v>12.5</v>
      </c>
      <c r="N142" s="3" t="n"/>
      <c r="O142" s="3" t="n"/>
      <c r="P142" s="3">
        <f>IF(L142&lt;&gt;"",L142/1.4,"")</f>
        <v/>
      </c>
      <c r="Q142" s="3">
        <f>IF(L142&lt;&gt;"",L142/1.56,"")</f>
        <v/>
      </c>
      <c r="R142" s="3">
        <f>IF(M142&lt;&gt;"",M142/1.4,"")</f>
        <v/>
      </c>
      <c r="S142" s="3">
        <f>IF(M142&lt;&gt;"",M142/1.56,"")</f>
        <v/>
      </c>
      <c r="T142" s="3">
        <f>IF(N142&lt;&gt;"",N142,IF(O142&lt;&gt;"",O142,IF(L142&lt;&gt;"",L142/1.56,IF(M142&lt;&gt;"",M142/1.56,""))))</f>
        <v/>
      </c>
      <c r="U142" s="3" t="n"/>
      <c r="V142" s="3" t="n"/>
      <c r="W142" s="3" t="n">
        <v>50.6</v>
      </c>
      <c r="X142" s="4" t="n">
        <v>4.4</v>
      </c>
      <c r="Y142" s="5" t="n"/>
      <c r="Z142" s="4">
        <f>IF(L142&lt;&gt;"",SQRT(3)*G142*L142/1000,"")</f>
        <v/>
      </c>
      <c r="AA142" t="inlineStr">
        <is>
          <t>Displacement_CFH=418.7</t>
        </is>
      </c>
      <c r="AB142" t="inlineStr">
        <is>
          <t>Dorin_RLA_230_460_3ph_60Hz.xlsx</t>
        </is>
      </c>
      <c r="AC142" t="inlineStr">
        <is>
          <t>DORIN_H_60Hz_3ph</t>
        </is>
      </c>
    </row>
    <row r="143">
      <c r="A143" t="inlineStr">
        <is>
          <t>DORIN</t>
        </is>
      </c>
      <c r="B143" t="inlineStr">
        <is>
          <t>H221CC</t>
        </is>
      </c>
      <c r="D143" t="inlineStr">
        <is>
          <t>Reciprocating Semi-hermetic</t>
        </is>
      </c>
      <c r="E143" s="2" t="n">
        <v>3</v>
      </c>
      <c r="F143" s="2" t="n">
        <v>60</v>
      </c>
      <c r="G143" s="2" t="n">
        <v>460</v>
      </c>
      <c r="H143" t="inlineStr">
        <is>
          <t>440-480</t>
        </is>
      </c>
      <c r="I143" s="2" t="n">
        <v>440</v>
      </c>
      <c r="J143" s="2" t="n">
        <v>480</v>
      </c>
      <c r="K143" t="inlineStr">
        <is>
          <t>Wye</t>
        </is>
      </c>
      <c r="L143" s="3" t="n"/>
      <c r="M143" s="3" t="n">
        <v>6</v>
      </c>
      <c r="N143" s="3" t="n"/>
      <c r="O143" s="3" t="n"/>
      <c r="P143" s="3">
        <f>IF(L143&lt;&gt;"",L143/1.4,"")</f>
        <v/>
      </c>
      <c r="Q143" s="3">
        <f>IF(L143&lt;&gt;"",L143/1.56,"")</f>
        <v/>
      </c>
      <c r="R143" s="3">
        <f>IF(M143&lt;&gt;"",M143/1.4,"")</f>
        <v/>
      </c>
      <c r="S143" s="3">
        <f>IF(M143&lt;&gt;"",M143/1.56,"")</f>
        <v/>
      </c>
      <c r="T143" s="3">
        <f>IF(N143&lt;&gt;"",N143,IF(O143&lt;&gt;"",O143,IF(L143&lt;&gt;"",L143/1.56,IF(M143&lt;&gt;"",M143/1.56,""))))</f>
        <v/>
      </c>
      <c r="U143" s="3" t="n"/>
      <c r="V143" s="3" t="n"/>
      <c r="W143" s="3" t="n">
        <v>24.5</v>
      </c>
      <c r="X143" s="4" t="n">
        <v>4.4</v>
      </c>
      <c r="Y143" s="5" t="n"/>
      <c r="Z143" s="4">
        <f>IF(L143&lt;&gt;"",SQRT(3)*G143*L143/1000,"")</f>
        <v/>
      </c>
      <c r="AA143" t="inlineStr">
        <is>
          <t>Displacement_CFH=418.7</t>
        </is>
      </c>
      <c r="AB143" t="inlineStr">
        <is>
          <t>Dorin_RLA_230_460_3ph_60Hz.xlsx</t>
        </is>
      </c>
      <c r="AC143" t="inlineStr">
        <is>
          <t>DORIN_H_60Hz_3ph</t>
        </is>
      </c>
    </row>
    <row r="144">
      <c r="A144" t="inlineStr">
        <is>
          <t>DORIN</t>
        </is>
      </c>
      <c r="B144" t="inlineStr">
        <is>
          <t>H221CS</t>
        </is>
      </c>
      <c r="D144" t="inlineStr">
        <is>
          <t>Reciprocating Semi-hermetic</t>
        </is>
      </c>
      <c r="E144" s="2" t="n">
        <v>3</v>
      </c>
      <c r="F144" s="2" t="n">
        <v>60</v>
      </c>
      <c r="G144" s="2" t="n">
        <v>230</v>
      </c>
      <c r="H144" t="inlineStr">
        <is>
          <t>208-230</t>
        </is>
      </c>
      <c r="I144" s="2" t="n">
        <v>208</v>
      </c>
      <c r="J144" s="2" t="n">
        <v>230</v>
      </c>
      <c r="K144" t="inlineStr">
        <is>
          <t>Delta</t>
        </is>
      </c>
      <c r="L144" s="3" t="n"/>
      <c r="M144" s="3" t="n">
        <v>12.5</v>
      </c>
      <c r="N144" s="3" t="n"/>
      <c r="O144" s="3" t="n"/>
      <c r="P144" s="3">
        <f>IF(L144&lt;&gt;"",L144/1.4,"")</f>
        <v/>
      </c>
      <c r="Q144" s="3">
        <f>IF(L144&lt;&gt;"",L144/1.56,"")</f>
        <v/>
      </c>
      <c r="R144" s="3">
        <f>IF(M144&lt;&gt;"",M144/1.4,"")</f>
        <v/>
      </c>
      <c r="S144" s="3">
        <f>IF(M144&lt;&gt;"",M144/1.56,"")</f>
        <v/>
      </c>
      <c r="T144" s="3">
        <f>IF(N144&lt;&gt;"",N144,IF(O144&lt;&gt;"",O144,IF(L144&lt;&gt;"",L144/1.56,IF(M144&lt;&gt;"",M144/1.56,""))))</f>
        <v/>
      </c>
      <c r="U144" s="3" t="n"/>
      <c r="V144" s="3" t="n"/>
      <c r="W144" s="3" t="n">
        <v>50.6</v>
      </c>
      <c r="X144" s="4" t="n">
        <v>4.4</v>
      </c>
      <c r="Y144" s="5" t="n"/>
      <c r="Z144" s="4">
        <f>IF(L144&lt;&gt;"",SQRT(3)*G144*L144/1000,"")</f>
        <v/>
      </c>
      <c r="AA144" t="inlineStr">
        <is>
          <t>Displacement_CFH=449.6</t>
        </is>
      </c>
      <c r="AB144" t="inlineStr">
        <is>
          <t>Dorin_RLA_230_460_3ph_60Hz.xlsx</t>
        </is>
      </c>
      <c r="AC144" t="inlineStr">
        <is>
          <t>DORIN_H_60Hz_3ph</t>
        </is>
      </c>
    </row>
    <row r="145">
      <c r="A145" t="inlineStr">
        <is>
          <t>DORIN</t>
        </is>
      </c>
      <c r="B145" t="inlineStr">
        <is>
          <t>H221CS</t>
        </is>
      </c>
      <c r="D145" t="inlineStr">
        <is>
          <t>Reciprocating Semi-hermetic</t>
        </is>
      </c>
      <c r="E145" s="2" t="n">
        <v>3</v>
      </c>
      <c r="F145" s="2" t="n">
        <v>60</v>
      </c>
      <c r="G145" s="2" t="n">
        <v>460</v>
      </c>
      <c r="H145" t="inlineStr">
        <is>
          <t>440-480</t>
        </is>
      </c>
      <c r="I145" s="2" t="n">
        <v>440</v>
      </c>
      <c r="J145" s="2" t="n">
        <v>480</v>
      </c>
      <c r="K145" t="inlineStr">
        <is>
          <t>Wye</t>
        </is>
      </c>
      <c r="L145" s="3" t="n"/>
      <c r="M145" s="3" t="n">
        <v>6</v>
      </c>
      <c r="N145" s="3" t="n"/>
      <c r="O145" s="3" t="n"/>
      <c r="P145" s="3">
        <f>IF(L145&lt;&gt;"",L145/1.4,"")</f>
        <v/>
      </c>
      <c r="Q145" s="3">
        <f>IF(L145&lt;&gt;"",L145/1.56,"")</f>
        <v/>
      </c>
      <c r="R145" s="3">
        <f>IF(M145&lt;&gt;"",M145/1.4,"")</f>
        <v/>
      </c>
      <c r="S145" s="3">
        <f>IF(M145&lt;&gt;"",M145/1.56,"")</f>
        <v/>
      </c>
      <c r="T145" s="3">
        <f>IF(N145&lt;&gt;"",N145,IF(O145&lt;&gt;"",O145,IF(L145&lt;&gt;"",L145/1.56,IF(M145&lt;&gt;"",M145/1.56,""))))</f>
        <v/>
      </c>
      <c r="U145" s="3" t="n"/>
      <c r="V145" s="3" t="n"/>
      <c r="W145" s="3" t="n">
        <v>24.5</v>
      </c>
      <c r="X145" s="4" t="n">
        <v>4.4</v>
      </c>
      <c r="Y145" s="5" t="n"/>
      <c r="Z145" s="4">
        <f>IF(L145&lt;&gt;"",SQRT(3)*G145*L145/1000,"")</f>
        <v/>
      </c>
      <c r="AA145" t="inlineStr">
        <is>
          <t>Displacement_CFH=449.6</t>
        </is>
      </c>
      <c r="AB145" t="inlineStr">
        <is>
          <t>Dorin_RLA_230_460_3ph_60Hz.xlsx</t>
        </is>
      </c>
      <c r="AC145" t="inlineStr">
        <is>
          <t>DORIN_H_60Hz_3ph</t>
        </is>
      </c>
    </row>
    <row r="146">
      <c r="A146" t="inlineStr">
        <is>
          <t>DORIN</t>
        </is>
      </c>
      <c r="B146" t="inlineStr">
        <is>
          <t>H251CC</t>
        </is>
      </c>
      <c r="D146" t="inlineStr">
        <is>
          <t>Reciprocating Semi-hermetic</t>
        </is>
      </c>
      <c r="E146" s="2" t="n">
        <v>3</v>
      </c>
      <c r="F146" s="2" t="n">
        <v>60</v>
      </c>
      <c r="G146" s="2" t="n">
        <v>230</v>
      </c>
      <c r="H146" t="inlineStr">
        <is>
          <t>208-230</t>
        </is>
      </c>
      <c r="I146" s="2" t="n">
        <v>208</v>
      </c>
      <c r="J146" s="2" t="n">
        <v>230</v>
      </c>
      <c r="K146" t="inlineStr">
        <is>
          <t>Delta</t>
        </is>
      </c>
      <c r="L146" s="3" t="n"/>
      <c r="M146" s="3" t="n">
        <v>15.1</v>
      </c>
      <c r="N146" s="3" t="n"/>
      <c r="O146" s="3" t="n"/>
      <c r="P146" s="3">
        <f>IF(L146&lt;&gt;"",L146/1.4,"")</f>
        <v/>
      </c>
      <c r="Q146" s="3">
        <f>IF(L146&lt;&gt;"",L146/1.56,"")</f>
        <v/>
      </c>
      <c r="R146" s="3">
        <f>IF(M146&lt;&gt;"",M146/1.4,"")</f>
        <v/>
      </c>
      <c r="S146" s="3">
        <f>IF(M146&lt;&gt;"",M146/1.56,"")</f>
        <v/>
      </c>
      <c r="T146" s="3">
        <f>IF(N146&lt;&gt;"",N146,IF(O146&lt;&gt;"",O146,IF(L146&lt;&gt;"",L146/1.56,IF(M146&lt;&gt;"",M146/1.56,""))))</f>
        <v/>
      </c>
      <c r="U146" s="3" t="n"/>
      <c r="V146" s="3" t="n"/>
      <c r="W146" s="3" t="n">
        <v>66.40000000000001</v>
      </c>
      <c r="X146" s="4" t="n">
        <v>5.1</v>
      </c>
      <c r="Y146" s="5" t="n"/>
      <c r="Z146" s="4">
        <f>IF(L146&lt;&gt;"",SQRT(3)*G146*L146/1000,"")</f>
        <v/>
      </c>
      <c r="AA146" t="inlineStr">
        <is>
          <t>Displacement_CFH=449.6</t>
        </is>
      </c>
      <c r="AB146" t="inlineStr">
        <is>
          <t>Dorin_RLA_230_460_3ph_60Hz.xlsx</t>
        </is>
      </c>
      <c r="AC146" t="inlineStr">
        <is>
          <t>DORIN_H_60Hz_3ph</t>
        </is>
      </c>
    </row>
    <row r="147">
      <c r="A147" t="inlineStr">
        <is>
          <t>DORIN</t>
        </is>
      </c>
      <c r="B147" t="inlineStr">
        <is>
          <t>H251CC</t>
        </is>
      </c>
      <c r="D147" t="inlineStr">
        <is>
          <t>Reciprocating Semi-hermetic</t>
        </is>
      </c>
      <c r="E147" s="2" t="n">
        <v>3</v>
      </c>
      <c r="F147" s="2" t="n">
        <v>60</v>
      </c>
      <c r="G147" s="2" t="n">
        <v>460</v>
      </c>
      <c r="H147" t="inlineStr">
        <is>
          <t>440-480</t>
        </is>
      </c>
      <c r="I147" s="2" t="n">
        <v>440</v>
      </c>
      <c r="J147" s="2" t="n">
        <v>480</v>
      </c>
      <c r="K147" t="inlineStr">
        <is>
          <t>Wye</t>
        </is>
      </c>
      <c r="L147" s="3" t="n"/>
      <c r="M147" s="3" t="n">
        <v>7.3</v>
      </c>
      <c r="N147" s="3" t="n"/>
      <c r="O147" s="3" t="n"/>
      <c r="P147" s="3">
        <f>IF(L147&lt;&gt;"",L147/1.4,"")</f>
        <v/>
      </c>
      <c r="Q147" s="3">
        <f>IF(L147&lt;&gt;"",L147/1.56,"")</f>
        <v/>
      </c>
      <c r="R147" s="3">
        <f>IF(M147&lt;&gt;"",M147/1.4,"")</f>
        <v/>
      </c>
      <c r="S147" s="3">
        <f>IF(M147&lt;&gt;"",M147/1.56,"")</f>
        <v/>
      </c>
      <c r="T147" s="3">
        <f>IF(N147&lt;&gt;"",N147,IF(O147&lt;&gt;"",O147,IF(L147&lt;&gt;"",L147/1.56,IF(M147&lt;&gt;"",M147/1.56,""))))</f>
        <v/>
      </c>
      <c r="U147" s="3" t="n"/>
      <c r="V147" s="3" t="n"/>
      <c r="W147" s="3" t="n">
        <v>32</v>
      </c>
      <c r="X147" s="4" t="n">
        <v>5.1</v>
      </c>
      <c r="Y147" s="5" t="n"/>
      <c r="Z147" s="4">
        <f>IF(L147&lt;&gt;"",SQRT(3)*G147*L147/1000,"")</f>
        <v/>
      </c>
      <c r="AA147" t="inlineStr">
        <is>
          <t>Displacement_CFH=449.6</t>
        </is>
      </c>
      <c r="AB147" t="inlineStr">
        <is>
          <t>Dorin_RLA_230_460_3ph_60Hz.xlsx</t>
        </is>
      </c>
      <c r="AC147" t="inlineStr">
        <is>
          <t>DORIN_H_60Hz_3ph</t>
        </is>
      </c>
    </row>
    <row r="148">
      <c r="A148" t="inlineStr">
        <is>
          <t>DORIN</t>
        </is>
      </c>
      <c r="B148" t="inlineStr">
        <is>
          <t>H251CS</t>
        </is>
      </c>
      <c r="D148" t="inlineStr">
        <is>
          <t>Reciprocating Semi-hermetic</t>
        </is>
      </c>
      <c r="E148" s="2" t="n">
        <v>3</v>
      </c>
      <c r="F148" s="2" t="n">
        <v>60</v>
      </c>
      <c r="G148" s="2" t="n">
        <v>230</v>
      </c>
      <c r="H148" t="inlineStr">
        <is>
          <t>208-230</t>
        </is>
      </c>
      <c r="I148" s="2" t="n">
        <v>208</v>
      </c>
      <c r="J148" s="2" t="n">
        <v>230</v>
      </c>
      <c r="K148" t="inlineStr">
        <is>
          <t>Delta</t>
        </is>
      </c>
      <c r="L148" s="3" t="n"/>
      <c r="M148" s="3" t="n">
        <v>12.5</v>
      </c>
      <c r="N148" s="3" t="n"/>
      <c r="O148" s="3" t="n"/>
      <c r="P148" s="3">
        <f>IF(L148&lt;&gt;"",L148/1.4,"")</f>
        <v/>
      </c>
      <c r="Q148" s="3">
        <f>IF(L148&lt;&gt;"",L148/1.56,"")</f>
        <v/>
      </c>
      <c r="R148" s="3">
        <f>IF(M148&lt;&gt;"",M148/1.4,"")</f>
        <v/>
      </c>
      <c r="S148" s="3">
        <f>IF(M148&lt;&gt;"",M148/1.56,"")</f>
        <v/>
      </c>
      <c r="T148" s="3">
        <f>IF(N148&lt;&gt;"",N148,IF(O148&lt;&gt;"",O148,IF(L148&lt;&gt;"",L148/1.56,IF(M148&lt;&gt;"",M148/1.56,""))))</f>
        <v/>
      </c>
      <c r="U148" s="3" t="n"/>
      <c r="V148" s="3" t="n"/>
      <c r="W148" s="3" t="n">
        <v>50.6</v>
      </c>
      <c r="X148" s="4" t="n">
        <v>4.4</v>
      </c>
      <c r="Y148" s="5" t="n"/>
      <c r="Z148" s="4">
        <f>IF(L148&lt;&gt;"",SQRT(3)*G148*L148/1000,"")</f>
        <v/>
      </c>
      <c r="AA148" t="inlineStr">
        <is>
          <t>Displacement_CFH=493.3</t>
        </is>
      </c>
      <c r="AB148" t="inlineStr">
        <is>
          <t>Dorin_RLA_230_460_3ph_60Hz.xlsx</t>
        </is>
      </c>
      <c r="AC148" t="inlineStr">
        <is>
          <t>DORIN_H_60Hz_3ph</t>
        </is>
      </c>
    </row>
    <row r="149">
      <c r="A149" t="inlineStr">
        <is>
          <t>DORIN</t>
        </is>
      </c>
      <c r="B149" t="inlineStr">
        <is>
          <t>H251CS</t>
        </is>
      </c>
      <c r="D149" t="inlineStr">
        <is>
          <t>Reciprocating Semi-hermetic</t>
        </is>
      </c>
      <c r="E149" s="2" t="n">
        <v>3</v>
      </c>
      <c r="F149" s="2" t="n">
        <v>60</v>
      </c>
      <c r="G149" s="2" t="n">
        <v>460</v>
      </c>
      <c r="H149" t="inlineStr">
        <is>
          <t>440-480</t>
        </is>
      </c>
      <c r="I149" s="2" t="n">
        <v>440</v>
      </c>
      <c r="J149" s="2" t="n">
        <v>480</v>
      </c>
      <c r="K149" t="inlineStr">
        <is>
          <t>Wye</t>
        </is>
      </c>
      <c r="L149" s="3" t="n"/>
      <c r="M149" s="3" t="n">
        <v>6</v>
      </c>
      <c r="N149" s="3" t="n"/>
      <c r="O149" s="3" t="n"/>
      <c r="P149" s="3">
        <f>IF(L149&lt;&gt;"",L149/1.4,"")</f>
        <v/>
      </c>
      <c r="Q149" s="3">
        <f>IF(L149&lt;&gt;"",L149/1.56,"")</f>
        <v/>
      </c>
      <c r="R149" s="3">
        <f>IF(M149&lt;&gt;"",M149/1.4,"")</f>
        <v/>
      </c>
      <c r="S149" s="3">
        <f>IF(M149&lt;&gt;"",M149/1.56,"")</f>
        <v/>
      </c>
      <c r="T149" s="3">
        <f>IF(N149&lt;&gt;"",N149,IF(O149&lt;&gt;"",O149,IF(L149&lt;&gt;"",L149/1.56,IF(M149&lt;&gt;"",M149/1.56,""))))</f>
        <v/>
      </c>
      <c r="U149" s="3" t="n"/>
      <c r="V149" s="3" t="n"/>
      <c r="W149" s="3" t="n">
        <v>24.5</v>
      </c>
      <c r="X149" s="4" t="n">
        <v>4.4</v>
      </c>
      <c r="Y149" s="5" t="n"/>
      <c r="Z149" s="4">
        <f>IF(L149&lt;&gt;"",SQRT(3)*G149*L149/1000,"")</f>
        <v/>
      </c>
      <c r="AA149" t="inlineStr">
        <is>
          <t>Displacement_CFH=493.3</t>
        </is>
      </c>
      <c r="AB149" t="inlineStr">
        <is>
          <t>Dorin_RLA_230_460_3ph_60Hz.xlsx</t>
        </is>
      </c>
      <c r="AC149" t="inlineStr">
        <is>
          <t>DORIN_H_60Hz_3ph</t>
        </is>
      </c>
    </row>
    <row r="150">
      <c r="A150" t="inlineStr">
        <is>
          <t>DORIN</t>
        </is>
      </c>
      <c r="B150" t="inlineStr">
        <is>
          <t>H281CC</t>
        </is>
      </c>
      <c r="D150" t="inlineStr">
        <is>
          <t>Reciprocating Semi-hermetic</t>
        </is>
      </c>
      <c r="E150" s="2" t="n">
        <v>3</v>
      </c>
      <c r="F150" s="2" t="n">
        <v>60</v>
      </c>
      <c r="G150" s="2" t="n">
        <v>230</v>
      </c>
      <c r="H150" t="inlineStr">
        <is>
          <t>208-230</t>
        </is>
      </c>
      <c r="I150" s="2" t="n">
        <v>208</v>
      </c>
      <c r="J150" s="2" t="n">
        <v>230</v>
      </c>
      <c r="K150" t="inlineStr">
        <is>
          <t>Delta</t>
        </is>
      </c>
      <c r="L150" s="3" t="n"/>
      <c r="M150" s="3" t="n">
        <v>15.1</v>
      </c>
      <c r="N150" s="3" t="n"/>
      <c r="O150" s="3" t="n"/>
      <c r="P150" s="3">
        <f>IF(L150&lt;&gt;"",L150/1.4,"")</f>
        <v/>
      </c>
      <c r="Q150" s="3">
        <f>IF(L150&lt;&gt;"",L150/1.56,"")</f>
        <v/>
      </c>
      <c r="R150" s="3">
        <f>IF(M150&lt;&gt;"",M150/1.4,"")</f>
        <v/>
      </c>
      <c r="S150" s="3">
        <f>IF(M150&lt;&gt;"",M150/1.56,"")</f>
        <v/>
      </c>
      <c r="T150" s="3">
        <f>IF(N150&lt;&gt;"",N150,IF(O150&lt;&gt;"",O150,IF(L150&lt;&gt;"",L150/1.56,IF(M150&lt;&gt;"",M150/1.56,""))))</f>
        <v/>
      </c>
      <c r="U150" s="3" t="n"/>
      <c r="V150" s="3" t="n"/>
      <c r="W150" s="3" t="n">
        <v>66.40000000000001</v>
      </c>
      <c r="X150" s="4" t="n">
        <v>5.1</v>
      </c>
      <c r="Y150" s="5" t="n"/>
      <c r="Z150" s="4">
        <f>IF(L150&lt;&gt;"",SQRT(3)*G150*L150/1000,"")</f>
        <v/>
      </c>
      <c r="AA150" t="inlineStr">
        <is>
          <t>Displacement_CFH=493.3</t>
        </is>
      </c>
      <c r="AB150" t="inlineStr">
        <is>
          <t>Dorin_RLA_230_460_3ph_60Hz.xlsx</t>
        </is>
      </c>
      <c r="AC150" t="inlineStr">
        <is>
          <t>DORIN_H_60Hz_3ph</t>
        </is>
      </c>
    </row>
    <row r="151">
      <c r="A151" t="inlineStr">
        <is>
          <t>DORIN</t>
        </is>
      </c>
      <c r="B151" t="inlineStr">
        <is>
          <t>H281CC</t>
        </is>
      </c>
      <c r="D151" t="inlineStr">
        <is>
          <t>Reciprocating Semi-hermetic</t>
        </is>
      </c>
      <c r="E151" s="2" t="n">
        <v>3</v>
      </c>
      <c r="F151" s="2" t="n">
        <v>60</v>
      </c>
      <c r="G151" s="2" t="n">
        <v>460</v>
      </c>
      <c r="H151" t="inlineStr">
        <is>
          <t>440-480</t>
        </is>
      </c>
      <c r="I151" s="2" t="n">
        <v>440</v>
      </c>
      <c r="J151" s="2" t="n">
        <v>480</v>
      </c>
      <c r="K151" t="inlineStr">
        <is>
          <t>Wye</t>
        </is>
      </c>
      <c r="L151" s="3" t="n"/>
      <c r="M151" s="3" t="n">
        <v>7.3</v>
      </c>
      <c r="N151" s="3" t="n"/>
      <c r="O151" s="3" t="n"/>
      <c r="P151" s="3">
        <f>IF(L151&lt;&gt;"",L151/1.4,"")</f>
        <v/>
      </c>
      <c r="Q151" s="3">
        <f>IF(L151&lt;&gt;"",L151/1.56,"")</f>
        <v/>
      </c>
      <c r="R151" s="3">
        <f>IF(M151&lt;&gt;"",M151/1.4,"")</f>
        <v/>
      </c>
      <c r="S151" s="3">
        <f>IF(M151&lt;&gt;"",M151/1.56,"")</f>
        <v/>
      </c>
      <c r="T151" s="3">
        <f>IF(N151&lt;&gt;"",N151,IF(O151&lt;&gt;"",O151,IF(L151&lt;&gt;"",L151/1.56,IF(M151&lt;&gt;"",M151/1.56,""))))</f>
        <v/>
      </c>
      <c r="U151" s="3" t="n"/>
      <c r="V151" s="3" t="n"/>
      <c r="W151" s="3" t="n">
        <v>32</v>
      </c>
      <c r="X151" s="4" t="n">
        <v>5.1</v>
      </c>
      <c r="Y151" s="5" t="n"/>
      <c r="Z151" s="4">
        <f>IF(L151&lt;&gt;"",SQRT(3)*G151*L151/1000,"")</f>
        <v/>
      </c>
      <c r="AA151" t="inlineStr">
        <is>
          <t>Displacement_CFH=493.3</t>
        </is>
      </c>
      <c r="AB151" t="inlineStr">
        <is>
          <t>Dorin_RLA_230_460_3ph_60Hz.xlsx</t>
        </is>
      </c>
      <c r="AC151" t="inlineStr">
        <is>
          <t>DORIN_H_60Hz_3ph</t>
        </is>
      </c>
    </row>
    <row r="152">
      <c r="A152" t="inlineStr">
        <is>
          <t>DORIN</t>
        </is>
      </c>
      <c r="B152" t="inlineStr">
        <is>
          <t>H281CS</t>
        </is>
      </c>
      <c r="D152" t="inlineStr">
        <is>
          <t>Reciprocating Semi-hermetic</t>
        </is>
      </c>
      <c r="E152" s="2" t="n">
        <v>3</v>
      </c>
      <c r="F152" s="2" t="n">
        <v>60</v>
      </c>
      <c r="G152" s="2" t="n">
        <v>230</v>
      </c>
      <c r="H152" t="inlineStr">
        <is>
          <t>208-230</t>
        </is>
      </c>
      <c r="I152" s="2" t="n">
        <v>208</v>
      </c>
      <c r="J152" s="2" t="n">
        <v>230</v>
      </c>
      <c r="K152" t="inlineStr">
        <is>
          <t>Delta</t>
        </is>
      </c>
      <c r="L152" s="3" t="n"/>
      <c r="M152" s="3" t="n">
        <v>15.1</v>
      </c>
      <c r="N152" s="3" t="n"/>
      <c r="O152" s="3" t="n"/>
      <c r="P152" s="3">
        <f>IF(L152&lt;&gt;"",L152/1.4,"")</f>
        <v/>
      </c>
      <c r="Q152" s="3">
        <f>IF(L152&lt;&gt;"",L152/1.56,"")</f>
        <v/>
      </c>
      <c r="R152" s="3">
        <f>IF(M152&lt;&gt;"",M152/1.4,"")</f>
        <v/>
      </c>
      <c r="S152" s="3">
        <f>IF(M152&lt;&gt;"",M152/1.56,"")</f>
        <v/>
      </c>
      <c r="T152" s="3">
        <f>IF(N152&lt;&gt;"",N152,IF(O152&lt;&gt;"",O152,IF(L152&lt;&gt;"",L152/1.56,IF(M152&lt;&gt;"",M152/1.56,""))))</f>
        <v/>
      </c>
      <c r="U152" s="3" t="n"/>
      <c r="V152" s="3" t="n"/>
      <c r="W152" s="3" t="n">
        <v>66.40000000000001</v>
      </c>
      <c r="X152" s="4" t="n">
        <v>5.1</v>
      </c>
      <c r="Y152" s="5" t="n"/>
      <c r="Z152" s="4">
        <f>IF(L152&lt;&gt;"",SQRT(3)*G152*L152/1000,"")</f>
        <v/>
      </c>
      <c r="AA152" t="inlineStr">
        <is>
          <t>Displacement_CFH=560.7</t>
        </is>
      </c>
      <c r="AB152" t="inlineStr">
        <is>
          <t>Dorin_RLA_230_460_3ph_60Hz.xlsx</t>
        </is>
      </c>
      <c r="AC152" t="inlineStr">
        <is>
          <t>DORIN_H_60Hz_3ph</t>
        </is>
      </c>
    </row>
    <row r="153">
      <c r="A153" t="inlineStr">
        <is>
          <t>DORIN</t>
        </is>
      </c>
      <c r="B153" t="inlineStr">
        <is>
          <t>H281CS</t>
        </is>
      </c>
      <c r="D153" t="inlineStr">
        <is>
          <t>Reciprocating Semi-hermetic</t>
        </is>
      </c>
      <c r="E153" s="2" t="n">
        <v>3</v>
      </c>
      <c r="F153" s="2" t="n">
        <v>60</v>
      </c>
      <c r="G153" s="2" t="n">
        <v>460</v>
      </c>
      <c r="H153" t="inlineStr">
        <is>
          <t>440-480</t>
        </is>
      </c>
      <c r="I153" s="2" t="n">
        <v>440</v>
      </c>
      <c r="J153" s="2" t="n">
        <v>480</v>
      </c>
      <c r="K153" t="inlineStr">
        <is>
          <t>Wye</t>
        </is>
      </c>
      <c r="L153" s="3" t="n"/>
      <c r="M153" s="3" t="n">
        <v>7.3</v>
      </c>
      <c r="N153" s="3" t="n"/>
      <c r="O153" s="3" t="n"/>
      <c r="P153" s="3">
        <f>IF(L153&lt;&gt;"",L153/1.4,"")</f>
        <v/>
      </c>
      <c r="Q153" s="3">
        <f>IF(L153&lt;&gt;"",L153/1.56,"")</f>
        <v/>
      </c>
      <c r="R153" s="3">
        <f>IF(M153&lt;&gt;"",M153/1.4,"")</f>
        <v/>
      </c>
      <c r="S153" s="3">
        <f>IF(M153&lt;&gt;"",M153/1.56,"")</f>
        <v/>
      </c>
      <c r="T153" s="3">
        <f>IF(N153&lt;&gt;"",N153,IF(O153&lt;&gt;"",O153,IF(L153&lt;&gt;"",L153/1.56,IF(M153&lt;&gt;"",M153/1.56,""))))</f>
        <v/>
      </c>
      <c r="U153" s="3" t="n"/>
      <c r="V153" s="3" t="n"/>
      <c r="W153" s="3" t="n">
        <v>32</v>
      </c>
      <c r="X153" s="4" t="n">
        <v>5.1</v>
      </c>
      <c r="Y153" s="5" t="n"/>
      <c r="Z153" s="4">
        <f>IF(L153&lt;&gt;"",SQRT(3)*G153*L153/1000,"")</f>
        <v/>
      </c>
      <c r="AA153" t="inlineStr">
        <is>
          <t>Displacement_CFH=560.7</t>
        </is>
      </c>
      <c r="AB153" t="inlineStr">
        <is>
          <t>Dorin_RLA_230_460_3ph_60Hz.xlsx</t>
        </is>
      </c>
      <c r="AC153" t="inlineStr">
        <is>
          <t>DORIN_H_60Hz_3ph</t>
        </is>
      </c>
    </row>
    <row r="154">
      <c r="A154" t="inlineStr">
        <is>
          <t>DORIN</t>
        </is>
      </c>
      <c r="B154" t="inlineStr">
        <is>
          <t>H281SB</t>
        </is>
      </c>
      <c r="D154" t="inlineStr">
        <is>
          <t>Reciprocating Semi-hermetic</t>
        </is>
      </c>
      <c r="E154" s="2" t="n">
        <v>3</v>
      </c>
      <c r="F154" s="2" t="n">
        <v>60</v>
      </c>
      <c r="G154" s="2" t="n">
        <v>230</v>
      </c>
      <c r="H154" t="inlineStr">
        <is>
          <t>208-230</t>
        </is>
      </c>
      <c r="I154" s="2" t="n">
        <v>208</v>
      </c>
      <c r="J154" s="2" t="n">
        <v>230</v>
      </c>
      <c r="K154" t="inlineStr">
        <is>
          <t>Delta</t>
        </is>
      </c>
      <c r="L154" s="3" t="n"/>
      <c r="M154" s="3" t="n">
        <v>12.5</v>
      </c>
      <c r="N154" s="3" t="n"/>
      <c r="O154" s="3" t="n"/>
      <c r="P154" s="3">
        <f>IF(L154&lt;&gt;"",L154/1.4,"")</f>
        <v/>
      </c>
      <c r="Q154" s="3">
        <f>IF(L154&lt;&gt;"",L154/1.56,"")</f>
        <v/>
      </c>
      <c r="R154" s="3">
        <f>IF(M154&lt;&gt;"",M154/1.4,"")</f>
        <v/>
      </c>
      <c r="S154" s="3">
        <f>IF(M154&lt;&gt;"",M154/1.56,"")</f>
        <v/>
      </c>
      <c r="T154" s="3">
        <f>IF(N154&lt;&gt;"",N154,IF(O154&lt;&gt;"",O154,IF(L154&lt;&gt;"",L154/1.56,IF(M154&lt;&gt;"",M154/1.56,""))))</f>
        <v/>
      </c>
      <c r="U154" s="3" t="n"/>
      <c r="V154" s="3" t="n"/>
      <c r="W154" s="3" t="n">
        <v>50.6</v>
      </c>
      <c r="X154" s="4" t="n">
        <v>4.4</v>
      </c>
      <c r="Y154" s="5" t="n"/>
      <c r="Z154" s="4">
        <f>IF(L154&lt;&gt;"",SQRT(3)*G154*L154/1000,"")</f>
        <v/>
      </c>
      <c r="AA154" t="inlineStr">
        <is>
          <t>Displacement_CFH=560.7</t>
        </is>
      </c>
      <c r="AB154" t="inlineStr">
        <is>
          <t>Dorin_RLA_230_460_3ph_60Hz.xlsx</t>
        </is>
      </c>
      <c r="AC154" t="inlineStr">
        <is>
          <t>DORIN_H_60Hz_3ph</t>
        </is>
      </c>
    </row>
    <row r="155">
      <c r="A155" t="inlineStr">
        <is>
          <t>DORIN</t>
        </is>
      </c>
      <c r="B155" t="inlineStr">
        <is>
          <t>H281SB</t>
        </is>
      </c>
      <c r="D155" t="inlineStr">
        <is>
          <t>Reciprocating Semi-hermetic</t>
        </is>
      </c>
      <c r="E155" s="2" t="n">
        <v>3</v>
      </c>
      <c r="F155" s="2" t="n">
        <v>60</v>
      </c>
      <c r="G155" s="2" t="n">
        <v>460</v>
      </c>
      <c r="H155" t="inlineStr">
        <is>
          <t>440-480</t>
        </is>
      </c>
      <c r="I155" s="2" t="n">
        <v>440</v>
      </c>
      <c r="J155" s="2" t="n">
        <v>480</v>
      </c>
      <c r="K155" t="inlineStr">
        <is>
          <t>Wye</t>
        </is>
      </c>
      <c r="L155" s="3" t="n"/>
      <c r="M155" s="3" t="n">
        <v>6</v>
      </c>
      <c r="N155" s="3" t="n"/>
      <c r="O155" s="3" t="n"/>
      <c r="P155" s="3">
        <f>IF(L155&lt;&gt;"",L155/1.4,"")</f>
        <v/>
      </c>
      <c r="Q155" s="3">
        <f>IF(L155&lt;&gt;"",L155/1.56,"")</f>
        <v/>
      </c>
      <c r="R155" s="3">
        <f>IF(M155&lt;&gt;"",M155/1.4,"")</f>
        <v/>
      </c>
      <c r="S155" s="3">
        <f>IF(M155&lt;&gt;"",M155/1.56,"")</f>
        <v/>
      </c>
      <c r="T155" s="3">
        <f>IF(N155&lt;&gt;"",N155,IF(O155&lt;&gt;"",O155,IF(L155&lt;&gt;"",L155/1.56,IF(M155&lt;&gt;"",M155/1.56,""))))</f>
        <v/>
      </c>
      <c r="U155" s="3" t="n"/>
      <c r="V155" s="3" t="n"/>
      <c r="W155" s="3" t="n">
        <v>24.5</v>
      </c>
      <c r="X155" s="4" t="n">
        <v>4.4</v>
      </c>
      <c r="Y155" s="5" t="n"/>
      <c r="Z155" s="4">
        <f>IF(L155&lt;&gt;"",SQRT(3)*G155*L155/1000,"")</f>
        <v/>
      </c>
      <c r="AA155" t="inlineStr">
        <is>
          <t>Displacement_CFH=560.7</t>
        </is>
      </c>
      <c r="AB155" t="inlineStr">
        <is>
          <t>Dorin_RLA_230_460_3ph_60Hz.xlsx</t>
        </is>
      </c>
      <c r="AC155" t="inlineStr">
        <is>
          <t>DORIN_H_60Hz_3ph</t>
        </is>
      </c>
    </row>
    <row r="156">
      <c r="A156" t="inlineStr">
        <is>
          <t>DORIN</t>
        </is>
      </c>
      <c r="B156" t="inlineStr">
        <is>
          <t>H290CS</t>
        </is>
      </c>
      <c r="D156" t="inlineStr">
        <is>
          <t>Reciprocating Semi-hermetic</t>
        </is>
      </c>
      <c r="E156" s="2" t="n">
        <v>3</v>
      </c>
      <c r="F156" s="2" t="n">
        <v>60</v>
      </c>
      <c r="G156" s="2" t="n">
        <v>230</v>
      </c>
      <c r="H156" t="inlineStr">
        <is>
          <t>208-230</t>
        </is>
      </c>
      <c r="I156" s="2" t="n">
        <v>208</v>
      </c>
      <c r="J156" s="2" t="n">
        <v>230</v>
      </c>
      <c r="K156" t="inlineStr">
        <is>
          <t>Delta</t>
        </is>
      </c>
      <c r="L156" s="3" t="n"/>
      <c r="M156" s="3" t="n">
        <v>15.5</v>
      </c>
      <c r="N156" s="3" t="n"/>
      <c r="O156" s="3" t="n"/>
      <c r="P156" s="3">
        <f>IF(L156&lt;&gt;"",L156/1.4,"")</f>
        <v/>
      </c>
      <c r="Q156" s="3">
        <f>IF(L156&lt;&gt;"",L156/1.56,"")</f>
        <v/>
      </c>
      <c r="R156" s="3">
        <f>IF(M156&lt;&gt;"",M156/1.4,"")</f>
        <v/>
      </c>
      <c r="S156" s="3">
        <f>IF(M156&lt;&gt;"",M156/1.56,"")</f>
        <v/>
      </c>
      <c r="T156" s="3">
        <f>IF(N156&lt;&gt;"",N156,IF(O156&lt;&gt;"",O156,IF(L156&lt;&gt;"",L156/1.56,IF(M156&lt;&gt;"",M156/1.56,""))))</f>
        <v/>
      </c>
      <c r="U156" s="3" t="n"/>
      <c r="V156" s="3" t="n"/>
      <c r="W156" s="3" t="n">
        <v>70.90000000000001</v>
      </c>
      <c r="X156" s="4" t="n">
        <v>5.3</v>
      </c>
      <c r="Y156" s="5" t="n"/>
      <c r="Z156" s="4">
        <f>IF(L156&lt;&gt;"",SQRT(3)*G156*L156/1000,"")</f>
        <v/>
      </c>
      <c r="AA156" t="inlineStr">
        <is>
          <t>Displacement_CFH=624.8</t>
        </is>
      </c>
      <c r="AB156" t="inlineStr">
        <is>
          <t>Dorin_RLA_230_460_3ph_60Hz.xlsx</t>
        </is>
      </c>
      <c r="AC156" t="inlineStr">
        <is>
          <t>DORIN_H_60Hz_3ph</t>
        </is>
      </c>
    </row>
    <row r="157">
      <c r="A157" t="inlineStr">
        <is>
          <t>DORIN</t>
        </is>
      </c>
      <c r="B157" t="inlineStr">
        <is>
          <t>H290CS</t>
        </is>
      </c>
      <c r="D157" t="inlineStr">
        <is>
          <t>Reciprocating Semi-hermetic</t>
        </is>
      </c>
      <c r="E157" s="2" t="n">
        <v>3</v>
      </c>
      <c r="F157" s="2" t="n">
        <v>60</v>
      </c>
      <c r="G157" s="2" t="n">
        <v>460</v>
      </c>
      <c r="H157" t="inlineStr">
        <is>
          <t>440-480</t>
        </is>
      </c>
      <c r="I157" s="2" t="n">
        <v>440</v>
      </c>
      <c r="J157" s="2" t="n">
        <v>480</v>
      </c>
      <c r="K157" t="inlineStr">
        <is>
          <t>Wye</t>
        </is>
      </c>
      <c r="L157" s="3" t="n"/>
      <c r="M157" s="3" t="n">
        <v>7.5</v>
      </c>
      <c r="N157" s="3" t="n"/>
      <c r="O157" s="3" t="n"/>
      <c r="P157" s="3">
        <f>IF(L157&lt;&gt;"",L157/1.4,"")</f>
        <v/>
      </c>
      <c r="Q157" s="3">
        <f>IF(L157&lt;&gt;"",L157/1.56,"")</f>
        <v/>
      </c>
      <c r="R157" s="3">
        <f>IF(M157&lt;&gt;"",M157/1.4,"")</f>
        <v/>
      </c>
      <c r="S157" s="3">
        <f>IF(M157&lt;&gt;"",M157/1.56,"")</f>
        <v/>
      </c>
      <c r="T157" s="3">
        <f>IF(N157&lt;&gt;"",N157,IF(O157&lt;&gt;"",O157,IF(L157&lt;&gt;"",L157/1.56,IF(M157&lt;&gt;"",M157/1.56,""))))</f>
        <v/>
      </c>
      <c r="U157" s="3" t="n"/>
      <c r="V157" s="3" t="n"/>
      <c r="W157" s="3" t="n">
        <v>34</v>
      </c>
      <c r="X157" s="4" t="n">
        <v>5.3</v>
      </c>
      <c r="Y157" s="5" t="n"/>
      <c r="Z157" s="4">
        <f>IF(L157&lt;&gt;"",SQRT(3)*G157*L157/1000,"")</f>
        <v/>
      </c>
      <c r="AA157" t="inlineStr">
        <is>
          <t>Displacement_CFH=624.8</t>
        </is>
      </c>
      <c r="AB157" t="inlineStr">
        <is>
          <t>Dorin_RLA_230_460_3ph_60Hz.xlsx</t>
        </is>
      </c>
      <c r="AC157" t="inlineStr">
        <is>
          <t>DORIN_H_60Hz_3ph</t>
        </is>
      </c>
    </row>
    <row r="158">
      <c r="A158" t="inlineStr">
        <is>
          <t>DORIN</t>
        </is>
      </c>
      <c r="B158" t="inlineStr">
        <is>
          <t>H300CC</t>
        </is>
      </c>
      <c r="D158" t="inlineStr">
        <is>
          <t>Reciprocating Semi-hermetic</t>
        </is>
      </c>
      <c r="E158" s="2" t="n">
        <v>3</v>
      </c>
      <c r="F158" s="2" t="n">
        <v>60</v>
      </c>
      <c r="G158" s="2" t="n">
        <v>230</v>
      </c>
      <c r="H158" t="inlineStr">
        <is>
          <t>208-230</t>
        </is>
      </c>
      <c r="I158" s="2" t="n">
        <v>208</v>
      </c>
      <c r="J158" s="2" t="n">
        <v>230</v>
      </c>
      <c r="K158" t="inlineStr">
        <is>
          <t>Delta</t>
        </is>
      </c>
      <c r="L158" s="3" t="n"/>
      <c r="M158" s="3" t="n">
        <v>19.4</v>
      </c>
      <c r="N158" s="3" t="n"/>
      <c r="O158" s="3" t="n"/>
      <c r="P158" s="3">
        <f>IF(L158&lt;&gt;"",L158/1.4,"")</f>
        <v/>
      </c>
      <c r="Q158" s="3">
        <f>IF(L158&lt;&gt;"",L158/1.56,"")</f>
        <v/>
      </c>
      <c r="R158" s="3">
        <f>IF(M158&lt;&gt;"",M158/1.4,"")</f>
        <v/>
      </c>
      <c r="S158" s="3">
        <f>IF(M158&lt;&gt;"",M158/1.56,"")</f>
        <v/>
      </c>
      <c r="T158" s="3">
        <f>IF(N158&lt;&gt;"",N158,IF(O158&lt;&gt;"",O158,IF(L158&lt;&gt;"",L158/1.56,IF(M158&lt;&gt;"",M158/1.56,""))))</f>
        <v/>
      </c>
      <c r="U158" s="3" t="n"/>
      <c r="V158" s="3" t="n"/>
      <c r="W158" s="3" t="n">
        <v>90.59999999999999</v>
      </c>
      <c r="X158" s="4" t="n">
        <v>6.6</v>
      </c>
      <c r="Y158" s="5" t="n"/>
      <c r="Z158" s="4">
        <f>IF(L158&lt;&gt;"",SQRT(3)*G158*L158/1000,"")</f>
        <v/>
      </c>
      <c r="AA158" t="inlineStr">
        <is>
          <t>Displacement_CFH=624.8</t>
        </is>
      </c>
      <c r="AB158" t="inlineStr">
        <is>
          <t>Dorin_RLA_230_460_3ph_60Hz.xlsx</t>
        </is>
      </c>
      <c r="AC158" t="inlineStr">
        <is>
          <t>DORIN_H_60Hz_3ph</t>
        </is>
      </c>
    </row>
    <row r="159">
      <c r="A159" t="inlineStr">
        <is>
          <t>DORIN</t>
        </is>
      </c>
      <c r="B159" t="inlineStr">
        <is>
          <t>H300CC</t>
        </is>
      </c>
      <c r="D159" t="inlineStr">
        <is>
          <t>Reciprocating Semi-hermetic</t>
        </is>
      </c>
      <c r="E159" s="2" t="n">
        <v>3</v>
      </c>
      <c r="F159" s="2" t="n">
        <v>60</v>
      </c>
      <c r="G159" s="2" t="n">
        <v>460</v>
      </c>
      <c r="H159" t="inlineStr">
        <is>
          <t>440-480</t>
        </is>
      </c>
      <c r="I159" s="2" t="n">
        <v>440</v>
      </c>
      <c r="J159" s="2" t="n">
        <v>480</v>
      </c>
      <c r="K159" t="inlineStr">
        <is>
          <t>Wye</t>
        </is>
      </c>
      <c r="L159" s="3" t="n"/>
      <c r="M159" s="3" t="n">
        <v>9.4</v>
      </c>
      <c r="N159" s="3" t="n"/>
      <c r="O159" s="3" t="n"/>
      <c r="P159" s="3">
        <f>IF(L159&lt;&gt;"",L159/1.4,"")</f>
        <v/>
      </c>
      <c r="Q159" s="3">
        <f>IF(L159&lt;&gt;"",L159/1.56,"")</f>
        <v/>
      </c>
      <c r="R159" s="3">
        <f>IF(M159&lt;&gt;"",M159/1.4,"")</f>
        <v/>
      </c>
      <c r="S159" s="3">
        <f>IF(M159&lt;&gt;"",M159/1.56,"")</f>
        <v/>
      </c>
      <c r="T159" s="3">
        <f>IF(N159&lt;&gt;"",N159,IF(O159&lt;&gt;"",O159,IF(L159&lt;&gt;"",L159/1.56,IF(M159&lt;&gt;"",M159/1.56,""))))</f>
        <v/>
      </c>
      <c r="U159" s="3" t="n"/>
      <c r="V159" s="3" t="n"/>
      <c r="W159" s="3" t="n">
        <v>43.5</v>
      </c>
      <c r="X159" s="4" t="n">
        <v>6.6</v>
      </c>
      <c r="Y159" s="5" t="n"/>
      <c r="Z159" s="4">
        <f>IF(L159&lt;&gt;"",SQRT(3)*G159*L159/1000,"")</f>
        <v/>
      </c>
      <c r="AA159" t="inlineStr">
        <is>
          <t>Displacement_CFH=624.8</t>
        </is>
      </c>
      <c r="AB159" t="inlineStr">
        <is>
          <t>Dorin_RLA_230_460_3ph_60Hz.xlsx</t>
        </is>
      </c>
      <c r="AC159" t="inlineStr">
        <is>
          <t>DORIN_H_60Hz_3ph</t>
        </is>
      </c>
    </row>
    <row r="160">
      <c r="A160" t="inlineStr">
        <is>
          <t>DORIN</t>
        </is>
      </c>
      <c r="B160" t="inlineStr">
        <is>
          <t>H300CS</t>
        </is>
      </c>
      <c r="D160" t="inlineStr">
        <is>
          <t>Reciprocating Semi-hermetic</t>
        </is>
      </c>
      <c r="E160" s="2" t="n">
        <v>3</v>
      </c>
      <c r="F160" s="2" t="n">
        <v>60</v>
      </c>
      <c r="G160" s="2" t="n">
        <v>230</v>
      </c>
      <c r="H160" t="inlineStr">
        <is>
          <t>208-230</t>
        </is>
      </c>
      <c r="I160" s="2" t="n">
        <v>208</v>
      </c>
      <c r="J160" s="2" t="n">
        <v>230</v>
      </c>
      <c r="K160" t="inlineStr">
        <is>
          <t>Delta</t>
        </is>
      </c>
      <c r="L160" s="3" t="n"/>
      <c r="M160" s="3" t="n">
        <v>15.5</v>
      </c>
      <c r="N160" s="3" t="n"/>
      <c r="O160" s="3" t="n"/>
      <c r="P160" s="3">
        <f>IF(L160&lt;&gt;"",L160/1.4,"")</f>
        <v/>
      </c>
      <c r="Q160" s="3">
        <f>IF(L160&lt;&gt;"",L160/1.56,"")</f>
        <v/>
      </c>
      <c r="R160" s="3">
        <f>IF(M160&lt;&gt;"",M160/1.4,"")</f>
        <v/>
      </c>
      <c r="S160" s="3">
        <f>IF(M160&lt;&gt;"",M160/1.56,"")</f>
        <v/>
      </c>
      <c r="T160" s="3">
        <f>IF(N160&lt;&gt;"",N160,IF(O160&lt;&gt;"",O160,IF(L160&lt;&gt;"",L160/1.56,IF(M160&lt;&gt;"",M160/1.56,""))))</f>
        <v/>
      </c>
      <c r="U160" s="3" t="n"/>
      <c r="V160" s="3" t="n"/>
      <c r="W160" s="3" t="n">
        <v>70.90000000000001</v>
      </c>
      <c r="X160" s="4" t="n">
        <v>5.3</v>
      </c>
      <c r="Y160" s="5" t="n"/>
      <c r="Z160" s="4">
        <f>IF(L160&lt;&gt;"",SQRT(3)*G160*L160/1000,"")</f>
        <v/>
      </c>
      <c r="AA160" t="inlineStr">
        <is>
          <t>Displacement_CFH=675.5</t>
        </is>
      </c>
      <c r="AB160" t="inlineStr">
        <is>
          <t>Dorin_RLA_230_460_3ph_60Hz.xlsx</t>
        </is>
      </c>
      <c r="AC160" t="inlineStr">
        <is>
          <t>DORIN_H_60Hz_3ph</t>
        </is>
      </c>
    </row>
    <row r="161">
      <c r="A161" t="inlineStr">
        <is>
          <t>DORIN</t>
        </is>
      </c>
      <c r="B161" t="inlineStr">
        <is>
          <t>H300CS</t>
        </is>
      </c>
      <c r="D161" t="inlineStr">
        <is>
          <t>Reciprocating Semi-hermetic</t>
        </is>
      </c>
      <c r="E161" s="2" t="n">
        <v>3</v>
      </c>
      <c r="F161" s="2" t="n">
        <v>60</v>
      </c>
      <c r="G161" s="2" t="n">
        <v>460</v>
      </c>
      <c r="H161" t="inlineStr">
        <is>
          <t>440-480</t>
        </is>
      </c>
      <c r="I161" s="2" t="n">
        <v>440</v>
      </c>
      <c r="J161" s="2" t="n">
        <v>480</v>
      </c>
      <c r="K161" t="inlineStr">
        <is>
          <t>Wye</t>
        </is>
      </c>
      <c r="L161" s="3" t="n"/>
      <c r="M161" s="3" t="n">
        <v>7.5</v>
      </c>
      <c r="N161" s="3" t="n"/>
      <c r="O161" s="3" t="n"/>
      <c r="P161" s="3">
        <f>IF(L161&lt;&gt;"",L161/1.4,"")</f>
        <v/>
      </c>
      <c r="Q161" s="3">
        <f>IF(L161&lt;&gt;"",L161/1.56,"")</f>
        <v/>
      </c>
      <c r="R161" s="3">
        <f>IF(M161&lt;&gt;"",M161/1.4,"")</f>
        <v/>
      </c>
      <c r="S161" s="3">
        <f>IF(M161&lt;&gt;"",M161/1.56,"")</f>
        <v/>
      </c>
      <c r="T161" s="3">
        <f>IF(N161&lt;&gt;"",N161,IF(O161&lt;&gt;"",O161,IF(L161&lt;&gt;"",L161/1.56,IF(M161&lt;&gt;"",M161/1.56,""))))</f>
        <v/>
      </c>
      <c r="U161" s="3" t="n"/>
      <c r="V161" s="3" t="n"/>
      <c r="W161" s="3" t="n">
        <v>34</v>
      </c>
      <c r="X161" s="4" t="n">
        <v>5.3</v>
      </c>
      <c r="Y161" s="5" t="n"/>
      <c r="Z161" s="4">
        <f>IF(L161&lt;&gt;"",SQRT(3)*G161*L161/1000,"")</f>
        <v/>
      </c>
      <c r="AA161" t="inlineStr">
        <is>
          <t>Displacement_CFH=675.5</t>
        </is>
      </c>
      <c r="AB161" t="inlineStr">
        <is>
          <t>Dorin_RLA_230_460_3ph_60Hz.xlsx</t>
        </is>
      </c>
      <c r="AC161" t="inlineStr">
        <is>
          <t>DORIN_H_60Hz_3ph</t>
        </is>
      </c>
    </row>
    <row r="162">
      <c r="A162" t="inlineStr">
        <is>
          <t>DORIN</t>
        </is>
      </c>
      <c r="B162" t="inlineStr">
        <is>
          <t>H350CC</t>
        </is>
      </c>
      <c r="D162" t="inlineStr">
        <is>
          <t>Reciprocating Semi-hermetic</t>
        </is>
      </c>
      <c r="E162" s="2" t="n">
        <v>3</v>
      </c>
      <c r="F162" s="2" t="n">
        <v>60</v>
      </c>
      <c r="G162" s="2" t="n">
        <v>230</v>
      </c>
      <c r="H162" t="inlineStr">
        <is>
          <t>208-230</t>
        </is>
      </c>
      <c r="I162" s="2" t="n">
        <v>208</v>
      </c>
      <c r="J162" s="2" t="n">
        <v>230</v>
      </c>
      <c r="K162" t="inlineStr">
        <is>
          <t>Delta</t>
        </is>
      </c>
      <c r="L162" s="3" t="n"/>
      <c r="M162" s="3" t="n">
        <v>19.4</v>
      </c>
      <c r="N162" s="3" t="n"/>
      <c r="O162" s="3" t="n"/>
      <c r="P162" s="3">
        <f>IF(L162&lt;&gt;"",L162/1.4,"")</f>
        <v/>
      </c>
      <c r="Q162" s="3">
        <f>IF(L162&lt;&gt;"",L162/1.56,"")</f>
        <v/>
      </c>
      <c r="R162" s="3">
        <f>IF(M162&lt;&gt;"",M162/1.4,"")</f>
        <v/>
      </c>
      <c r="S162" s="3">
        <f>IF(M162&lt;&gt;"",M162/1.56,"")</f>
        <v/>
      </c>
      <c r="T162" s="3">
        <f>IF(N162&lt;&gt;"",N162,IF(O162&lt;&gt;"",O162,IF(L162&lt;&gt;"",L162/1.56,IF(M162&lt;&gt;"",M162/1.56,""))))</f>
        <v/>
      </c>
      <c r="U162" s="3" t="n"/>
      <c r="V162" s="3" t="n"/>
      <c r="W162" s="3" t="n">
        <v>90.59999999999999</v>
      </c>
      <c r="X162" s="4" t="n">
        <v>6.6</v>
      </c>
      <c r="Y162" s="5" t="n"/>
      <c r="Z162" s="4">
        <f>IF(L162&lt;&gt;"",SQRT(3)*G162*L162/1000,"")</f>
        <v/>
      </c>
      <c r="AA162" t="inlineStr">
        <is>
          <t>Displacement_CFH=675.5</t>
        </is>
      </c>
      <c r="AB162" t="inlineStr">
        <is>
          <t>Dorin_RLA_230_460_3ph_60Hz.xlsx</t>
        </is>
      </c>
      <c r="AC162" t="inlineStr">
        <is>
          <t>DORIN_H_60Hz_3ph</t>
        </is>
      </c>
    </row>
    <row r="163">
      <c r="A163" t="inlineStr">
        <is>
          <t>DORIN</t>
        </is>
      </c>
      <c r="B163" t="inlineStr">
        <is>
          <t>H350CC</t>
        </is>
      </c>
      <c r="D163" t="inlineStr">
        <is>
          <t>Reciprocating Semi-hermetic</t>
        </is>
      </c>
      <c r="E163" s="2" t="n">
        <v>3</v>
      </c>
      <c r="F163" s="2" t="n">
        <v>60</v>
      </c>
      <c r="G163" s="2" t="n">
        <v>460</v>
      </c>
      <c r="H163" t="inlineStr">
        <is>
          <t>440-480</t>
        </is>
      </c>
      <c r="I163" s="2" t="n">
        <v>440</v>
      </c>
      <c r="J163" s="2" t="n">
        <v>480</v>
      </c>
      <c r="K163" t="inlineStr">
        <is>
          <t>Wye</t>
        </is>
      </c>
      <c r="L163" s="3" t="n"/>
      <c r="M163" s="3" t="n">
        <v>9.4</v>
      </c>
      <c r="N163" s="3" t="n"/>
      <c r="O163" s="3" t="n"/>
      <c r="P163" s="3">
        <f>IF(L163&lt;&gt;"",L163/1.4,"")</f>
        <v/>
      </c>
      <c r="Q163" s="3">
        <f>IF(L163&lt;&gt;"",L163/1.56,"")</f>
        <v/>
      </c>
      <c r="R163" s="3">
        <f>IF(M163&lt;&gt;"",M163/1.4,"")</f>
        <v/>
      </c>
      <c r="S163" s="3">
        <f>IF(M163&lt;&gt;"",M163/1.56,"")</f>
        <v/>
      </c>
      <c r="T163" s="3">
        <f>IF(N163&lt;&gt;"",N163,IF(O163&lt;&gt;"",O163,IF(L163&lt;&gt;"",L163/1.56,IF(M163&lt;&gt;"",M163/1.56,""))))</f>
        <v/>
      </c>
      <c r="U163" s="3" t="n"/>
      <c r="V163" s="3" t="n"/>
      <c r="W163" s="3" t="n">
        <v>43.5</v>
      </c>
      <c r="X163" s="4" t="n">
        <v>6.6</v>
      </c>
      <c r="Y163" s="5" t="n"/>
      <c r="Z163" s="4">
        <f>IF(L163&lt;&gt;"",SQRT(3)*G163*L163/1000,"")</f>
        <v/>
      </c>
      <c r="AA163" t="inlineStr">
        <is>
          <t>Displacement_CFH=675.5</t>
        </is>
      </c>
      <c r="AB163" t="inlineStr">
        <is>
          <t>Dorin_RLA_230_460_3ph_60Hz.xlsx</t>
        </is>
      </c>
      <c r="AC163" t="inlineStr">
        <is>
          <t>DORIN_H_60Hz_3ph</t>
        </is>
      </c>
    </row>
    <row r="164">
      <c r="A164" t="inlineStr">
        <is>
          <t>DORIN</t>
        </is>
      </c>
      <c r="B164" t="inlineStr">
        <is>
          <t>H350SB</t>
        </is>
      </c>
      <c r="D164" t="inlineStr">
        <is>
          <t>Reciprocating Semi-hermetic</t>
        </is>
      </c>
      <c r="E164" s="2" t="n">
        <v>3</v>
      </c>
      <c r="F164" s="2" t="n">
        <v>60</v>
      </c>
      <c r="G164" s="2" t="n">
        <v>230</v>
      </c>
      <c r="H164" t="inlineStr">
        <is>
          <t>208-230</t>
        </is>
      </c>
      <c r="I164" s="2" t="n">
        <v>208</v>
      </c>
      <c r="J164" s="2" t="n">
        <v>230</v>
      </c>
      <c r="K164" t="inlineStr">
        <is>
          <t>Delta</t>
        </is>
      </c>
      <c r="L164" s="3" t="n"/>
      <c r="M164" s="3" t="n">
        <v>15.5</v>
      </c>
      <c r="N164" s="3" t="n"/>
      <c r="O164" s="3" t="n"/>
      <c r="P164" s="3">
        <f>IF(L164&lt;&gt;"",L164/1.4,"")</f>
        <v/>
      </c>
      <c r="Q164" s="3">
        <f>IF(L164&lt;&gt;"",L164/1.56,"")</f>
        <v/>
      </c>
      <c r="R164" s="3">
        <f>IF(M164&lt;&gt;"",M164/1.4,"")</f>
        <v/>
      </c>
      <c r="S164" s="3">
        <f>IF(M164&lt;&gt;"",M164/1.56,"")</f>
        <v/>
      </c>
      <c r="T164" s="3">
        <f>IF(N164&lt;&gt;"",N164,IF(O164&lt;&gt;"",O164,IF(L164&lt;&gt;"",L164/1.56,IF(M164&lt;&gt;"",M164/1.56,""))))</f>
        <v/>
      </c>
      <c r="U164" s="3" t="n"/>
      <c r="V164" s="3" t="n"/>
      <c r="W164" s="3" t="n">
        <v>70.90000000000001</v>
      </c>
      <c r="X164" s="4" t="n">
        <v>5.3</v>
      </c>
      <c r="Y164" s="5" t="n"/>
      <c r="Z164" s="4">
        <f>IF(L164&lt;&gt;"",SQRT(3)*G164*L164/1000,"")</f>
        <v/>
      </c>
      <c r="AA164" t="inlineStr">
        <is>
          <t>Displacement_CFH=743.0</t>
        </is>
      </c>
      <c r="AB164" t="inlineStr">
        <is>
          <t>Dorin_RLA_230_460_3ph_60Hz.xlsx</t>
        </is>
      </c>
      <c r="AC164" t="inlineStr">
        <is>
          <t>DORIN_H_60Hz_3ph</t>
        </is>
      </c>
    </row>
    <row r="165">
      <c r="A165" t="inlineStr">
        <is>
          <t>DORIN</t>
        </is>
      </c>
      <c r="B165" t="inlineStr">
        <is>
          <t>H350SB</t>
        </is>
      </c>
      <c r="D165" t="inlineStr">
        <is>
          <t>Reciprocating Semi-hermetic</t>
        </is>
      </c>
      <c r="E165" s="2" t="n">
        <v>3</v>
      </c>
      <c r="F165" s="2" t="n">
        <v>60</v>
      </c>
      <c r="G165" s="2" t="n">
        <v>460</v>
      </c>
      <c r="H165" t="inlineStr">
        <is>
          <t>440-480</t>
        </is>
      </c>
      <c r="I165" s="2" t="n">
        <v>440</v>
      </c>
      <c r="J165" s="2" t="n">
        <v>480</v>
      </c>
      <c r="K165" t="inlineStr">
        <is>
          <t>Wye</t>
        </is>
      </c>
      <c r="L165" s="3" t="n"/>
      <c r="M165" s="3" t="n">
        <v>7.5</v>
      </c>
      <c r="N165" s="3" t="n"/>
      <c r="O165" s="3" t="n"/>
      <c r="P165" s="3">
        <f>IF(L165&lt;&gt;"",L165/1.4,"")</f>
        <v/>
      </c>
      <c r="Q165" s="3">
        <f>IF(L165&lt;&gt;"",L165/1.56,"")</f>
        <v/>
      </c>
      <c r="R165" s="3">
        <f>IF(M165&lt;&gt;"",M165/1.4,"")</f>
        <v/>
      </c>
      <c r="S165" s="3">
        <f>IF(M165&lt;&gt;"",M165/1.56,"")</f>
        <v/>
      </c>
      <c r="T165" s="3">
        <f>IF(N165&lt;&gt;"",N165,IF(O165&lt;&gt;"",O165,IF(L165&lt;&gt;"",L165/1.56,IF(M165&lt;&gt;"",M165/1.56,""))))</f>
        <v/>
      </c>
      <c r="U165" s="3" t="n"/>
      <c r="V165" s="3" t="n"/>
      <c r="W165" s="3" t="n">
        <v>34</v>
      </c>
      <c r="X165" s="4" t="n">
        <v>5.3</v>
      </c>
      <c r="Y165" s="5" t="n"/>
      <c r="Z165" s="4">
        <f>IF(L165&lt;&gt;"",SQRT(3)*G165*L165/1000,"")</f>
        <v/>
      </c>
      <c r="AA165" t="inlineStr">
        <is>
          <t>Displacement_CFH=743.0</t>
        </is>
      </c>
      <c r="AB165" t="inlineStr">
        <is>
          <t>Dorin_RLA_230_460_3ph_60Hz.xlsx</t>
        </is>
      </c>
      <c r="AC165" t="inlineStr">
        <is>
          <t>DORIN_H_60Hz_3ph</t>
        </is>
      </c>
    </row>
    <row r="166">
      <c r="A166" t="inlineStr">
        <is>
          <t>DORIN</t>
        </is>
      </c>
      <c r="B166" t="inlineStr">
        <is>
          <t>H380CC</t>
        </is>
      </c>
      <c r="D166" t="inlineStr">
        <is>
          <t>Reciprocating Semi-hermetic</t>
        </is>
      </c>
      <c r="E166" s="2" t="n">
        <v>3</v>
      </c>
      <c r="F166" s="2" t="n">
        <v>60</v>
      </c>
      <c r="G166" s="2" t="n">
        <v>230</v>
      </c>
      <c r="H166" t="inlineStr">
        <is>
          <t>208-230</t>
        </is>
      </c>
      <c r="I166" s="2" t="n">
        <v>208</v>
      </c>
      <c r="J166" s="2" t="n">
        <v>230</v>
      </c>
      <c r="K166" t="inlineStr">
        <is>
          <t>Delta</t>
        </is>
      </c>
      <c r="L166" s="3" t="n"/>
      <c r="M166" s="3" t="n">
        <v>19.4</v>
      </c>
      <c r="N166" s="3" t="n"/>
      <c r="O166" s="3" t="n"/>
      <c r="P166" s="3">
        <f>IF(L166&lt;&gt;"",L166/1.4,"")</f>
        <v/>
      </c>
      <c r="Q166" s="3">
        <f>IF(L166&lt;&gt;"",L166/1.56,"")</f>
        <v/>
      </c>
      <c r="R166" s="3">
        <f>IF(M166&lt;&gt;"",M166/1.4,"")</f>
        <v/>
      </c>
      <c r="S166" s="3">
        <f>IF(M166&lt;&gt;"",M166/1.56,"")</f>
        <v/>
      </c>
      <c r="T166" s="3">
        <f>IF(N166&lt;&gt;"",N166,IF(O166&lt;&gt;"",O166,IF(L166&lt;&gt;"",L166/1.56,IF(M166&lt;&gt;"",M166/1.56,""))))</f>
        <v/>
      </c>
      <c r="U166" s="3" t="n"/>
      <c r="V166" s="3" t="n"/>
      <c r="W166" s="3" t="n">
        <v>90.59999999999999</v>
      </c>
      <c r="X166" s="4" t="n">
        <v>6.6</v>
      </c>
      <c r="Y166" s="5" t="n"/>
      <c r="Z166" s="4">
        <f>IF(L166&lt;&gt;"",SQRT(3)*G166*L166/1000,"")</f>
        <v/>
      </c>
      <c r="AA166" t="inlineStr">
        <is>
          <t>Displacement_CFH=743.0</t>
        </is>
      </c>
      <c r="AB166" t="inlineStr">
        <is>
          <t>Dorin_RLA_230_460_3ph_60Hz.xlsx</t>
        </is>
      </c>
      <c r="AC166" t="inlineStr">
        <is>
          <t>DORIN_H_60Hz_3ph</t>
        </is>
      </c>
    </row>
    <row r="167">
      <c r="A167" t="inlineStr">
        <is>
          <t>DORIN</t>
        </is>
      </c>
      <c r="B167" t="inlineStr">
        <is>
          <t>H380CC</t>
        </is>
      </c>
      <c r="D167" t="inlineStr">
        <is>
          <t>Reciprocating Semi-hermetic</t>
        </is>
      </c>
      <c r="E167" s="2" t="n">
        <v>3</v>
      </c>
      <c r="F167" s="2" t="n">
        <v>60</v>
      </c>
      <c r="G167" s="2" t="n">
        <v>460</v>
      </c>
      <c r="H167" t="inlineStr">
        <is>
          <t>440-480</t>
        </is>
      </c>
      <c r="I167" s="2" t="n">
        <v>440</v>
      </c>
      <c r="J167" s="2" t="n">
        <v>480</v>
      </c>
      <c r="K167" t="inlineStr">
        <is>
          <t>Wye</t>
        </is>
      </c>
      <c r="L167" s="3" t="n"/>
      <c r="M167" s="3" t="n">
        <v>9.4</v>
      </c>
      <c r="N167" s="3" t="n"/>
      <c r="O167" s="3" t="n"/>
      <c r="P167" s="3">
        <f>IF(L167&lt;&gt;"",L167/1.4,"")</f>
        <v/>
      </c>
      <c r="Q167" s="3">
        <f>IF(L167&lt;&gt;"",L167/1.56,"")</f>
        <v/>
      </c>
      <c r="R167" s="3">
        <f>IF(M167&lt;&gt;"",M167/1.4,"")</f>
        <v/>
      </c>
      <c r="S167" s="3">
        <f>IF(M167&lt;&gt;"",M167/1.56,"")</f>
        <v/>
      </c>
      <c r="T167" s="3">
        <f>IF(N167&lt;&gt;"",N167,IF(O167&lt;&gt;"",O167,IF(L167&lt;&gt;"",L167/1.56,IF(M167&lt;&gt;"",M167/1.56,""))))</f>
        <v/>
      </c>
      <c r="U167" s="3" t="n"/>
      <c r="V167" s="3" t="n"/>
      <c r="W167" s="3" t="n">
        <v>43.5</v>
      </c>
      <c r="X167" s="4" t="n">
        <v>6.6</v>
      </c>
      <c r="Y167" s="5" t="n"/>
      <c r="Z167" s="4">
        <f>IF(L167&lt;&gt;"",SQRT(3)*G167*L167/1000,"")</f>
        <v/>
      </c>
      <c r="AA167" t="inlineStr">
        <is>
          <t>Displacement_CFH=743.0</t>
        </is>
      </c>
      <c r="AB167" t="inlineStr">
        <is>
          <t>Dorin_RLA_230_460_3ph_60Hz.xlsx</t>
        </is>
      </c>
      <c r="AC167" t="inlineStr">
        <is>
          <t>DORIN_H_60Hz_3ph</t>
        </is>
      </c>
    </row>
    <row r="168">
      <c r="A168" t="inlineStr">
        <is>
          <t>DORIN</t>
        </is>
      </c>
      <c r="B168" t="inlineStr">
        <is>
          <t>H355CS</t>
        </is>
      </c>
      <c r="D168" t="inlineStr">
        <is>
          <t>Reciprocating Semi-hermetic</t>
        </is>
      </c>
      <c r="E168" s="2" t="n">
        <v>3</v>
      </c>
      <c r="F168" s="2" t="n">
        <v>60</v>
      </c>
      <c r="G168" s="2" t="n">
        <v>230</v>
      </c>
      <c r="H168" t="inlineStr">
        <is>
          <t>208-230</t>
        </is>
      </c>
      <c r="I168" s="2" t="n">
        <v>208</v>
      </c>
      <c r="J168" s="2" t="n">
        <v>230</v>
      </c>
      <c r="K168" t="inlineStr">
        <is>
          <t>Delta</t>
        </is>
      </c>
      <c r="L168" s="3" t="n"/>
      <c r="M168" s="3" t="n">
        <v>21.5</v>
      </c>
      <c r="N168" s="3" t="n"/>
      <c r="O168" s="3" t="n"/>
      <c r="P168" s="3">
        <f>IF(L168&lt;&gt;"",L168/1.4,"")</f>
        <v/>
      </c>
      <c r="Q168" s="3">
        <f>IF(L168&lt;&gt;"",L168/1.56,"")</f>
        <v/>
      </c>
      <c r="R168" s="3">
        <f>IF(M168&lt;&gt;"",M168/1.4,"")</f>
        <v/>
      </c>
      <c r="S168" s="3">
        <f>IF(M168&lt;&gt;"",M168/1.56,"")</f>
        <v/>
      </c>
      <c r="T168" s="3">
        <f>IF(N168&lt;&gt;"",N168,IF(O168&lt;&gt;"",O168,IF(L168&lt;&gt;"",L168/1.56,IF(M168&lt;&gt;"",M168/1.56,""))))</f>
        <v/>
      </c>
      <c r="U168" s="3" t="n"/>
      <c r="V168" s="3" t="n"/>
      <c r="W168" s="3" t="n">
        <v>110.4</v>
      </c>
      <c r="X168" s="4" t="n">
        <v>7.4</v>
      </c>
      <c r="Y168" s="5" t="n"/>
      <c r="Z168" s="4">
        <f>IF(L168&lt;&gt;"",SQRT(3)*G168*L168/1000,"")</f>
        <v/>
      </c>
      <c r="AA168" t="inlineStr">
        <is>
          <t>Displacement_CFH=817.2</t>
        </is>
      </c>
      <c r="AB168" t="inlineStr">
        <is>
          <t>Dorin_RLA_230_460_3ph_60Hz.xlsx</t>
        </is>
      </c>
      <c r="AC168" t="inlineStr">
        <is>
          <t>DORIN_H_60Hz_3ph</t>
        </is>
      </c>
    </row>
    <row r="169">
      <c r="A169" t="inlineStr">
        <is>
          <t>DORIN</t>
        </is>
      </c>
      <c r="B169" t="inlineStr">
        <is>
          <t>H355CS</t>
        </is>
      </c>
      <c r="D169" t="inlineStr">
        <is>
          <t>Reciprocating Semi-hermetic</t>
        </is>
      </c>
      <c r="E169" s="2" t="n">
        <v>3</v>
      </c>
      <c r="F169" s="2" t="n">
        <v>60</v>
      </c>
      <c r="G169" s="2" t="n">
        <v>460</v>
      </c>
      <c r="H169" t="inlineStr">
        <is>
          <t>440-480</t>
        </is>
      </c>
      <c r="I169" s="2" t="n">
        <v>440</v>
      </c>
      <c r="J169" s="2" t="n">
        <v>480</v>
      </c>
      <c r="K169" t="inlineStr">
        <is>
          <t>Wye</t>
        </is>
      </c>
      <c r="L169" s="3" t="n"/>
      <c r="M169" s="3" t="n">
        <v>10.5</v>
      </c>
      <c r="N169" s="3" t="n"/>
      <c r="O169" s="3" t="n"/>
      <c r="P169" s="3">
        <f>IF(L169&lt;&gt;"",L169/1.4,"")</f>
        <v/>
      </c>
      <c r="Q169" s="3">
        <f>IF(L169&lt;&gt;"",L169/1.56,"")</f>
        <v/>
      </c>
      <c r="R169" s="3">
        <f>IF(M169&lt;&gt;"",M169/1.4,"")</f>
        <v/>
      </c>
      <c r="S169" s="3">
        <f>IF(M169&lt;&gt;"",M169/1.56,"")</f>
        <v/>
      </c>
      <c r="T169" s="3">
        <f>IF(N169&lt;&gt;"",N169,IF(O169&lt;&gt;"",O169,IF(L169&lt;&gt;"",L169/1.56,IF(M169&lt;&gt;"",M169/1.56,""))))</f>
        <v/>
      </c>
      <c r="U169" s="3" t="n"/>
      <c r="V169" s="3" t="n"/>
      <c r="W169" s="3" t="n">
        <v>53.2</v>
      </c>
      <c r="X169" s="4" t="n">
        <v>7.4</v>
      </c>
      <c r="Y169" s="5" t="n"/>
      <c r="Z169" s="4">
        <f>IF(L169&lt;&gt;"",SQRT(3)*G169*L169/1000,"")</f>
        <v/>
      </c>
      <c r="AA169" t="inlineStr">
        <is>
          <t>Displacement_CFH=817.2</t>
        </is>
      </c>
      <c r="AB169" t="inlineStr">
        <is>
          <t>Dorin_RLA_230_460_3ph_60Hz.xlsx</t>
        </is>
      </c>
      <c r="AC169" t="inlineStr">
        <is>
          <t>DORIN_H_60Hz_3ph</t>
        </is>
      </c>
    </row>
    <row r="170">
      <c r="A170" t="inlineStr">
        <is>
          <t>DORIN</t>
        </is>
      </c>
      <c r="B170" t="inlineStr">
        <is>
          <t>H405CC</t>
        </is>
      </c>
      <c r="D170" t="inlineStr">
        <is>
          <t>Reciprocating Semi-hermetic</t>
        </is>
      </c>
      <c r="E170" s="2" t="n">
        <v>3</v>
      </c>
      <c r="F170" s="2" t="n">
        <v>60</v>
      </c>
      <c r="G170" s="2" t="n">
        <v>230</v>
      </c>
      <c r="H170" t="inlineStr">
        <is>
          <t>208-230</t>
        </is>
      </c>
      <c r="I170" s="2" t="n">
        <v>208</v>
      </c>
      <c r="J170" s="2" t="n">
        <v>230</v>
      </c>
      <c r="K170" t="inlineStr">
        <is>
          <t>Delta</t>
        </is>
      </c>
      <c r="L170" s="3" t="n"/>
      <c r="M170" s="3" t="n">
        <v>30</v>
      </c>
      <c r="N170" s="3" t="n"/>
      <c r="O170" s="3" t="n"/>
      <c r="P170" s="3">
        <f>IF(L170&lt;&gt;"",L170/1.4,"")</f>
        <v/>
      </c>
      <c r="Q170" s="3">
        <f>IF(L170&lt;&gt;"",L170/1.56,"")</f>
        <v/>
      </c>
      <c r="R170" s="3">
        <f>IF(M170&lt;&gt;"",M170/1.4,"")</f>
        <v/>
      </c>
      <c r="S170" s="3">
        <f>IF(M170&lt;&gt;"",M170/1.56,"")</f>
        <v/>
      </c>
      <c r="T170" s="3">
        <f>IF(N170&lt;&gt;"",N170,IF(O170&lt;&gt;"",O170,IF(L170&lt;&gt;"",L170/1.56,IF(M170&lt;&gt;"",M170/1.56,""))))</f>
        <v/>
      </c>
      <c r="U170" s="3" t="n"/>
      <c r="V170" s="3" t="n"/>
      <c r="W170" s="3" t="n">
        <v>131</v>
      </c>
      <c r="X170" s="4" t="n">
        <v>10.5</v>
      </c>
      <c r="Y170" s="5" t="n"/>
      <c r="Z170" s="4">
        <f>IF(L170&lt;&gt;"",SQRT(3)*G170*L170/1000,"")</f>
        <v/>
      </c>
      <c r="AA170" t="inlineStr">
        <is>
          <t>Displacement_CFH=817.2</t>
        </is>
      </c>
      <c r="AB170" t="inlineStr">
        <is>
          <t>Dorin_RLA_230_460_3ph_60Hz.xlsx</t>
        </is>
      </c>
      <c r="AC170" t="inlineStr">
        <is>
          <t>DORIN_H_60Hz_3ph</t>
        </is>
      </c>
    </row>
    <row r="171">
      <c r="A171" t="inlineStr">
        <is>
          <t>DORIN</t>
        </is>
      </c>
      <c r="B171" t="inlineStr">
        <is>
          <t>H405CC</t>
        </is>
      </c>
      <c r="D171" t="inlineStr">
        <is>
          <t>Reciprocating Semi-hermetic</t>
        </is>
      </c>
      <c r="E171" s="2" t="n">
        <v>3</v>
      </c>
      <c r="F171" s="2" t="n">
        <v>60</v>
      </c>
      <c r="G171" s="2" t="n">
        <v>460</v>
      </c>
      <c r="H171" t="inlineStr">
        <is>
          <t>440-480</t>
        </is>
      </c>
      <c r="I171" s="2" t="n">
        <v>440</v>
      </c>
      <c r="J171" s="2" t="n">
        <v>480</v>
      </c>
      <c r="K171" t="inlineStr">
        <is>
          <t>Wye</t>
        </is>
      </c>
      <c r="L171" s="3" t="n"/>
      <c r="M171" s="3" t="n">
        <v>14.5</v>
      </c>
      <c r="N171" s="3" t="n"/>
      <c r="O171" s="3" t="n"/>
      <c r="P171" s="3">
        <f>IF(L171&lt;&gt;"",L171/1.4,"")</f>
        <v/>
      </c>
      <c r="Q171" s="3">
        <f>IF(L171&lt;&gt;"",L171/1.56,"")</f>
        <v/>
      </c>
      <c r="R171" s="3">
        <f>IF(M171&lt;&gt;"",M171/1.4,"")</f>
        <v/>
      </c>
      <c r="S171" s="3">
        <f>IF(M171&lt;&gt;"",M171/1.56,"")</f>
        <v/>
      </c>
      <c r="T171" s="3">
        <f>IF(N171&lt;&gt;"",N171,IF(O171&lt;&gt;"",O171,IF(L171&lt;&gt;"",L171/1.56,IF(M171&lt;&gt;"",M171/1.56,""))))</f>
        <v/>
      </c>
      <c r="U171" s="3" t="n"/>
      <c r="V171" s="3" t="n"/>
      <c r="W171" s="3" t="n">
        <v>63.1</v>
      </c>
      <c r="X171" s="4" t="n">
        <v>10.5</v>
      </c>
      <c r="Y171" s="5" t="n"/>
      <c r="Z171" s="4">
        <f>IF(L171&lt;&gt;"",SQRT(3)*G171*L171/1000,"")</f>
        <v/>
      </c>
      <c r="AA171" t="inlineStr">
        <is>
          <t>Displacement_CFH=817.2</t>
        </is>
      </c>
      <c r="AB171" t="inlineStr">
        <is>
          <t>Dorin_RLA_230_460_3ph_60Hz.xlsx</t>
        </is>
      </c>
      <c r="AC171" t="inlineStr">
        <is>
          <t>DORIN_H_60Hz_3ph</t>
        </is>
      </c>
    </row>
    <row r="172">
      <c r="A172" t="inlineStr">
        <is>
          <t>DORIN</t>
        </is>
      </c>
      <c r="B172" t="inlineStr">
        <is>
          <t>H380SB</t>
        </is>
      </c>
      <c r="D172" t="inlineStr">
        <is>
          <t>Reciprocating Semi-hermetic</t>
        </is>
      </c>
      <c r="E172" s="2" t="n">
        <v>3</v>
      </c>
      <c r="F172" s="2" t="n">
        <v>60</v>
      </c>
      <c r="G172" s="2" t="n">
        <v>230</v>
      </c>
      <c r="H172" t="inlineStr">
        <is>
          <t>208-230</t>
        </is>
      </c>
      <c r="I172" s="2" t="n">
        <v>208</v>
      </c>
      <c r="J172" s="2" t="n">
        <v>230</v>
      </c>
      <c r="K172" t="inlineStr">
        <is>
          <t>Delta</t>
        </is>
      </c>
      <c r="L172" s="3" t="n"/>
      <c r="M172" s="3" t="n">
        <v>15.5</v>
      </c>
      <c r="N172" s="3" t="n"/>
      <c r="O172" s="3" t="n"/>
      <c r="P172" s="3">
        <f>IF(L172&lt;&gt;"",L172/1.4,"")</f>
        <v/>
      </c>
      <c r="Q172" s="3">
        <f>IF(L172&lt;&gt;"",L172/1.56,"")</f>
        <v/>
      </c>
      <c r="R172" s="3">
        <f>IF(M172&lt;&gt;"",M172/1.4,"")</f>
        <v/>
      </c>
      <c r="S172" s="3">
        <f>IF(M172&lt;&gt;"",M172/1.56,"")</f>
        <v/>
      </c>
      <c r="T172" s="3">
        <f>IF(N172&lt;&gt;"",N172,IF(O172&lt;&gt;"",O172,IF(L172&lt;&gt;"",L172/1.56,IF(M172&lt;&gt;"",M172/1.56,""))))</f>
        <v/>
      </c>
      <c r="U172" s="3" t="n"/>
      <c r="V172" s="3" t="n"/>
      <c r="W172" s="3" t="n">
        <v>70.90000000000001</v>
      </c>
      <c r="X172" s="4" t="n">
        <v>5.3</v>
      </c>
      <c r="Y172" s="5" t="n"/>
      <c r="Z172" s="4">
        <f>IF(L172&lt;&gt;"",SQRT(3)*G172*L172/1000,"")</f>
        <v/>
      </c>
      <c r="AA172" t="inlineStr">
        <is>
          <t>Displacement_CFH=827.5</t>
        </is>
      </c>
      <c r="AB172" t="inlineStr">
        <is>
          <t>Dorin_RLA_230_460_3ph_60Hz.xlsx</t>
        </is>
      </c>
      <c r="AC172" t="inlineStr">
        <is>
          <t>DORIN_H_60Hz_3ph</t>
        </is>
      </c>
    </row>
    <row r="173">
      <c r="A173" t="inlineStr">
        <is>
          <t>DORIN</t>
        </is>
      </c>
      <c r="B173" t="inlineStr">
        <is>
          <t>H380SB</t>
        </is>
      </c>
      <c r="D173" t="inlineStr">
        <is>
          <t>Reciprocating Semi-hermetic</t>
        </is>
      </c>
      <c r="E173" s="2" t="n">
        <v>3</v>
      </c>
      <c r="F173" s="2" t="n">
        <v>60</v>
      </c>
      <c r="G173" s="2" t="n">
        <v>460</v>
      </c>
      <c r="H173" t="inlineStr">
        <is>
          <t>440-480</t>
        </is>
      </c>
      <c r="I173" s="2" t="n">
        <v>440</v>
      </c>
      <c r="J173" s="2" t="n">
        <v>480</v>
      </c>
      <c r="K173" t="inlineStr">
        <is>
          <t>Wye</t>
        </is>
      </c>
      <c r="L173" s="3" t="n"/>
      <c r="M173" s="3" t="n">
        <v>7.5</v>
      </c>
      <c r="N173" s="3" t="n"/>
      <c r="O173" s="3" t="n"/>
      <c r="P173" s="3">
        <f>IF(L173&lt;&gt;"",L173/1.4,"")</f>
        <v/>
      </c>
      <c r="Q173" s="3">
        <f>IF(L173&lt;&gt;"",L173/1.56,"")</f>
        <v/>
      </c>
      <c r="R173" s="3">
        <f>IF(M173&lt;&gt;"",M173/1.4,"")</f>
        <v/>
      </c>
      <c r="S173" s="3">
        <f>IF(M173&lt;&gt;"",M173/1.56,"")</f>
        <v/>
      </c>
      <c r="T173" s="3">
        <f>IF(N173&lt;&gt;"",N173,IF(O173&lt;&gt;"",O173,IF(L173&lt;&gt;"",L173/1.56,IF(M173&lt;&gt;"",M173/1.56,""))))</f>
        <v/>
      </c>
      <c r="U173" s="3" t="n"/>
      <c r="V173" s="3" t="n"/>
      <c r="W173" s="3" t="n">
        <v>34</v>
      </c>
      <c r="X173" s="4" t="n">
        <v>5.3</v>
      </c>
      <c r="Y173" s="5" t="n"/>
      <c r="Z173" s="4">
        <f>IF(L173&lt;&gt;"",SQRT(3)*G173*L173/1000,"")</f>
        <v/>
      </c>
      <c r="AA173" t="inlineStr">
        <is>
          <t>Displacement_CFH=827.5</t>
        </is>
      </c>
      <c r="AB173" t="inlineStr">
        <is>
          <t>Dorin_RLA_230_460_3ph_60Hz.xlsx</t>
        </is>
      </c>
      <c r="AC173" t="inlineStr">
        <is>
          <t>DORIN_H_60Hz_3ph</t>
        </is>
      </c>
    </row>
    <row r="174">
      <c r="A174" t="inlineStr">
        <is>
          <t>DORIN</t>
        </is>
      </c>
      <c r="B174" t="inlineStr">
        <is>
          <t>H390CS</t>
        </is>
      </c>
      <c r="D174" t="inlineStr">
        <is>
          <t>Reciprocating Semi-hermetic</t>
        </is>
      </c>
      <c r="E174" s="2" t="n">
        <v>3</v>
      </c>
      <c r="F174" s="2" t="n">
        <v>60</v>
      </c>
      <c r="G174" s="2" t="n">
        <v>230</v>
      </c>
      <c r="H174" t="inlineStr">
        <is>
          <t>208-230</t>
        </is>
      </c>
      <c r="I174" s="2" t="n">
        <v>208</v>
      </c>
      <c r="J174" s="2" t="n">
        <v>230</v>
      </c>
      <c r="K174" t="inlineStr">
        <is>
          <t>Delta</t>
        </is>
      </c>
      <c r="L174" s="3" t="n"/>
      <c r="M174" s="3" t="n">
        <v>19.4</v>
      </c>
      <c r="N174" s="3" t="n"/>
      <c r="O174" s="3" t="n"/>
      <c r="P174" s="3">
        <f>IF(L174&lt;&gt;"",L174/1.4,"")</f>
        <v/>
      </c>
      <c r="Q174" s="3">
        <f>IF(L174&lt;&gt;"",L174/1.56,"")</f>
        <v/>
      </c>
      <c r="R174" s="3">
        <f>IF(M174&lt;&gt;"",M174/1.4,"")</f>
        <v/>
      </c>
      <c r="S174" s="3">
        <f>IF(M174&lt;&gt;"",M174/1.56,"")</f>
        <v/>
      </c>
      <c r="T174" s="3">
        <f>IF(N174&lt;&gt;"",N174,IF(O174&lt;&gt;"",O174,IF(L174&lt;&gt;"",L174/1.56,IF(M174&lt;&gt;"",M174/1.56,""))))</f>
        <v/>
      </c>
      <c r="U174" s="3" t="n"/>
      <c r="V174" s="3" t="n"/>
      <c r="W174" s="3" t="n">
        <v>90.59999999999999</v>
      </c>
      <c r="X174" s="4" t="n">
        <v>6.6</v>
      </c>
      <c r="Y174" s="5" t="n"/>
      <c r="Z174" s="4">
        <f>IF(L174&lt;&gt;"",SQRT(3)*G174*L174/1000,"")</f>
        <v/>
      </c>
      <c r="AA174" t="inlineStr">
        <is>
          <t>Displacement_CFH=827.5</t>
        </is>
      </c>
      <c r="AB174" t="inlineStr">
        <is>
          <t>Dorin_RLA_230_460_3ph_60Hz.xlsx</t>
        </is>
      </c>
      <c r="AC174" t="inlineStr">
        <is>
          <t>DORIN_H_60Hz_3ph</t>
        </is>
      </c>
    </row>
    <row r="175">
      <c r="A175" t="inlineStr">
        <is>
          <t>DORIN</t>
        </is>
      </c>
      <c r="B175" t="inlineStr">
        <is>
          <t>H390CS</t>
        </is>
      </c>
      <c r="D175" t="inlineStr">
        <is>
          <t>Reciprocating Semi-hermetic</t>
        </is>
      </c>
      <c r="E175" s="2" t="n">
        <v>3</v>
      </c>
      <c r="F175" s="2" t="n">
        <v>60</v>
      </c>
      <c r="G175" s="2" t="n">
        <v>460</v>
      </c>
      <c r="H175" t="inlineStr">
        <is>
          <t>440-480</t>
        </is>
      </c>
      <c r="I175" s="2" t="n">
        <v>440</v>
      </c>
      <c r="J175" s="2" t="n">
        <v>480</v>
      </c>
      <c r="K175" t="inlineStr">
        <is>
          <t>Wye</t>
        </is>
      </c>
      <c r="L175" s="3" t="n"/>
      <c r="M175" s="3" t="n">
        <v>9.4</v>
      </c>
      <c r="N175" s="3" t="n"/>
      <c r="O175" s="3" t="n"/>
      <c r="P175" s="3">
        <f>IF(L175&lt;&gt;"",L175/1.4,"")</f>
        <v/>
      </c>
      <c r="Q175" s="3">
        <f>IF(L175&lt;&gt;"",L175/1.56,"")</f>
        <v/>
      </c>
      <c r="R175" s="3">
        <f>IF(M175&lt;&gt;"",M175/1.4,"")</f>
        <v/>
      </c>
      <c r="S175" s="3">
        <f>IF(M175&lt;&gt;"",M175/1.56,"")</f>
        <v/>
      </c>
      <c r="T175" s="3">
        <f>IF(N175&lt;&gt;"",N175,IF(O175&lt;&gt;"",O175,IF(L175&lt;&gt;"",L175/1.56,IF(M175&lt;&gt;"",M175/1.56,""))))</f>
        <v/>
      </c>
      <c r="U175" s="3" t="n"/>
      <c r="V175" s="3" t="n"/>
      <c r="W175" s="3" t="n">
        <v>43.5</v>
      </c>
      <c r="X175" s="4" t="n">
        <v>6.6</v>
      </c>
      <c r="Y175" s="5" t="n"/>
      <c r="Z175" s="4">
        <f>IF(L175&lt;&gt;"",SQRT(3)*G175*L175/1000,"")</f>
        <v/>
      </c>
      <c r="AA175" t="inlineStr">
        <is>
          <t>Displacement_CFH=827.5</t>
        </is>
      </c>
      <c r="AB175" t="inlineStr">
        <is>
          <t>Dorin_RLA_230_460_3ph_60Hz.xlsx</t>
        </is>
      </c>
      <c r="AC175" t="inlineStr">
        <is>
          <t>DORIN_H_60Hz_3ph</t>
        </is>
      </c>
    </row>
    <row r="176">
      <c r="A176" t="inlineStr">
        <is>
          <t>DORIN</t>
        </is>
      </c>
      <c r="B176" t="inlineStr">
        <is>
          <t>H405CS</t>
        </is>
      </c>
      <c r="D176" t="inlineStr">
        <is>
          <t>Reciprocating Semi-hermetic</t>
        </is>
      </c>
      <c r="E176" s="2" t="n">
        <v>3</v>
      </c>
      <c r="F176" s="2" t="n">
        <v>60</v>
      </c>
      <c r="G176" s="2" t="n">
        <v>230</v>
      </c>
      <c r="H176" t="inlineStr">
        <is>
          <t>208-230</t>
        </is>
      </c>
      <c r="I176" s="2" t="n">
        <v>208</v>
      </c>
      <c r="J176" s="2" t="n">
        <v>230</v>
      </c>
      <c r="K176" t="inlineStr">
        <is>
          <t>Delta</t>
        </is>
      </c>
      <c r="L176" s="3" t="n"/>
      <c r="M176" s="3" t="n">
        <v>21.5</v>
      </c>
      <c r="N176" s="3" t="n"/>
      <c r="O176" s="3" t="n"/>
      <c r="P176" s="3">
        <f>IF(L176&lt;&gt;"",L176/1.4,"")</f>
        <v/>
      </c>
      <c r="Q176" s="3">
        <f>IF(L176&lt;&gt;"",L176/1.56,"")</f>
        <v/>
      </c>
      <c r="R176" s="3">
        <f>IF(M176&lt;&gt;"",M176/1.4,"")</f>
        <v/>
      </c>
      <c r="S176" s="3">
        <f>IF(M176&lt;&gt;"",M176/1.56,"")</f>
        <v/>
      </c>
      <c r="T176" s="3">
        <f>IF(N176&lt;&gt;"",N176,IF(O176&lt;&gt;"",O176,IF(L176&lt;&gt;"",L176/1.56,IF(M176&lt;&gt;"",M176/1.56,""))))</f>
        <v/>
      </c>
      <c r="U176" s="3" t="n"/>
      <c r="V176" s="3" t="n"/>
      <c r="W176" s="3" t="n">
        <v>110.4</v>
      </c>
      <c r="X176" s="4" t="n">
        <v>7.4</v>
      </c>
      <c r="Y176" s="5" t="n"/>
      <c r="Z176" s="4">
        <f>IF(L176&lt;&gt;"",SQRT(3)*G176*L176/1000,"")</f>
        <v/>
      </c>
      <c r="AA176" t="inlineStr">
        <is>
          <t>Displacement_CFH=980.3</t>
        </is>
      </c>
      <c r="AB176" t="inlineStr">
        <is>
          <t>Dorin_RLA_230_460_3ph_60Hz.xlsx</t>
        </is>
      </c>
      <c r="AC176" t="inlineStr">
        <is>
          <t>DORIN_H_60Hz_3ph</t>
        </is>
      </c>
    </row>
    <row r="177">
      <c r="A177" t="inlineStr">
        <is>
          <t>DORIN</t>
        </is>
      </c>
      <c r="B177" t="inlineStr">
        <is>
          <t>H405CS</t>
        </is>
      </c>
      <c r="D177" t="inlineStr">
        <is>
          <t>Reciprocating Semi-hermetic</t>
        </is>
      </c>
      <c r="E177" s="2" t="n">
        <v>3</v>
      </c>
      <c r="F177" s="2" t="n">
        <v>60</v>
      </c>
      <c r="G177" s="2" t="n">
        <v>460</v>
      </c>
      <c r="H177" t="inlineStr">
        <is>
          <t>440-480</t>
        </is>
      </c>
      <c r="I177" s="2" t="n">
        <v>440</v>
      </c>
      <c r="J177" s="2" t="n">
        <v>480</v>
      </c>
      <c r="K177" t="inlineStr">
        <is>
          <t>Wye</t>
        </is>
      </c>
      <c r="L177" s="3" t="n"/>
      <c r="M177" s="3" t="n">
        <v>10.5</v>
      </c>
      <c r="N177" s="3" t="n"/>
      <c r="O177" s="3" t="n"/>
      <c r="P177" s="3">
        <f>IF(L177&lt;&gt;"",L177/1.4,"")</f>
        <v/>
      </c>
      <c r="Q177" s="3">
        <f>IF(L177&lt;&gt;"",L177/1.56,"")</f>
        <v/>
      </c>
      <c r="R177" s="3">
        <f>IF(M177&lt;&gt;"",M177/1.4,"")</f>
        <v/>
      </c>
      <c r="S177" s="3">
        <f>IF(M177&lt;&gt;"",M177/1.56,"")</f>
        <v/>
      </c>
      <c r="T177" s="3">
        <f>IF(N177&lt;&gt;"",N177,IF(O177&lt;&gt;"",O177,IF(L177&lt;&gt;"",L177/1.56,IF(M177&lt;&gt;"",M177/1.56,""))))</f>
        <v/>
      </c>
      <c r="U177" s="3" t="n"/>
      <c r="V177" s="3" t="n"/>
      <c r="W177" s="3" t="n">
        <v>53.2</v>
      </c>
      <c r="X177" s="4" t="n">
        <v>7.4</v>
      </c>
      <c r="Y177" s="5" t="n"/>
      <c r="Z177" s="4">
        <f>IF(L177&lt;&gt;"",SQRT(3)*G177*L177/1000,"")</f>
        <v/>
      </c>
      <c r="AA177" t="inlineStr">
        <is>
          <t>Displacement_CFH=980.3</t>
        </is>
      </c>
      <c r="AB177" t="inlineStr">
        <is>
          <t>Dorin_RLA_230_460_3ph_60Hz.xlsx</t>
        </is>
      </c>
      <c r="AC177" t="inlineStr">
        <is>
          <t>DORIN_H_60Hz_3ph</t>
        </is>
      </c>
    </row>
    <row r="178">
      <c r="A178" t="inlineStr">
        <is>
          <t>DORIN</t>
        </is>
      </c>
      <c r="B178" t="inlineStr">
        <is>
          <t>H505CC</t>
        </is>
      </c>
      <c r="D178" t="inlineStr">
        <is>
          <t>Reciprocating Semi-hermetic</t>
        </is>
      </c>
      <c r="E178" s="2" t="n">
        <v>3</v>
      </c>
      <c r="F178" s="2" t="n">
        <v>60</v>
      </c>
      <c r="G178" s="2" t="n">
        <v>230</v>
      </c>
      <c r="H178" t="inlineStr">
        <is>
          <t>208-230</t>
        </is>
      </c>
      <c r="I178" s="2" t="n">
        <v>208</v>
      </c>
      <c r="J178" s="2" t="n">
        <v>230</v>
      </c>
      <c r="K178" t="inlineStr">
        <is>
          <t>Delta</t>
        </is>
      </c>
      <c r="L178" s="3" t="n"/>
      <c r="M178" s="3" t="n">
        <v>30</v>
      </c>
      <c r="N178" s="3" t="n"/>
      <c r="O178" s="3" t="n"/>
      <c r="P178" s="3">
        <f>IF(L178&lt;&gt;"",L178/1.4,"")</f>
        <v/>
      </c>
      <c r="Q178" s="3">
        <f>IF(L178&lt;&gt;"",L178/1.56,"")</f>
        <v/>
      </c>
      <c r="R178" s="3">
        <f>IF(M178&lt;&gt;"",M178/1.4,"")</f>
        <v/>
      </c>
      <c r="S178" s="3">
        <f>IF(M178&lt;&gt;"",M178/1.56,"")</f>
        <v/>
      </c>
      <c r="T178" s="3">
        <f>IF(N178&lt;&gt;"",N178,IF(O178&lt;&gt;"",O178,IF(L178&lt;&gt;"",L178/1.56,IF(M178&lt;&gt;"",M178/1.56,""))))</f>
        <v/>
      </c>
      <c r="U178" s="3" t="n"/>
      <c r="V178" s="3" t="n"/>
      <c r="W178" s="3" t="n">
        <v>131</v>
      </c>
      <c r="X178" s="4" t="n">
        <v>10.5</v>
      </c>
      <c r="Y178" s="5" t="n"/>
      <c r="Z178" s="4">
        <f>IF(L178&lt;&gt;"",SQRT(3)*G178*L178/1000,"")</f>
        <v/>
      </c>
      <c r="AA178" t="inlineStr">
        <is>
          <t>Displacement_CFH=980.3</t>
        </is>
      </c>
      <c r="AB178" t="inlineStr">
        <is>
          <t>Dorin_RLA_230_460_3ph_60Hz.xlsx</t>
        </is>
      </c>
      <c r="AC178" t="inlineStr">
        <is>
          <t>DORIN_H_60Hz_3ph</t>
        </is>
      </c>
    </row>
    <row r="179">
      <c r="A179" t="inlineStr">
        <is>
          <t>DORIN</t>
        </is>
      </c>
      <c r="B179" t="inlineStr">
        <is>
          <t>H505CC</t>
        </is>
      </c>
      <c r="D179" t="inlineStr">
        <is>
          <t>Reciprocating Semi-hermetic</t>
        </is>
      </c>
      <c r="E179" s="2" t="n">
        <v>3</v>
      </c>
      <c r="F179" s="2" t="n">
        <v>60</v>
      </c>
      <c r="G179" s="2" t="n">
        <v>460</v>
      </c>
      <c r="H179" t="inlineStr">
        <is>
          <t>440-480</t>
        </is>
      </c>
      <c r="I179" s="2" t="n">
        <v>440</v>
      </c>
      <c r="J179" s="2" t="n">
        <v>480</v>
      </c>
      <c r="K179" t="inlineStr">
        <is>
          <t>Wye</t>
        </is>
      </c>
      <c r="L179" s="3" t="n"/>
      <c r="M179" s="3" t="n">
        <v>14.5</v>
      </c>
      <c r="N179" s="3" t="n"/>
      <c r="O179" s="3" t="n"/>
      <c r="P179" s="3">
        <f>IF(L179&lt;&gt;"",L179/1.4,"")</f>
        <v/>
      </c>
      <c r="Q179" s="3">
        <f>IF(L179&lt;&gt;"",L179/1.56,"")</f>
        <v/>
      </c>
      <c r="R179" s="3">
        <f>IF(M179&lt;&gt;"",M179/1.4,"")</f>
        <v/>
      </c>
      <c r="S179" s="3">
        <f>IF(M179&lt;&gt;"",M179/1.56,"")</f>
        <v/>
      </c>
      <c r="T179" s="3">
        <f>IF(N179&lt;&gt;"",N179,IF(O179&lt;&gt;"",O179,IF(L179&lt;&gt;"",L179/1.56,IF(M179&lt;&gt;"",M179/1.56,""))))</f>
        <v/>
      </c>
      <c r="U179" s="3" t="n"/>
      <c r="V179" s="3" t="n"/>
      <c r="W179" s="3" t="n">
        <v>63.1</v>
      </c>
      <c r="X179" s="4" t="n">
        <v>10.5</v>
      </c>
      <c r="Y179" s="5" t="n"/>
      <c r="Z179" s="4">
        <f>IF(L179&lt;&gt;"",SQRT(3)*G179*L179/1000,"")</f>
        <v/>
      </c>
      <c r="AA179" t="inlineStr">
        <is>
          <t>Displacement_CFH=980.3</t>
        </is>
      </c>
      <c r="AB179" t="inlineStr">
        <is>
          <t>Dorin_RLA_230_460_3ph_60Hz.xlsx</t>
        </is>
      </c>
      <c r="AC179" t="inlineStr">
        <is>
          <t>DORIN_H_60Hz_3ph</t>
        </is>
      </c>
    </row>
    <row r="180">
      <c r="A180" t="inlineStr">
        <is>
          <t>DORIN</t>
        </is>
      </c>
      <c r="B180" t="inlineStr">
        <is>
          <t>H392CS</t>
        </is>
      </c>
      <c r="D180" t="inlineStr">
        <is>
          <t>Reciprocating Semi-hermetic</t>
        </is>
      </c>
      <c r="E180" s="2" t="n">
        <v>3</v>
      </c>
      <c r="F180" s="2" t="n">
        <v>60</v>
      </c>
      <c r="G180" s="2" t="n">
        <v>230</v>
      </c>
      <c r="H180" t="inlineStr">
        <is>
          <t>208-230</t>
        </is>
      </c>
      <c r="I180" s="2" t="n">
        <v>208</v>
      </c>
      <c r="J180" s="2" t="n">
        <v>230</v>
      </c>
      <c r="K180" t="inlineStr">
        <is>
          <t>Delta</t>
        </is>
      </c>
      <c r="L180" s="3" t="n"/>
      <c r="M180" s="3" t="n">
        <v>23.5</v>
      </c>
      <c r="N180" s="3" t="n"/>
      <c r="O180" s="3" t="n"/>
      <c r="P180" s="3">
        <f>IF(L180&lt;&gt;"",L180/1.4,"")</f>
        <v/>
      </c>
      <c r="Q180" s="3">
        <f>IF(L180&lt;&gt;"",L180/1.56,"")</f>
        <v/>
      </c>
      <c r="R180" s="3">
        <f>IF(M180&lt;&gt;"",M180/1.4,"")</f>
        <v/>
      </c>
      <c r="S180" s="3">
        <f>IF(M180&lt;&gt;"",M180/1.56,"")</f>
        <v/>
      </c>
      <c r="T180" s="3">
        <f>IF(N180&lt;&gt;"",N180,IF(O180&lt;&gt;"",O180,IF(L180&lt;&gt;"",L180/1.56,IF(M180&lt;&gt;"",M180/1.56,""))))</f>
        <v/>
      </c>
      <c r="U180" s="3" t="n"/>
      <c r="V180" s="3" t="n"/>
      <c r="W180" s="3" t="n">
        <v>111.6</v>
      </c>
      <c r="X180" s="4" t="n">
        <v>5.5</v>
      </c>
      <c r="Y180" s="5" t="n"/>
      <c r="Z180" s="4">
        <f>IF(L180&lt;&gt;"",SQRT(3)*G180*L180/1000,"")</f>
        <v/>
      </c>
      <c r="AA180" t="inlineStr">
        <is>
          <t>Displacement_CFH=987.8</t>
        </is>
      </c>
      <c r="AB180" t="inlineStr">
        <is>
          <t>Dorin_RLA_230_460_3ph_60Hz.xlsx</t>
        </is>
      </c>
      <c r="AC180" t="inlineStr">
        <is>
          <t>DORIN_H_60Hz_3ph</t>
        </is>
      </c>
    </row>
    <row r="181">
      <c r="A181" t="inlineStr">
        <is>
          <t>DORIN</t>
        </is>
      </c>
      <c r="B181" t="inlineStr">
        <is>
          <t>H392CS</t>
        </is>
      </c>
      <c r="D181" t="inlineStr">
        <is>
          <t>Reciprocating Semi-hermetic</t>
        </is>
      </c>
      <c r="E181" s="2" t="n">
        <v>3</v>
      </c>
      <c r="F181" s="2" t="n">
        <v>60</v>
      </c>
      <c r="G181" s="2" t="n">
        <v>460</v>
      </c>
      <c r="H181" t="inlineStr">
        <is>
          <t>440-480</t>
        </is>
      </c>
      <c r="I181" s="2" t="n">
        <v>440</v>
      </c>
      <c r="J181" s="2" t="n">
        <v>480</v>
      </c>
      <c r="K181" t="inlineStr">
        <is>
          <t>Wye</t>
        </is>
      </c>
      <c r="L181" s="3" t="n"/>
      <c r="M181" s="3" t="n">
        <v>11.3</v>
      </c>
      <c r="N181" s="3" t="n"/>
      <c r="O181" s="3" t="n"/>
      <c r="P181" s="3">
        <f>IF(L181&lt;&gt;"",L181/1.4,"")</f>
        <v/>
      </c>
      <c r="Q181" s="3">
        <f>IF(L181&lt;&gt;"",L181/1.56,"")</f>
        <v/>
      </c>
      <c r="R181" s="3">
        <f>IF(M181&lt;&gt;"",M181/1.4,"")</f>
        <v/>
      </c>
      <c r="S181" s="3">
        <f>IF(M181&lt;&gt;"",M181/1.56,"")</f>
        <v/>
      </c>
      <c r="T181" s="3">
        <f>IF(N181&lt;&gt;"",N181,IF(O181&lt;&gt;"",O181,IF(L181&lt;&gt;"",L181/1.56,IF(M181&lt;&gt;"",M181/1.56,""))))</f>
        <v/>
      </c>
      <c r="U181" s="3" t="n"/>
      <c r="V181" s="3" t="n"/>
      <c r="W181" s="3" t="n">
        <v>53.8</v>
      </c>
      <c r="X181" s="4" t="n">
        <v>5.5</v>
      </c>
      <c r="Y181" s="5" t="n"/>
      <c r="Z181" s="4">
        <f>IF(L181&lt;&gt;"",SQRT(3)*G181*L181/1000,"")</f>
        <v/>
      </c>
      <c r="AA181" t="inlineStr">
        <is>
          <t>Displacement_CFH=987.8</t>
        </is>
      </c>
      <c r="AB181" t="inlineStr">
        <is>
          <t>Dorin_RLA_230_460_3ph_60Hz.xlsx</t>
        </is>
      </c>
      <c r="AC181" t="inlineStr">
        <is>
          <t>DORIN_H_60Hz_3ph</t>
        </is>
      </c>
    </row>
    <row r="182">
      <c r="A182" t="inlineStr">
        <is>
          <t>DORIN</t>
        </is>
      </c>
      <c r="B182" t="inlineStr">
        <is>
          <t>H505CS</t>
        </is>
      </c>
      <c r="D182" t="inlineStr">
        <is>
          <t>Reciprocating Semi-hermetic</t>
        </is>
      </c>
      <c r="E182" s="2" t="n">
        <v>3</v>
      </c>
      <c r="F182" s="2" t="n">
        <v>60</v>
      </c>
      <c r="G182" s="2" t="n">
        <v>230</v>
      </c>
      <c r="H182" t="inlineStr">
        <is>
          <t>208-230</t>
        </is>
      </c>
      <c r="I182" s="2" t="n">
        <v>208</v>
      </c>
      <c r="J182" s="2" t="n">
        <v>230</v>
      </c>
      <c r="K182" t="inlineStr">
        <is>
          <t>Delta</t>
        </is>
      </c>
      <c r="L182" s="3" t="n"/>
      <c r="M182" s="3" t="n">
        <v>30</v>
      </c>
      <c r="N182" s="3" t="n"/>
      <c r="O182" s="3" t="n"/>
      <c r="P182" s="3">
        <f>IF(L182&lt;&gt;"",L182/1.4,"")</f>
        <v/>
      </c>
      <c r="Q182" s="3">
        <f>IF(L182&lt;&gt;"",L182/1.56,"")</f>
        <v/>
      </c>
      <c r="R182" s="3">
        <f>IF(M182&lt;&gt;"",M182/1.4,"")</f>
        <v/>
      </c>
      <c r="S182" s="3">
        <f>IF(M182&lt;&gt;"",M182/1.56,"")</f>
        <v/>
      </c>
      <c r="T182" s="3">
        <f>IF(N182&lt;&gt;"",N182,IF(O182&lt;&gt;"",O182,IF(L182&lt;&gt;"",L182/1.56,IF(M182&lt;&gt;"",M182/1.56,""))))</f>
        <v/>
      </c>
      <c r="U182" s="3" t="n"/>
      <c r="V182" s="3" t="n"/>
      <c r="W182" s="3" t="n">
        <v>131</v>
      </c>
      <c r="X182" s="4" t="n">
        <v>10.5</v>
      </c>
      <c r="Y182" s="5" t="n"/>
      <c r="Z182" s="4">
        <f>IF(L182&lt;&gt;"",SQRT(3)*G182*L182/1000,"")</f>
        <v/>
      </c>
      <c r="AA182" t="inlineStr">
        <is>
          <t>Displacement_CFH=1158.2</t>
        </is>
      </c>
      <c r="AB182" t="inlineStr">
        <is>
          <t>Dorin_RLA_230_460_3ph_60Hz.xlsx</t>
        </is>
      </c>
      <c r="AC182" t="inlineStr">
        <is>
          <t>DORIN_H_60Hz_3ph</t>
        </is>
      </c>
    </row>
    <row r="183">
      <c r="A183" t="inlineStr">
        <is>
          <t>DORIN</t>
        </is>
      </c>
      <c r="B183" t="inlineStr">
        <is>
          <t>H505CS</t>
        </is>
      </c>
      <c r="D183" t="inlineStr">
        <is>
          <t>Reciprocating Semi-hermetic</t>
        </is>
      </c>
      <c r="E183" s="2" t="n">
        <v>3</v>
      </c>
      <c r="F183" s="2" t="n">
        <v>60</v>
      </c>
      <c r="G183" s="2" t="n">
        <v>460</v>
      </c>
      <c r="H183" t="inlineStr">
        <is>
          <t>440-480</t>
        </is>
      </c>
      <c r="I183" s="2" t="n">
        <v>440</v>
      </c>
      <c r="J183" s="2" t="n">
        <v>480</v>
      </c>
      <c r="K183" t="inlineStr">
        <is>
          <t>Wye</t>
        </is>
      </c>
      <c r="L183" s="3" t="n"/>
      <c r="M183" s="3" t="n">
        <v>14.5</v>
      </c>
      <c r="N183" s="3" t="n"/>
      <c r="O183" s="3" t="n"/>
      <c r="P183" s="3">
        <f>IF(L183&lt;&gt;"",L183/1.4,"")</f>
        <v/>
      </c>
      <c r="Q183" s="3">
        <f>IF(L183&lt;&gt;"",L183/1.56,"")</f>
        <v/>
      </c>
      <c r="R183" s="3">
        <f>IF(M183&lt;&gt;"",M183/1.4,"")</f>
        <v/>
      </c>
      <c r="S183" s="3">
        <f>IF(M183&lt;&gt;"",M183/1.56,"")</f>
        <v/>
      </c>
      <c r="T183" s="3">
        <f>IF(N183&lt;&gt;"",N183,IF(O183&lt;&gt;"",O183,IF(L183&lt;&gt;"",L183/1.56,IF(M183&lt;&gt;"",M183/1.56,""))))</f>
        <v/>
      </c>
      <c r="U183" s="3" t="n"/>
      <c r="V183" s="3" t="n"/>
      <c r="W183" s="3" t="n">
        <v>63.1</v>
      </c>
      <c r="X183" s="4" t="n">
        <v>10.5</v>
      </c>
      <c r="Y183" s="5" t="n"/>
      <c r="Z183" s="4">
        <f>IF(L183&lt;&gt;"",SQRT(3)*G183*L183/1000,"")</f>
        <v/>
      </c>
      <c r="AA183" t="inlineStr">
        <is>
          <t>Displacement_CFH=1158.2</t>
        </is>
      </c>
      <c r="AB183" t="inlineStr">
        <is>
          <t>Dorin_RLA_230_460_3ph_60Hz.xlsx</t>
        </is>
      </c>
      <c r="AC183" t="inlineStr">
        <is>
          <t>DORIN_H_60Hz_3ph</t>
        </is>
      </c>
    </row>
    <row r="184">
      <c r="A184" t="inlineStr">
        <is>
          <t>DORIN</t>
        </is>
      </c>
      <c r="B184" t="inlineStr">
        <is>
          <t>H705CC</t>
        </is>
      </c>
      <c r="D184" t="inlineStr">
        <is>
          <t>Reciprocating Semi-hermetic</t>
        </is>
      </c>
      <c r="E184" s="2" t="n">
        <v>3</v>
      </c>
      <c r="F184" s="2" t="n">
        <v>60</v>
      </c>
      <c r="G184" s="2" t="n">
        <v>230</v>
      </c>
      <c r="H184" t="inlineStr">
        <is>
          <t>208-230</t>
        </is>
      </c>
      <c r="I184" s="2" t="n">
        <v>208</v>
      </c>
      <c r="J184" s="2" t="n">
        <v>230</v>
      </c>
      <c r="K184" t="inlineStr">
        <is>
          <t>Delta</t>
        </is>
      </c>
      <c r="L184" s="3" t="n"/>
      <c r="M184" s="3" t="n">
        <v>41</v>
      </c>
      <c r="N184" s="3" t="n"/>
      <c r="O184" s="3" t="n"/>
      <c r="P184" s="3">
        <f>IF(L184&lt;&gt;"",L184/1.4,"")</f>
        <v/>
      </c>
      <c r="Q184" s="3">
        <f>IF(L184&lt;&gt;"",L184/1.56,"")</f>
        <v/>
      </c>
      <c r="R184" s="3">
        <f>IF(M184&lt;&gt;"",M184/1.4,"")</f>
        <v/>
      </c>
      <c r="S184" s="3">
        <f>IF(M184&lt;&gt;"",M184/1.56,"")</f>
        <v/>
      </c>
      <c r="T184" s="3">
        <f>IF(N184&lt;&gt;"",N184,IF(O184&lt;&gt;"",O184,IF(L184&lt;&gt;"",L184/1.56,IF(M184&lt;&gt;"",M184/1.56,""))))</f>
        <v/>
      </c>
      <c r="U184" s="3" t="n"/>
      <c r="V184" s="3" t="n"/>
      <c r="W184" s="3" t="n">
        <v>178.5</v>
      </c>
      <c r="X184" s="4" t="n">
        <v>13.7</v>
      </c>
      <c r="Y184" s="5" t="n"/>
      <c r="Z184" s="4">
        <f>IF(L184&lt;&gt;"",SQRT(3)*G184*L184/1000,"")</f>
        <v/>
      </c>
      <c r="AA184" t="inlineStr">
        <is>
          <t>Displacement_CFH=1158.2</t>
        </is>
      </c>
      <c r="AB184" t="inlineStr">
        <is>
          <t>Dorin_RLA_230_460_3ph_60Hz.xlsx</t>
        </is>
      </c>
      <c r="AC184" t="inlineStr">
        <is>
          <t>DORIN_H_60Hz_3ph</t>
        </is>
      </c>
    </row>
    <row r="185">
      <c r="A185" t="inlineStr">
        <is>
          <t>DORIN</t>
        </is>
      </c>
      <c r="B185" t="inlineStr">
        <is>
          <t>H705CC</t>
        </is>
      </c>
      <c r="D185" t="inlineStr">
        <is>
          <t>Reciprocating Semi-hermetic</t>
        </is>
      </c>
      <c r="E185" s="2" t="n">
        <v>3</v>
      </c>
      <c r="F185" s="2" t="n">
        <v>60</v>
      </c>
      <c r="G185" s="2" t="n">
        <v>460</v>
      </c>
      <c r="H185" t="inlineStr">
        <is>
          <t>440-480</t>
        </is>
      </c>
      <c r="I185" s="2" t="n">
        <v>440</v>
      </c>
      <c r="J185" s="2" t="n">
        <v>480</v>
      </c>
      <c r="K185" t="inlineStr">
        <is>
          <t>Wye</t>
        </is>
      </c>
      <c r="L185" s="3" t="n"/>
      <c r="M185" s="3" t="n">
        <v>19.5</v>
      </c>
      <c r="N185" s="3" t="n"/>
      <c r="O185" s="3" t="n"/>
      <c r="P185" s="3">
        <f>IF(L185&lt;&gt;"",L185/1.4,"")</f>
        <v/>
      </c>
      <c r="Q185" s="3">
        <f>IF(L185&lt;&gt;"",L185/1.56,"")</f>
        <v/>
      </c>
      <c r="R185" s="3">
        <f>IF(M185&lt;&gt;"",M185/1.4,"")</f>
        <v/>
      </c>
      <c r="S185" s="3">
        <f>IF(M185&lt;&gt;"",M185/1.56,"")</f>
        <v/>
      </c>
      <c r="T185" s="3">
        <f>IF(N185&lt;&gt;"",N185,IF(O185&lt;&gt;"",O185,IF(L185&lt;&gt;"",L185/1.56,IF(M185&lt;&gt;"",M185/1.56,""))))</f>
        <v/>
      </c>
      <c r="U185" s="3" t="n"/>
      <c r="V185" s="3" t="n"/>
      <c r="W185" s="3" t="n">
        <v>86</v>
      </c>
      <c r="X185" s="4" t="n">
        <v>13.7</v>
      </c>
      <c r="Y185" s="5" t="n"/>
      <c r="Z185" s="4">
        <f>IF(L185&lt;&gt;"",SQRT(3)*G185*L185/1000,"")</f>
        <v/>
      </c>
      <c r="AA185" t="inlineStr">
        <is>
          <t>Displacement_CFH=1158.2</t>
        </is>
      </c>
      <c r="AB185" t="inlineStr">
        <is>
          <t>Dorin_RLA_230_460_3ph_60Hz.xlsx</t>
        </is>
      </c>
      <c r="AC185" t="inlineStr">
        <is>
          <t>DORIN_H_60Hz_3ph</t>
        </is>
      </c>
    </row>
    <row r="186">
      <c r="A186" t="inlineStr">
        <is>
          <t>DORIN</t>
        </is>
      </c>
      <c r="B186" t="inlineStr">
        <is>
          <t>H551CS</t>
        </is>
      </c>
      <c r="D186" t="inlineStr">
        <is>
          <t>Reciprocating Semi-hermetic</t>
        </is>
      </c>
      <c r="E186" s="2" t="n">
        <v>3</v>
      </c>
      <c r="F186" s="2" t="n">
        <v>60</v>
      </c>
      <c r="G186" s="2" t="n">
        <v>230</v>
      </c>
      <c r="H186" t="inlineStr">
        <is>
          <t>208-230</t>
        </is>
      </c>
      <c r="I186" s="2" t="n">
        <v>208</v>
      </c>
      <c r="J186" s="2" t="n">
        <v>230</v>
      </c>
      <c r="K186" t="inlineStr">
        <is>
          <t>Delta</t>
        </is>
      </c>
      <c r="L186" s="3" t="n"/>
      <c r="M186" s="3" t="n">
        <v>30</v>
      </c>
      <c r="N186" s="3" t="n"/>
      <c r="O186" s="3" t="n"/>
      <c r="P186" s="3">
        <f>IF(L186&lt;&gt;"",L186/1.4,"")</f>
        <v/>
      </c>
      <c r="Q186" s="3">
        <f>IF(L186&lt;&gt;"",L186/1.56,"")</f>
        <v/>
      </c>
      <c r="R186" s="3">
        <f>IF(M186&lt;&gt;"",M186/1.4,"")</f>
        <v/>
      </c>
      <c r="S186" s="3">
        <f>IF(M186&lt;&gt;"",M186/1.56,"")</f>
        <v/>
      </c>
      <c r="T186" s="3">
        <f>IF(N186&lt;&gt;"",N186,IF(O186&lt;&gt;"",O186,IF(L186&lt;&gt;"",L186/1.56,IF(M186&lt;&gt;"",M186/1.56,""))))</f>
        <v/>
      </c>
      <c r="U186" s="3" t="n"/>
      <c r="V186" s="3" t="n"/>
      <c r="W186" s="3" t="n">
        <v>131</v>
      </c>
      <c r="X186" s="4" t="n">
        <v>10.5</v>
      </c>
      <c r="Y186" s="5" t="n"/>
      <c r="Z186" s="4">
        <f>IF(L186&lt;&gt;"",SQRT(3)*G186*L186/1000,"")</f>
        <v/>
      </c>
      <c r="AA186" t="inlineStr">
        <is>
          <t>Displacement_CFH=1158.3</t>
        </is>
      </c>
      <c r="AB186" t="inlineStr">
        <is>
          <t>Dorin_RLA_230_460_3ph_60Hz.xlsx</t>
        </is>
      </c>
      <c r="AC186" t="inlineStr">
        <is>
          <t>DORIN_H_60Hz_3ph</t>
        </is>
      </c>
    </row>
    <row r="187">
      <c r="A187" t="inlineStr">
        <is>
          <t>DORIN</t>
        </is>
      </c>
      <c r="B187" t="inlineStr">
        <is>
          <t>H551CS</t>
        </is>
      </c>
      <c r="D187" t="inlineStr">
        <is>
          <t>Reciprocating Semi-hermetic</t>
        </is>
      </c>
      <c r="E187" s="2" t="n">
        <v>3</v>
      </c>
      <c r="F187" s="2" t="n">
        <v>60</v>
      </c>
      <c r="G187" s="2" t="n">
        <v>460</v>
      </c>
      <c r="H187" t="inlineStr">
        <is>
          <t>440-480</t>
        </is>
      </c>
      <c r="I187" s="2" t="n">
        <v>440</v>
      </c>
      <c r="J187" s="2" t="n">
        <v>480</v>
      </c>
      <c r="K187" t="inlineStr">
        <is>
          <t>Wye</t>
        </is>
      </c>
      <c r="L187" s="3" t="n"/>
      <c r="M187" s="3" t="n">
        <v>14.5</v>
      </c>
      <c r="N187" s="3" t="n"/>
      <c r="O187" s="3" t="n"/>
      <c r="P187" s="3">
        <f>IF(L187&lt;&gt;"",L187/1.4,"")</f>
        <v/>
      </c>
      <c r="Q187" s="3">
        <f>IF(L187&lt;&gt;"",L187/1.56,"")</f>
        <v/>
      </c>
      <c r="R187" s="3">
        <f>IF(M187&lt;&gt;"",M187/1.4,"")</f>
        <v/>
      </c>
      <c r="S187" s="3">
        <f>IF(M187&lt;&gt;"",M187/1.56,"")</f>
        <v/>
      </c>
      <c r="T187" s="3">
        <f>IF(N187&lt;&gt;"",N187,IF(O187&lt;&gt;"",O187,IF(L187&lt;&gt;"",L187/1.56,IF(M187&lt;&gt;"",M187/1.56,""))))</f>
        <v/>
      </c>
      <c r="U187" s="3" t="n"/>
      <c r="V187" s="3" t="n"/>
      <c r="W187" s="3" t="n">
        <v>63.1</v>
      </c>
      <c r="X187" s="4" t="n">
        <v>10.5</v>
      </c>
      <c r="Y187" s="5" t="n"/>
      <c r="Z187" s="4">
        <f>IF(L187&lt;&gt;"",SQRT(3)*G187*L187/1000,"")</f>
        <v/>
      </c>
      <c r="AA187" t="inlineStr">
        <is>
          <t>Displacement_CFH=1158.3</t>
        </is>
      </c>
      <c r="AB187" t="inlineStr">
        <is>
          <t>Dorin_RLA_230_460_3ph_60Hz.xlsx</t>
        </is>
      </c>
      <c r="AC187" t="inlineStr">
        <is>
          <t>DORIN_H_60Hz_3ph</t>
        </is>
      </c>
    </row>
    <row r="188">
      <c r="A188" t="inlineStr">
        <is>
          <t>DORIN</t>
        </is>
      </c>
      <c r="B188" t="inlineStr">
        <is>
          <t>H701CC</t>
        </is>
      </c>
      <c r="D188" t="inlineStr">
        <is>
          <t>Reciprocating Semi-hermetic</t>
        </is>
      </c>
      <c r="E188" s="2" t="n">
        <v>3</v>
      </c>
      <c r="F188" s="2" t="n">
        <v>60</v>
      </c>
      <c r="G188" s="2" t="n">
        <v>230</v>
      </c>
      <c r="H188" t="inlineStr">
        <is>
          <t>208-230</t>
        </is>
      </c>
      <c r="I188" s="2" t="n">
        <v>208</v>
      </c>
      <c r="J188" s="2" t="n">
        <v>230</v>
      </c>
      <c r="K188" t="inlineStr">
        <is>
          <t>Delta</t>
        </is>
      </c>
      <c r="L188" s="3" t="n"/>
      <c r="M188" s="3" t="n">
        <v>41</v>
      </c>
      <c r="N188" s="3" t="n"/>
      <c r="O188" s="3" t="n"/>
      <c r="P188" s="3">
        <f>IF(L188&lt;&gt;"",L188/1.4,"")</f>
        <v/>
      </c>
      <c r="Q188" s="3">
        <f>IF(L188&lt;&gt;"",L188/1.56,"")</f>
        <v/>
      </c>
      <c r="R188" s="3">
        <f>IF(M188&lt;&gt;"",M188/1.4,"")</f>
        <v/>
      </c>
      <c r="S188" s="3">
        <f>IF(M188&lt;&gt;"",M188/1.56,"")</f>
        <v/>
      </c>
      <c r="T188" s="3">
        <f>IF(N188&lt;&gt;"",N188,IF(O188&lt;&gt;"",O188,IF(L188&lt;&gt;"",L188/1.56,IF(M188&lt;&gt;"",M188/1.56,""))))</f>
        <v/>
      </c>
      <c r="U188" s="3" t="n"/>
      <c r="V188" s="3" t="n"/>
      <c r="W188" s="3" t="n">
        <v>178.5</v>
      </c>
      <c r="X188" s="4" t="n">
        <v>13.7</v>
      </c>
      <c r="Y188" s="5" t="n"/>
      <c r="Z188" s="4">
        <f>IF(L188&lt;&gt;"",SQRT(3)*G188*L188/1000,"")</f>
        <v/>
      </c>
      <c r="AA188" t="inlineStr">
        <is>
          <t>Displacement_CFH=1158.3</t>
        </is>
      </c>
      <c r="AB188" t="inlineStr">
        <is>
          <t>Dorin_RLA_230_460_3ph_60Hz.xlsx</t>
        </is>
      </c>
      <c r="AC188" t="inlineStr">
        <is>
          <t>DORIN_H_60Hz_3ph</t>
        </is>
      </c>
    </row>
    <row r="189">
      <c r="A189" t="inlineStr">
        <is>
          <t>DORIN</t>
        </is>
      </c>
      <c r="B189" t="inlineStr">
        <is>
          <t>H701CC</t>
        </is>
      </c>
      <c r="D189" t="inlineStr">
        <is>
          <t>Reciprocating Semi-hermetic</t>
        </is>
      </c>
      <c r="E189" s="2" t="n">
        <v>3</v>
      </c>
      <c r="F189" s="2" t="n">
        <v>60</v>
      </c>
      <c r="G189" s="2" t="n">
        <v>460</v>
      </c>
      <c r="H189" t="inlineStr">
        <is>
          <t>440-480</t>
        </is>
      </c>
      <c r="I189" s="2" t="n">
        <v>440</v>
      </c>
      <c r="J189" s="2" t="n">
        <v>480</v>
      </c>
      <c r="K189" t="inlineStr">
        <is>
          <t>Wye</t>
        </is>
      </c>
      <c r="L189" s="3" t="n"/>
      <c r="M189" s="3" t="n">
        <v>19.5</v>
      </c>
      <c r="N189" s="3" t="n"/>
      <c r="O189" s="3" t="n"/>
      <c r="P189" s="3">
        <f>IF(L189&lt;&gt;"",L189/1.4,"")</f>
        <v/>
      </c>
      <c r="Q189" s="3">
        <f>IF(L189&lt;&gt;"",L189/1.56,"")</f>
        <v/>
      </c>
      <c r="R189" s="3">
        <f>IF(M189&lt;&gt;"",M189/1.4,"")</f>
        <v/>
      </c>
      <c r="S189" s="3">
        <f>IF(M189&lt;&gt;"",M189/1.56,"")</f>
        <v/>
      </c>
      <c r="T189" s="3">
        <f>IF(N189&lt;&gt;"",N189,IF(O189&lt;&gt;"",O189,IF(L189&lt;&gt;"",L189/1.56,IF(M189&lt;&gt;"",M189/1.56,""))))</f>
        <v/>
      </c>
      <c r="U189" s="3" t="n"/>
      <c r="V189" s="3" t="n"/>
      <c r="W189" s="3" t="n">
        <v>86</v>
      </c>
      <c r="X189" s="4" t="n">
        <v>13.7</v>
      </c>
      <c r="Y189" s="5" t="n"/>
      <c r="Z189" s="4">
        <f>IF(L189&lt;&gt;"",SQRT(3)*G189*L189/1000,"")</f>
        <v/>
      </c>
      <c r="AA189" t="inlineStr">
        <is>
          <t>Displacement_CFH=1158.3</t>
        </is>
      </c>
      <c r="AB189" t="inlineStr">
        <is>
          <t>Dorin_RLA_230_460_3ph_60Hz.xlsx</t>
        </is>
      </c>
      <c r="AC189" t="inlineStr">
        <is>
          <t>DORIN_H_60Hz_3ph</t>
        </is>
      </c>
    </row>
    <row r="190">
      <c r="A190" t="inlineStr">
        <is>
          <t>DORIN</t>
        </is>
      </c>
      <c r="B190" t="inlineStr">
        <is>
          <t>H701CS</t>
        </is>
      </c>
      <c r="D190" t="inlineStr">
        <is>
          <t>Reciprocating Semi-hermetic</t>
        </is>
      </c>
      <c r="E190" s="2" t="n">
        <v>3</v>
      </c>
      <c r="F190" s="2" t="n">
        <v>60</v>
      </c>
      <c r="G190" s="2" t="n">
        <v>230</v>
      </c>
      <c r="H190" t="inlineStr">
        <is>
          <t>208-230</t>
        </is>
      </c>
      <c r="I190" s="2" t="n">
        <v>208</v>
      </c>
      <c r="J190" s="2" t="n">
        <v>230</v>
      </c>
      <c r="K190" t="inlineStr">
        <is>
          <t>Delta</t>
        </is>
      </c>
      <c r="L190" s="3" t="n"/>
      <c r="M190" s="3" t="n">
        <v>30</v>
      </c>
      <c r="N190" s="3" t="n"/>
      <c r="O190" s="3" t="n"/>
      <c r="P190" s="3">
        <f>IF(L190&lt;&gt;"",L190/1.4,"")</f>
        <v/>
      </c>
      <c r="Q190" s="3">
        <f>IF(L190&lt;&gt;"",L190/1.56,"")</f>
        <v/>
      </c>
      <c r="R190" s="3">
        <f>IF(M190&lt;&gt;"",M190/1.4,"")</f>
        <v/>
      </c>
      <c r="S190" s="3">
        <f>IF(M190&lt;&gt;"",M190/1.56,"")</f>
        <v/>
      </c>
      <c r="T190" s="3">
        <f>IF(N190&lt;&gt;"",N190,IF(O190&lt;&gt;"",O190,IF(L190&lt;&gt;"",L190/1.56,IF(M190&lt;&gt;"",M190/1.56,""))))</f>
        <v/>
      </c>
      <c r="U190" s="3" t="n"/>
      <c r="V190" s="3" t="n"/>
      <c r="W190" s="3" t="n">
        <v>131</v>
      </c>
      <c r="X190" s="4" t="n">
        <v>10.5</v>
      </c>
      <c r="Y190" s="5" t="n"/>
      <c r="Z190" s="4">
        <f>IF(L190&lt;&gt;"",SQRT(3)*G190*L190/1000,"")</f>
        <v/>
      </c>
      <c r="AA190" t="inlineStr">
        <is>
          <t>Displacement_CFH=1351.0</t>
        </is>
      </c>
      <c r="AB190" t="inlineStr">
        <is>
          <t>Dorin_RLA_230_460_3ph_60Hz.xlsx</t>
        </is>
      </c>
      <c r="AC190" t="inlineStr">
        <is>
          <t>DORIN_H_60Hz_3ph</t>
        </is>
      </c>
    </row>
    <row r="191">
      <c r="A191" t="inlineStr">
        <is>
          <t>DORIN</t>
        </is>
      </c>
      <c r="B191" t="inlineStr">
        <is>
          <t>H701CS</t>
        </is>
      </c>
      <c r="D191" t="inlineStr">
        <is>
          <t>Reciprocating Semi-hermetic</t>
        </is>
      </c>
      <c r="E191" s="2" t="n">
        <v>3</v>
      </c>
      <c r="F191" s="2" t="n">
        <v>60</v>
      </c>
      <c r="G191" s="2" t="n">
        <v>460</v>
      </c>
      <c r="H191" t="inlineStr">
        <is>
          <t>440-480</t>
        </is>
      </c>
      <c r="I191" s="2" t="n">
        <v>440</v>
      </c>
      <c r="J191" s="2" t="n">
        <v>480</v>
      </c>
      <c r="K191" t="inlineStr">
        <is>
          <t>Wye</t>
        </is>
      </c>
      <c r="L191" s="3" t="n"/>
      <c r="M191" s="3" t="n">
        <v>14.5</v>
      </c>
      <c r="N191" s="3" t="n"/>
      <c r="O191" s="3" t="n"/>
      <c r="P191" s="3">
        <f>IF(L191&lt;&gt;"",L191/1.4,"")</f>
        <v/>
      </c>
      <c r="Q191" s="3">
        <f>IF(L191&lt;&gt;"",L191/1.56,"")</f>
        <v/>
      </c>
      <c r="R191" s="3">
        <f>IF(M191&lt;&gt;"",M191/1.4,"")</f>
        <v/>
      </c>
      <c r="S191" s="3">
        <f>IF(M191&lt;&gt;"",M191/1.56,"")</f>
        <v/>
      </c>
      <c r="T191" s="3">
        <f>IF(N191&lt;&gt;"",N191,IF(O191&lt;&gt;"",O191,IF(L191&lt;&gt;"",L191/1.56,IF(M191&lt;&gt;"",M191/1.56,""))))</f>
        <v/>
      </c>
      <c r="U191" s="3" t="n"/>
      <c r="V191" s="3" t="n"/>
      <c r="W191" s="3" t="n">
        <v>63.1</v>
      </c>
      <c r="X191" s="4" t="n">
        <v>10.5</v>
      </c>
      <c r="Y191" s="5" t="n"/>
      <c r="Z191" s="4">
        <f>IF(L191&lt;&gt;"",SQRT(3)*G191*L191/1000,"")</f>
        <v/>
      </c>
      <c r="AA191" t="inlineStr">
        <is>
          <t>Displacement_CFH=1351.0</t>
        </is>
      </c>
      <c r="AB191" t="inlineStr">
        <is>
          <t>Dorin_RLA_230_460_3ph_60Hz.xlsx</t>
        </is>
      </c>
      <c r="AC191" t="inlineStr">
        <is>
          <t>DORIN_H_60Hz_3ph</t>
        </is>
      </c>
    </row>
    <row r="192">
      <c r="A192" t="inlineStr">
        <is>
          <t>DORIN</t>
        </is>
      </c>
      <c r="B192" t="inlineStr">
        <is>
          <t>H751CC</t>
        </is>
      </c>
      <c r="D192" t="inlineStr">
        <is>
          <t>Reciprocating Semi-hermetic</t>
        </is>
      </c>
      <c r="E192" s="2" t="n">
        <v>3</v>
      </c>
      <c r="F192" s="2" t="n">
        <v>60</v>
      </c>
      <c r="G192" s="2" t="n">
        <v>230</v>
      </c>
      <c r="H192" t="inlineStr">
        <is>
          <t>208-230</t>
        </is>
      </c>
      <c r="I192" s="2" t="n">
        <v>208</v>
      </c>
      <c r="J192" s="2" t="n">
        <v>230</v>
      </c>
      <c r="K192" t="inlineStr">
        <is>
          <t>Delta</t>
        </is>
      </c>
      <c r="L192" s="3" t="n"/>
      <c r="M192" s="3" t="n">
        <v>41</v>
      </c>
      <c r="N192" s="3" t="n"/>
      <c r="O192" s="3" t="n"/>
      <c r="P192" s="3">
        <f>IF(L192&lt;&gt;"",L192/1.4,"")</f>
        <v/>
      </c>
      <c r="Q192" s="3">
        <f>IF(L192&lt;&gt;"",L192/1.56,"")</f>
        <v/>
      </c>
      <c r="R192" s="3">
        <f>IF(M192&lt;&gt;"",M192/1.4,"")</f>
        <v/>
      </c>
      <c r="S192" s="3">
        <f>IF(M192&lt;&gt;"",M192/1.56,"")</f>
        <v/>
      </c>
      <c r="T192" s="3">
        <f>IF(N192&lt;&gt;"",N192,IF(O192&lt;&gt;"",O192,IF(L192&lt;&gt;"",L192/1.56,IF(M192&lt;&gt;"",M192/1.56,""))))</f>
        <v/>
      </c>
      <c r="U192" s="3" t="n"/>
      <c r="V192" s="3" t="n"/>
      <c r="W192" s="3" t="n">
        <v>178.5</v>
      </c>
      <c r="X192" s="4" t="n">
        <v>13.7</v>
      </c>
      <c r="Y192" s="5" t="n"/>
      <c r="Z192" s="4">
        <f>IF(L192&lt;&gt;"",SQRT(3)*G192*L192/1000,"")</f>
        <v/>
      </c>
      <c r="AA192" t="inlineStr">
        <is>
          <t>Displacement_CFH=1351.0</t>
        </is>
      </c>
      <c r="AB192" t="inlineStr">
        <is>
          <t>Dorin_RLA_230_460_3ph_60Hz.xlsx</t>
        </is>
      </c>
      <c r="AC192" t="inlineStr">
        <is>
          <t>DORIN_H_60Hz_3ph</t>
        </is>
      </c>
    </row>
    <row r="193">
      <c r="A193" t="inlineStr">
        <is>
          <t>DORIN</t>
        </is>
      </c>
      <c r="B193" t="inlineStr">
        <is>
          <t>H751CC</t>
        </is>
      </c>
      <c r="D193" t="inlineStr">
        <is>
          <t>Reciprocating Semi-hermetic</t>
        </is>
      </c>
      <c r="E193" s="2" t="n">
        <v>3</v>
      </c>
      <c r="F193" s="2" t="n">
        <v>60</v>
      </c>
      <c r="G193" s="2" t="n">
        <v>460</v>
      </c>
      <c r="H193" t="inlineStr">
        <is>
          <t>440-480</t>
        </is>
      </c>
      <c r="I193" s="2" t="n">
        <v>440</v>
      </c>
      <c r="J193" s="2" t="n">
        <v>480</v>
      </c>
      <c r="K193" t="inlineStr">
        <is>
          <t>Wye</t>
        </is>
      </c>
      <c r="L193" s="3" t="n"/>
      <c r="M193" s="3" t="n">
        <v>19.5</v>
      </c>
      <c r="N193" s="3" t="n"/>
      <c r="O193" s="3" t="n"/>
      <c r="P193" s="3">
        <f>IF(L193&lt;&gt;"",L193/1.4,"")</f>
        <v/>
      </c>
      <c r="Q193" s="3">
        <f>IF(L193&lt;&gt;"",L193/1.56,"")</f>
        <v/>
      </c>
      <c r="R193" s="3">
        <f>IF(M193&lt;&gt;"",M193/1.4,"")</f>
        <v/>
      </c>
      <c r="S193" s="3">
        <f>IF(M193&lt;&gt;"",M193/1.56,"")</f>
        <v/>
      </c>
      <c r="T193" s="3">
        <f>IF(N193&lt;&gt;"",N193,IF(O193&lt;&gt;"",O193,IF(L193&lt;&gt;"",L193/1.56,IF(M193&lt;&gt;"",M193/1.56,""))))</f>
        <v/>
      </c>
      <c r="U193" s="3" t="n"/>
      <c r="V193" s="3" t="n"/>
      <c r="W193" s="3" t="n">
        <v>86</v>
      </c>
      <c r="X193" s="4" t="n">
        <v>13.7</v>
      </c>
      <c r="Y193" s="5" t="n"/>
      <c r="Z193" s="4">
        <f>IF(L193&lt;&gt;"",SQRT(3)*G193*L193/1000,"")</f>
        <v/>
      </c>
      <c r="AA193" t="inlineStr">
        <is>
          <t>Displacement_CFH=1351.0</t>
        </is>
      </c>
      <c r="AB193" t="inlineStr">
        <is>
          <t>Dorin_RLA_230_460_3ph_60Hz.xlsx</t>
        </is>
      </c>
      <c r="AC193" t="inlineStr">
        <is>
          <t>DORIN_H_60Hz_3ph</t>
        </is>
      </c>
    </row>
    <row r="194">
      <c r="A194" t="inlineStr">
        <is>
          <t>DORIN</t>
        </is>
      </c>
      <c r="B194" t="inlineStr">
        <is>
          <t>H705CS</t>
        </is>
      </c>
      <c r="D194" t="inlineStr">
        <is>
          <t>Reciprocating Semi-hermetic</t>
        </is>
      </c>
      <c r="E194" s="2" t="n">
        <v>3</v>
      </c>
      <c r="F194" s="2" t="n">
        <v>60</v>
      </c>
      <c r="G194" s="2" t="n">
        <v>230</v>
      </c>
      <c r="H194" t="inlineStr">
        <is>
          <t>208-230</t>
        </is>
      </c>
      <c r="I194" s="2" t="n">
        <v>208</v>
      </c>
      <c r="J194" s="2" t="n">
        <v>230</v>
      </c>
      <c r="K194" t="inlineStr">
        <is>
          <t>Delta</t>
        </is>
      </c>
      <c r="L194" s="3" t="n"/>
      <c r="M194" s="3" t="n">
        <v>30</v>
      </c>
      <c r="N194" s="3" t="n"/>
      <c r="O194" s="3" t="n"/>
      <c r="P194" s="3">
        <f>IF(L194&lt;&gt;"",L194/1.4,"")</f>
        <v/>
      </c>
      <c r="Q194" s="3">
        <f>IF(L194&lt;&gt;"",L194/1.56,"")</f>
        <v/>
      </c>
      <c r="R194" s="3">
        <f>IF(M194&lt;&gt;"",M194/1.4,"")</f>
        <v/>
      </c>
      <c r="S194" s="3">
        <f>IF(M194&lt;&gt;"",M194/1.56,"")</f>
        <v/>
      </c>
      <c r="T194" s="3">
        <f>IF(N194&lt;&gt;"",N194,IF(O194&lt;&gt;"",O194,IF(L194&lt;&gt;"",L194/1.56,IF(M194&lt;&gt;"",M194/1.56,""))))</f>
        <v/>
      </c>
      <c r="U194" s="3" t="n"/>
      <c r="V194" s="3" t="n"/>
      <c r="W194" s="3" t="n">
        <v>131</v>
      </c>
      <c r="X194" s="4" t="n">
        <v>10.5</v>
      </c>
      <c r="Y194" s="5" t="n"/>
      <c r="Z194" s="4">
        <f>IF(L194&lt;&gt;"",SQRT(3)*G194*L194/1000,"")</f>
        <v/>
      </c>
      <c r="AA194" t="inlineStr">
        <is>
          <t>Displacement_CFH=1351.1</t>
        </is>
      </c>
      <c r="AB194" t="inlineStr">
        <is>
          <t>Dorin_RLA_230_460_3ph_60Hz.xlsx</t>
        </is>
      </c>
      <c r="AC194" t="inlineStr">
        <is>
          <t>DORIN_H_60Hz_3ph</t>
        </is>
      </c>
    </row>
    <row r="195">
      <c r="A195" t="inlineStr">
        <is>
          <t>DORIN</t>
        </is>
      </c>
      <c r="B195" t="inlineStr">
        <is>
          <t>H705CS</t>
        </is>
      </c>
      <c r="D195" t="inlineStr">
        <is>
          <t>Reciprocating Semi-hermetic</t>
        </is>
      </c>
      <c r="E195" s="2" t="n">
        <v>3</v>
      </c>
      <c r="F195" s="2" t="n">
        <v>60</v>
      </c>
      <c r="G195" s="2" t="n">
        <v>460</v>
      </c>
      <c r="H195" t="inlineStr">
        <is>
          <t>440-480</t>
        </is>
      </c>
      <c r="I195" s="2" t="n">
        <v>440</v>
      </c>
      <c r="J195" s="2" t="n">
        <v>480</v>
      </c>
      <c r="K195" t="inlineStr">
        <is>
          <t>Wye</t>
        </is>
      </c>
      <c r="L195" s="3" t="n"/>
      <c r="M195" s="3" t="n">
        <v>14.5</v>
      </c>
      <c r="N195" s="3" t="n"/>
      <c r="O195" s="3" t="n"/>
      <c r="P195" s="3">
        <f>IF(L195&lt;&gt;"",L195/1.4,"")</f>
        <v/>
      </c>
      <c r="Q195" s="3">
        <f>IF(L195&lt;&gt;"",L195/1.56,"")</f>
        <v/>
      </c>
      <c r="R195" s="3">
        <f>IF(M195&lt;&gt;"",M195/1.4,"")</f>
        <v/>
      </c>
      <c r="S195" s="3">
        <f>IF(M195&lt;&gt;"",M195/1.56,"")</f>
        <v/>
      </c>
      <c r="T195" s="3">
        <f>IF(N195&lt;&gt;"",N195,IF(O195&lt;&gt;"",O195,IF(L195&lt;&gt;"",L195/1.56,IF(M195&lt;&gt;"",M195/1.56,""))))</f>
        <v/>
      </c>
      <c r="U195" s="3" t="n"/>
      <c r="V195" s="3" t="n"/>
      <c r="W195" s="3" t="n">
        <v>63.1</v>
      </c>
      <c r="X195" s="4" t="n">
        <v>10.5</v>
      </c>
      <c r="Y195" s="5" t="n"/>
      <c r="Z195" s="4">
        <f>IF(L195&lt;&gt;"",SQRT(3)*G195*L195/1000,"")</f>
        <v/>
      </c>
      <c r="AA195" t="inlineStr">
        <is>
          <t>Displacement_CFH=1351.1</t>
        </is>
      </c>
      <c r="AB195" t="inlineStr">
        <is>
          <t>Dorin_RLA_230_460_3ph_60Hz.xlsx</t>
        </is>
      </c>
      <c r="AC195" t="inlineStr">
        <is>
          <t>DORIN_H_60Hz_3ph</t>
        </is>
      </c>
    </row>
    <row r="196">
      <c r="A196" t="inlineStr">
        <is>
          <t>DORIN</t>
        </is>
      </c>
      <c r="B196" t="inlineStr">
        <is>
          <t>H755CC</t>
        </is>
      </c>
      <c r="D196" t="inlineStr">
        <is>
          <t>Reciprocating Semi-hermetic</t>
        </is>
      </c>
      <c r="E196" s="2" t="n">
        <v>3</v>
      </c>
      <c r="F196" s="2" t="n">
        <v>60</v>
      </c>
      <c r="G196" s="2" t="n">
        <v>230</v>
      </c>
      <c r="H196" t="inlineStr">
        <is>
          <t>208-230</t>
        </is>
      </c>
      <c r="I196" s="2" t="n">
        <v>208</v>
      </c>
      <c r="J196" s="2" t="n">
        <v>230</v>
      </c>
      <c r="K196" t="inlineStr">
        <is>
          <t>Delta</t>
        </is>
      </c>
      <c r="L196" s="3" t="n"/>
      <c r="M196" s="3" t="n">
        <v>41</v>
      </c>
      <c r="N196" s="3" t="n"/>
      <c r="O196" s="3" t="n"/>
      <c r="P196" s="3">
        <f>IF(L196&lt;&gt;"",L196/1.4,"")</f>
        <v/>
      </c>
      <c r="Q196" s="3">
        <f>IF(L196&lt;&gt;"",L196/1.56,"")</f>
        <v/>
      </c>
      <c r="R196" s="3">
        <f>IF(M196&lt;&gt;"",M196/1.4,"")</f>
        <v/>
      </c>
      <c r="S196" s="3">
        <f>IF(M196&lt;&gt;"",M196/1.56,"")</f>
        <v/>
      </c>
      <c r="T196" s="3">
        <f>IF(N196&lt;&gt;"",N196,IF(O196&lt;&gt;"",O196,IF(L196&lt;&gt;"",L196/1.56,IF(M196&lt;&gt;"",M196/1.56,""))))</f>
        <v/>
      </c>
      <c r="U196" s="3" t="n"/>
      <c r="V196" s="3" t="n"/>
      <c r="W196" s="3" t="n">
        <v>178.5</v>
      </c>
      <c r="X196" s="4" t="n">
        <v>13.7</v>
      </c>
      <c r="Y196" s="5" t="n"/>
      <c r="Z196" s="4">
        <f>IF(L196&lt;&gt;"",SQRT(3)*G196*L196/1000,"")</f>
        <v/>
      </c>
      <c r="AA196" t="inlineStr">
        <is>
          <t>Displacement_CFH=1351.1</t>
        </is>
      </c>
      <c r="AB196" t="inlineStr">
        <is>
          <t>Dorin_RLA_230_460_3ph_60Hz.xlsx</t>
        </is>
      </c>
      <c r="AC196" t="inlineStr">
        <is>
          <t>DORIN_H_60Hz_3ph</t>
        </is>
      </c>
    </row>
    <row r="197">
      <c r="A197" t="inlineStr">
        <is>
          <t>DORIN</t>
        </is>
      </c>
      <c r="B197" t="inlineStr">
        <is>
          <t>H755CC</t>
        </is>
      </c>
      <c r="D197" t="inlineStr">
        <is>
          <t>Reciprocating Semi-hermetic</t>
        </is>
      </c>
      <c r="E197" s="2" t="n">
        <v>3</v>
      </c>
      <c r="F197" s="2" t="n">
        <v>60</v>
      </c>
      <c r="G197" s="2" t="n">
        <v>460</v>
      </c>
      <c r="H197" t="inlineStr">
        <is>
          <t>440-480</t>
        </is>
      </c>
      <c r="I197" s="2" t="n">
        <v>440</v>
      </c>
      <c r="J197" s="2" t="n">
        <v>480</v>
      </c>
      <c r="K197" t="inlineStr">
        <is>
          <t>Wye</t>
        </is>
      </c>
      <c r="L197" s="3" t="n"/>
      <c r="M197" s="3" t="n">
        <v>19.5</v>
      </c>
      <c r="N197" s="3" t="n"/>
      <c r="O197" s="3" t="n"/>
      <c r="P197" s="3">
        <f>IF(L197&lt;&gt;"",L197/1.4,"")</f>
        <v/>
      </c>
      <c r="Q197" s="3">
        <f>IF(L197&lt;&gt;"",L197/1.56,"")</f>
        <v/>
      </c>
      <c r="R197" s="3">
        <f>IF(M197&lt;&gt;"",M197/1.4,"")</f>
        <v/>
      </c>
      <c r="S197" s="3">
        <f>IF(M197&lt;&gt;"",M197/1.56,"")</f>
        <v/>
      </c>
      <c r="T197" s="3">
        <f>IF(N197&lt;&gt;"",N197,IF(O197&lt;&gt;"",O197,IF(L197&lt;&gt;"",L197/1.56,IF(M197&lt;&gt;"",M197/1.56,""))))</f>
        <v/>
      </c>
      <c r="U197" s="3" t="n"/>
      <c r="V197" s="3" t="n"/>
      <c r="W197" s="3" t="n">
        <v>86</v>
      </c>
      <c r="X197" s="4" t="n">
        <v>13.7</v>
      </c>
      <c r="Y197" s="5" t="n"/>
      <c r="Z197" s="4">
        <f>IF(L197&lt;&gt;"",SQRT(3)*G197*L197/1000,"")</f>
        <v/>
      </c>
      <c r="AA197" t="inlineStr">
        <is>
          <t>Displacement_CFH=1351.1</t>
        </is>
      </c>
      <c r="AB197" t="inlineStr">
        <is>
          <t>Dorin_RLA_230_460_3ph_60Hz.xlsx</t>
        </is>
      </c>
      <c r="AC197" t="inlineStr">
        <is>
          <t>DORIN_H_60Hz_3ph</t>
        </is>
      </c>
    </row>
    <row r="198">
      <c r="A198" t="inlineStr">
        <is>
          <t>DORIN</t>
        </is>
      </c>
      <c r="B198" t="inlineStr">
        <is>
          <t>H1002CC</t>
        </is>
      </c>
      <c r="D198" t="inlineStr">
        <is>
          <t>Reciprocating Semi-hermetic</t>
        </is>
      </c>
      <c r="E198" s="2" t="n">
        <v>3</v>
      </c>
      <c r="F198" s="2" t="n">
        <v>60</v>
      </c>
      <c r="G198" s="2" t="n">
        <v>230</v>
      </c>
      <c r="H198" t="inlineStr">
        <is>
          <t>208-230</t>
        </is>
      </c>
      <c r="I198" s="2" t="n">
        <v>208</v>
      </c>
      <c r="J198" s="2" t="n">
        <v>230</v>
      </c>
      <c r="K198" t="inlineStr">
        <is>
          <t>Delta</t>
        </is>
      </c>
      <c r="L198" s="3" t="n"/>
      <c r="M198" s="3" t="n">
        <v>48</v>
      </c>
      <c r="N198" s="3" t="n"/>
      <c r="O198" s="3" t="n"/>
      <c r="P198" s="3">
        <f>IF(L198&lt;&gt;"",L198/1.4,"")</f>
        <v/>
      </c>
      <c r="Q198" s="3">
        <f>IF(L198&lt;&gt;"",L198/1.56,"")</f>
        <v/>
      </c>
      <c r="R198" s="3">
        <f>IF(M198&lt;&gt;"",M198/1.4,"")</f>
        <v/>
      </c>
      <c r="S198" s="3">
        <f>IF(M198&lt;&gt;"",M198/1.56,"")</f>
        <v/>
      </c>
      <c r="T198" s="3">
        <f>IF(N198&lt;&gt;"",N198,IF(O198&lt;&gt;"",O198,IF(L198&lt;&gt;"",L198/1.56,IF(M198&lt;&gt;"",M198/1.56,""))))</f>
        <v/>
      </c>
      <c r="U198" s="3" t="n"/>
      <c r="V198" s="3" t="n"/>
      <c r="W198" s="3" t="n">
        <v>191</v>
      </c>
      <c r="X198" s="4" t="n">
        <v>16.6</v>
      </c>
      <c r="Y198" s="5" t="n"/>
      <c r="Z198" s="4">
        <f>IF(L198&lt;&gt;"",SQRT(3)*G198*L198/1000,"")</f>
        <v/>
      </c>
      <c r="AA198" t="inlineStr">
        <is>
          <t>Displacement_CFH=1612.8</t>
        </is>
      </c>
      <c r="AB198" t="inlineStr">
        <is>
          <t>Dorin_RLA_230_460_3ph_60Hz.xlsx</t>
        </is>
      </c>
      <c r="AC198" t="inlineStr">
        <is>
          <t>DORIN_H_60Hz_3ph</t>
        </is>
      </c>
    </row>
    <row r="199">
      <c r="A199" t="inlineStr">
        <is>
          <t>DORIN</t>
        </is>
      </c>
      <c r="B199" t="inlineStr">
        <is>
          <t>H1002CC</t>
        </is>
      </c>
      <c r="D199" t="inlineStr">
        <is>
          <t>Reciprocating Semi-hermetic</t>
        </is>
      </c>
      <c r="E199" s="2" t="n">
        <v>3</v>
      </c>
      <c r="F199" s="2" t="n">
        <v>60</v>
      </c>
      <c r="G199" s="2" t="n">
        <v>460</v>
      </c>
      <c r="H199" t="inlineStr">
        <is>
          <t>440-480</t>
        </is>
      </c>
      <c r="I199" s="2" t="n">
        <v>440</v>
      </c>
      <c r="J199" s="2" t="n">
        <v>480</v>
      </c>
      <c r="K199" t="inlineStr">
        <is>
          <t>Wye</t>
        </is>
      </c>
      <c r="L199" s="3" t="n"/>
      <c r="M199" s="3" t="n">
        <v>23</v>
      </c>
      <c r="N199" s="3" t="n"/>
      <c r="O199" s="3" t="n"/>
      <c r="P199" s="3">
        <f>IF(L199&lt;&gt;"",L199/1.4,"")</f>
        <v/>
      </c>
      <c r="Q199" s="3">
        <f>IF(L199&lt;&gt;"",L199/1.56,"")</f>
        <v/>
      </c>
      <c r="R199" s="3">
        <f>IF(M199&lt;&gt;"",M199/1.4,"")</f>
        <v/>
      </c>
      <c r="S199" s="3">
        <f>IF(M199&lt;&gt;"",M199/1.56,"")</f>
        <v/>
      </c>
      <c r="T199" s="3">
        <f>IF(N199&lt;&gt;"",N199,IF(O199&lt;&gt;"",O199,IF(L199&lt;&gt;"",L199/1.56,IF(M199&lt;&gt;"",M199/1.56,""))))</f>
        <v/>
      </c>
      <c r="U199" s="3" t="n"/>
      <c r="V199" s="3" t="n"/>
      <c r="W199" s="3" t="n">
        <v>92</v>
      </c>
      <c r="X199" s="4" t="n">
        <v>16.6</v>
      </c>
      <c r="Y199" s="5" t="n"/>
      <c r="Z199" s="4">
        <f>IF(L199&lt;&gt;"",SQRT(3)*G199*L199/1000,"")</f>
        <v/>
      </c>
      <c r="AA199" t="inlineStr">
        <is>
          <t>Displacement_CFH=1612.8</t>
        </is>
      </c>
      <c r="AB199" t="inlineStr">
        <is>
          <t>Dorin_RLA_230_460_3ph_60Hz.xlsx</t>
        </is>
      </c>
      <c r="AC199" t="inlineStr">
        <is>
          <t>DORIN_H_60Hz_3ph</t>
        </is>
      </c>
    </row>
    <row r="200">
      <c r="A200" t="inlineStr">
        <is>
          <t>DORIN</t>
        </is>
      </c>
      <c r="B200" t="inlineStr">
        <is>
          <t>H751CS</t>
        </is>
      </c>
      <c r="D200" t="inlineStr">
        <is>
          <t>Reciprocating Semi-hermetic</t>
        </is>
      </c>
      <c r="E200" s="2" t="n">
        <v>3</v>
      </c>
      <c r="F200" s="2" t="n">
        <v>60</v>
      </c>
      <c r="G200" s="2" t="n">
        <v>230</v>
      </c>
      <c r="H200" t="inlineStr">
        <is>
          <t>208-230</t>
        </is>
      </c>
      <c r="I200" s="2" t="n">
        <v>208</v>
      </c>
      <c r="J200" s="2" t="n">
        <v>230</v>
      </c>
      <c r="K200" t="inlineStr">
        <is>
          <t>Delta</t>
        </is>
      </c>
      <c r="L200" s="3" t="n"/>
      <c r="M200" s="3" t="n">
        <v>41</v>
      </c>
      <c r="N200" s="3" t="n"/>
      <c r="O200" s="3" t="n"/>
      <c r="P200" s="3">
        <f>IF(L200&lt;&gt;"",L200/1.4,"")</f>
        <v/>
      </c>
      <c r="Q200" s="3">
        <f>IF(L200&lt;&gt;"",L200/1.56,"")</f>
        <v/>
      </c>
      <c r="R200" s="3">
        <f>IF(M200&lt;&gt;"",M200/1.4,"")</f>
        <v/>
      </c>
      <c r="S200" s="3">
        <f>IF(M200&lt;&gt;"",M200/1.56,"")</f>
        <v/>
      </c>
      <c r="T200" s="3">
        <f>IF(N200&lt;&gt;"",N200,IF(O200&lt;&gt;"",O200,IF(L200&lt;&gt;"",L200/1.56,IF(M200&lt;&gt;"",M200/1.56,""))))</f>
        <v/>
      </c>
      <c r="U200" s="3" t="n"/>
      <c r="V200" s="3" t="n"/>
      <c r="W200" s="3" t="n">
        <v>178.5</v>
      </c>
      <c r="X200" s="4" t="n">
        <v>13.7</v>
      </c>
      <c r="Y200" s="5" t="n"/>
      <c r="Z200" s="4">
        <f>IF(L200&lt;&gt;"",SQRT(3)*G200*L200/1000,"")</f>
        <v/>
      </c>
      <c r="AA200" t="inlineStr">
        <is>
          <t>Displacement_CFH=1612.8</t>
        </is>
      </c>
      <c r="AB200" t="inlineStr">
        <is>
          <t>Dorin_RLA_230_460_3ph_60Hz.xlsx</t>
        </is>
      </c>
      <c r="AC200" t="inlineStr">
        <is>
          <t>DORIN_H_60Hz_3ph</t>
        </is>
      </c>
    </row>
    <row r="201">
      <c r="A201" t="inlineStr">
        <is>
          <t>DORIN</t>
        </is>
      </c>
      <c r="B201" t="inlineStr">
        <is>
          <t>H751CS</t>
        </is>
      </c>
      <c r="D201" t="inlineStr">
        <is>
          <t>Reciprocating Semi-hermetic</t>
        </is>
      </c>
      <c r="E201" s="2" t="n">
        <v>3</v>
      </c>
      <c r="F201" s="2" t="n">
        <v>60</v>
      </c>
      <c r="G201" s="2" t="n">
        <v>460</v>
      </c>
      <c r="H201" t="inlineStr">
        <is>
          <t>440-480</t>
        </is>
      </c>
      <c r="I201" s="2" t="n">
        <v>440</v>
      </c>
      <c r="J201" s="2" t="n">
        <v>480</v>
      </c>
      <c r="K201" t="inlineStr">
        <is>
          <t>Wye</t>
        </is>
      </c>
      <c r="L201" s="3" t="n"/>
      <c r="M201" s="3" t="n">
        <v>19.5</v>
      </c>
      <c r="N201" s="3" t="n"/>
      <c r="O201" s="3" t="n"/>
      <c r="P201" s="3">
        <f>IF(L201&lt;&gt;"",L201/1.4,"")</f>
        <v/>
      </c>
      <c r="Q201" s="3">
        <f>IF(L201&lt;&gt;"",L201/1.56,"")</f>
        <v/>
      </c>
      <c r="R201" s="3">
        <f>IF(M201&lt;&gt;"",M201/1.4,"")</f>
        <v/>
      </c>
      <c r="S201" s="3">
        <f>IF(M201&lt;&gt;"",M201/1.56,"")</f>
        <v/>
      </c>
      <c r="T201" s="3">
        <f>IF(N201&lt;&gt;"",N201,IF(O201&lt;&gt;"",O201,IF(L201&lt;&gt;"",L201/1.56,IF(M201&lt;&gt;"",M201/1.56,""))))</f>
        <v/>
      </c>
      <c r="U201" s="3" t="n"/>
      <c r="V201" s="3" t="n"/>
      <c r="W201" s="3" t="n">
        <v>86</v>
      </c>
      <c r="X201" s="4" t="n">
        <v>13.7</v>
      </c>
      <c r="Y201" s="5" t="n"/>
      <c r="Z201" s="4">
        <f>IF(L201&lt;&gt;"",SQRT(3)*G201*L201/1000,"")</f>
        <v/>
      </c>
      <c r="AA201" t="inlineStr">
        <is>
          <t>Displacement_CFH=1612.8</t>
        </is>
      </c>
      <c r="AB201" t="inlineStr">
        <is>
          <t>Dorin_RLA_230_460_3ph_60Hz.xlsx</t>
        </is>
      </c>
      <c r="AC201" t="inlineStr">
        <is>
          <t>DORIN_H_60Hz_3ph</t>
        </is>
      </c>
    </row>
    <row r="202">
      <c r="A202" t="inlineStr">
        <is>
          <t>DORIN</t>
        </is>
      </c>
      <c r="B202" t="inlineStr">
        <is>
          <t>H1201CC</t>
        </is>
      </c>
      <c r="D202" t="inlineStr">
        <is>
          <t>Reciprocating Semi-hermetic</t>
        </is>
      </c>
      <c r="E202" s="2" t="n">
        <v>3</v>
      </c>
      <c r="F202" s="2" t="n">
        <v>60</v>
      </c>
      <c r="G202" s="2" t="n">
        <v>230</v>
      </c>
      <c r="H202" t="inlineStr">
        <is>
          <t>208-230</t>
        </is>
      </c>
      <c r="I202" s="2" t="n">
        <v>208</v>
      </c>
      <c r="J202" s="2" t="n">
        <v>230</v>
      </c>
      <c r="K202" t="inlineStr">
        <is>
          <t>Delta</t>
        </is>
      </c>
      <c r="L202" s="3" t="n"/>
      <c r="M202" s="3" t="n">
        <v>58</v>
      </c>
      <c r="N202" s="3" t="n"/>
      <c r="O202" s="3" t="n"/>
      <c r="P202" s="3">
        <f>IF(L202&lt;&gt;"",L202/1.4,"")</f>
        <v/>
      </c>
      <c r="Q202" s="3">
        <f>IF(L202&lt;&gt;"",L202/1.56,"")</f>
        <v/>
      </c>
      <c r="R202" s="3">
        <f>IF(M202&lt;&gt;"",M202/1.4,"")</f>
        <v/>
      </c>
      <c r="S202" s="3">
        <f>IF(M202&lt;&gt;"",M202/1.56,"")</f>
        <v/>
      </c>
      <c r="T202" s="3">
        <f>IF(N202&lt;&gt;"",N202,IF(O202&lt;&gt;"",O202,IF(L202&lt;&gt;"",L202/1.56,IF(M202&lt;&gt;"",M202/1.56,""))))</f>
        <v/>
      </c>
      <c r="U202" s="3" t="n"/>
      <c r="V202" s="3" t="n"/>
      <c r="W202" s="3" t="n">
        <v>279.6</v>
      </c>
      <c r="X202" s="4" t="n">
        <v>20.2</v>
      </c>
      <c r="Y202" s="5" t="n"/>
      <c r="Z202" s="4">
        <f>IF(L202&lt;&gt;"",SQRT(3)*G202*L202/1000,"")</f>
        <v/>
      </c>
      <c r="AA202" t="inlineStr">
        <is>
          <t>Displacement_CFH=1814.4</t>
        </is>
      </c>
      <c r="AB202" t="inlineStr">
        <is>
          <t>Dorin_RLA_230_460_3ph_60Hz.xlsx</t>
        </is>
      </c>
      <c r="AC202" t="inlineStr">
        <is>
          <t>DORIN_H_60Hz_3ph</t>
        </is>
      </c>
    </row>
    <row r="203">
      <c r="A203" t="inlineStr">
        <is>
          <t>DORIN</t>
        </is>
      </c>
      <c r="B203" t="inlineStr">
        <is>
          <t>H1201CC</t>
        </is>
      </c>
      <c r="D203" t="inlineStr">
        <is>
          <t>Reciprocating Semi-hermetic</t>
        </is>
      </c>
      <c r="E203" s="2" t="n">
        <v>3</v>
      </c>
      <c r="F203" s="2" t="n">
        <v>60</v>
      </c>
      <c r="G203" s="2" t="n">
        <v>460</v>
      </c>
      <c r="H203" t="inlineStr">
        <is>
          <t>440-480</t>
        </is>
      </c>
      <c r="I203" s="2" t="n">
        <v>440</v>
      </c>
      <c r="J203" s="2" t="n">
        <v>480</v>
      </c>
      <c r="K203" t="inlineStr">
        <is>
          <t>Wye</t>
        </is>
      </c>
      <c r="L203" s="3" t="n"/>
      <c r="M203" s="3" t="n">
        <v>28</v>
      </c>
      <c r="N203" s="3" t="n"/>
      <c r="O203" s="3" t="n"/>
      <c r="P203" s="3">
        <f>IF(L203&lt;&gt;"",L203/1.4,"")</f>
        <v/>
      </c>
      <c r="Q203" s="3">
        <f>IF(L203&lt;&gt;"",L203/1.56,"")</f>
        <v/>
      </c>
      <c r="R203" s="3">
        <f>IF(M203&lt;&gt;"",M203/1.4,"")</f>
        <v/>
      </c>
      <c r="S203" s="3">
        <f>IF(M203&lt;&gt;"",M203/1.56,"")</f>
        <v/>
      </c>
      <c r="T203" s="3">
        <f>IF(N203&lt;&gt;"",N203,IF(O203&lt;&gt;"",O203,IF(L203&lt;&gt;"",L203/1.56,IF(M203&lt;&gt;"",M203/1.56,""))))</f>
        <v/>
      </c>
      <c r="U203" s="3" t="n"/>
      <c r="V203" s="3" t="n"/>
      <c r="W203" s="3" t="n">
        <v>134.7</v>
      </c>
      <c r="X203" s="4" t="n">
        <v>20.2</v>
      </c>
      <c r="Y203" s="5" t="n"/>
      <c r="Z203" s="4">
        <f>IF(L203&lt;&gt;"",SQRT(3)*G203*L203/1000,"")</f>
        <v/>
      </c>
      <c r="AA203" t="inlineStr">
        <is>
          <t>Displacement_CFH=1814.4</t>
        </is>
      </c>
      <c r="AB203" t="inlineStr">
        <is>
          <t>Dorin_RLA_230_460_3ph_60Hz.xlsx</t>
        </is>
      </c>
      <c r="AC203" t="inlineStr">
        <is>
          <t>DORIN_H_60Hz_3ph</t>
        </is>
      </c>
    </row>
    <row r="204">
      <c r="A204" t="inlineStr">
        <is>
          <t>DORIN</t>
        </is>
      </c>
      <c r="B204" t="inlineStr">
        <is>
          <t>H851CS</t>
        </is>
      </c>
      <c r="D204" t="inlineStr">
        <is>
          <t>Reciprocating Semi-hermetic</t>
        </is>
      </c>
      <c r="E204" s="2" t="n">
        <v>3</v>
      </c>
      <c r="F204" s="2" t="n">
        <v>60</v>
      </c>
      <c r="G204" s="2" t="n">
        <v>230</v>
      </c>
      <c r="H204" t="inlineStr">
        <is>
          <t>208-230</t>
        </is>
      </c>
      <c r="I204" s="2" t="n">
        <v>208</v>
      </c>
      <c r="J204" s="2" t="n">
        <v>230</v>
      </c>
      <c r="K204" t="inlineStr">
        <is>
          <t>Delta</t>
        </is>
      </c>
      <c r="L204" s="3" t="n"/>
      <c r="M204" s="3" t="n">
        <v>41.5</v>
      </c>
      <c r="N204" s="3" t="n"/>
      <c r="O204" s="3" t="n"/>
      <c r="P204" s="3">
        <f>IF(L204&lt;&gt;"",L204/1.4,"")</f>
        <v/>
      </c>
      <c r="Q204" s="3">
        <f>IF(L204&lt;&gt;"",L204/1.56,"")</f>
        <v/>
      </c>
      <c r="R204" s="3">
        <f>IF(M204&lt;&gt;"",M204/1.4,"")</f>
        <v/>
      </c>
      <c r="S204" s="3">
        <f>IF(M204&lt;&gt;"",M204/1.56,"")</f>
        <v/>
      </c>
      <c r="T204" s="3">
        <f>IF(N204&lt;&gt;"",N204,IF(O204&lt;&gt;"",O204,IF(L204&lt;&gt;"",L204/1.56,IF(M204&lt;&gt;"",M204/1.56,""))))</f>
        <v/>
      </c>
      <c r="U204" s="3" t="n"/>
      <c r="V204" s="3" t="n"/>
      <c r="W204" s="3" t="n">
        <v>217.2</v>
      </c>
      <c r="X204" s="4" t="n">
        <v>14.1</v>
      </c>
      <c r="Y204" s="5" t="n"/>
      <c r="Z204" s="4">
        <f>IF(L204&lt;&gt;"",SQRT(3)*G204*L204/1000,"")</f>
        <v/>
      </c>
      <c r="AA204" t="inlineStr">
        <is>
          <t>Displacement_CFH=1814.4</t>
        </is>
      </c>
      <c r="AB204" t="inlineStr">
        <is>
          <t>Dorin_RLA_230_460_3ph_60Hz.xlsx</t>
        </is>
      </c>
      <c r="AC204" t="inlineStr">
        <is>
          <t>DORIN_H_60Hz_3ph</t>
        </is>
      </c>
    </row>
    <row r="205">
      <c r="A205" t="inlineStr">
        <is>
          <t>DORIN</t>
        </is>
      </c>
      <c r="B205" t="inlineStr">
        <is>
          <t>H851CS</t>
        </is>
      </c>
      <c r="D205" t="inlineStr">
        <is>
          <t>Reciprocating Semi-hermetic</t>
        </is>
      </c>
      <c r="E205" s="2" t="n">
        <v>3</v>
      </c>
      <c r="F205" s="2" t="n">
        <v>60</v>
      </c>
      <c r="G205" s="2" t="n">
        <v>460</v>
      </c>
      <c r="H205" t="inlineStr">
        <is>
          <t>440-480</t>
        </is>
      </c>
      <c r="I205" s="2" t="n">
        <v>440</v>
      </c>
      <c r="J205" s="2" t="n">
        <v>480</v>
      </c>
      <c r="K205" t="inlineStr">
        <is>
          <t>Wye</t>
        </is>
      </c>
      <c r="L205" s="3" t="n"/>
      <c r="M205" s="3" t="n">
        <v>20</v>
      </c>
      <c r="N205" s="3" t="n"/>
      <c r="O205" s="3" t="n"/>
      <c r="P205" s="3">
        <f>IF(L205&lt;&gt;"",L205/1.4,"")</f>
        <v/>
      </c>
      <c r="Q205" s="3">
        <f>IF(L205&lt;&gt;"",L205/1.56,"")</f>
        <v/>
      </c>
      <c r="R205" s="3">
        <f>IF(M205&lt;&gt;"",M205/1.4,"")</f>
        <v/>
      </c>
      <c r="S205" s="3">
        <f>IF(M205&lt;&gt;"",M205/1.56,"")</f>
        <v/>
      </c>
      <c r="T205" s="3">
        <f>IF(N205&lt;&gt;"",N205,IF(O205&lt;&gt;"",O205,IF(L205&lt;&gt;"",L205/1.56,IF(M205&lt;&gt;"",M205/1.56,""))))</f>
        <v/>
      </c>
      <c r="U205" s="3" t="n"/>
      <c r="V205" s="3" t="n"/>
      <c r="W205" s="3" t="n">
        <v>104.6</v>
      </c>
      <c r="X205" s="4" t="n">
        <v>14.1</v>
      </c>
      <c r="Y205" s="5" t="n"/>
      <c r="Z205" s="4">
        <f>IF(L205&lt;&gt;"",SQRT(3)*G205*L205/1000,"")</f>
        <v/>
      </c>
      <c r="AA205" t="inlineStr">
        <is>
          <t>Displacement_CFH=1814.4</t>
        </is>
      </c>
      <c r="AB205" t="inlineStr">
        <is>
          <t>Dorin_RLA_230_460_3ph_60Hz.xlsx</t>
        </is>
      </c>
      <c r="AC205" t="inlineStr">
        <is>
          <t>DORIN_H_60Hz_3ph</t>
        </is>
      </c>
    </row>
    <row r="206">
      <c r="A206" t="inlineStr">
        <is>
          <t>DORIN</t>
        </is>
      </c>
      <c r="B206" t="inlineStr">
        <is>
          <t>H1003CC</t>
        </is>
      </c>
      <c r="D206" t="inlineStr">
        <is>
          <t>Reciprocating Semi-hermetic</t>
        </is>
      </c>
      <c r="E206" s="2" t="n">
        <v>3</v>
      </c>
      <c r="F206" s="2" t="n">
        <v>60</v>
      </c>
      <c r="G206" s="2" t="n">
        <v>230</v>
      </c>
      <c r="H206" t="inlineStr">
        <is>
          <t>208-230</t>
        </is>
      </c>
      <c r="I206" s="2" t="n">
        <v>208</v>
      </c>
      <c r="J206" s="2" t="n">
        <v>230</v>
      </c>
      <c r="K206" t="inlineStr">
        <is>
          <t>Delta</t>
        </is>
      </c>
      <c r="L206" s="3" t="n"/>
      <c r="M206" s="3" t="n">
        <v>48</v>
      </c>
      <c r="N206" s="3" t="n"/>
      <c r="O206" s="3" t="n"/>
      <c r="P206" s="3">
        <f>IF(L206&lt;&gt;"",L206/1.4,"")</f>
        <v/>
      </c>
      <c r="Q206" s="3">
        <f>IF(L206&lt;&gt;"",L206/1.56,"")</f>
        <v/>
      </c>
      <c r="R206" s="3">
        <f>IF(M206&lt;&gt;"",M206/1.4,"")</f>
        <v/>
      </c>
      <c r="S206" s="3">
        <f>IF(M206&lt;&gt;"",M206/1.56,"")</f>
        <v/>
      </c>
      <c r="T206" s="3">
        <f>IF(N206&lt;&gt;"",N206,IF(O206&lt;&gt;"",O206,IF(L206&lt;&gt;"",L206/1.56,IF(M206&lt;&gt;"",M206/1.56,""))))</f>
        <v/>
      </c>
      <c r="U206" s="3" t="n"/>
      <c r="V206" s="3" t="n"/>
      <c r="W206" s="3" t="n">
        <v>191</v>
      </c>
      <c r="X206" s="4" t="n">
        <v>16.6</v>
      </c>
      <c r="Y206" s="5" t="n"/>
      <c r="Z206" s="4">
        <f>IF(L206&lt;&gt;"",SQRT(3)*G206*L206/1000,"")</f>
        <v/>
      </c>
      <c r="AA206" t="inlineStr">
        <is>
          <t>Displacement_CFH=1853.2</t>
        </is>
      </c>
      <c r="AB206" t="inlineStr">
        <is>
          <t>Dorin_RLA_230_460_3ph_60Hz.xlsx</t>
        </is>
      </c>
      <c r="AC206" t="inlineStr">
        <is>
          <t>DORIN_H_60Hz_3ph</t>
        </is>
      </c>
    </row>
    <row r="207">
      <c r="A207" t="inlineStr">
        <is>
          <t>DORIN</t>
        </is>
      </c>
      <c r="B207" t="inlineStr">
        <is>
          <t>H1003CC</t>
        </is>
      </c>
      <c r="D207" t="inlineStr">
        <is>
          <t>Reciprocating Semi-hermetic</t>
        </is>
      </c>
      <c r="E207" s="2" t="n">
        <v>3</v>
      </c>
      <c r="F207" s="2" t="n">
        <v>60</v>
      </c>
      <c r="G207" s="2" t="n">
        <v>460</v>
      </c>
      <c r="H207" t="inlineStr">
        <is>
          <t>440-480</t>
        </is>
      </c>
      <c r="I207" s="2" t="n">
        <v>440</v>
      </c>
      <c r="J207" s="2" t="n">
        <v>480</v>
      </c>
      <c r="K207" t="inlineStr">
        <is>
          <t>Wye</t>
        </is>
      </c>
      <c r="L207" s="3" t="n"/>
      <c r="M207" s="3" t="n">
        <v>23</v>
      </c>
      <c r="N207" s="3" t="n"/>
      <c r="O207" s="3" t="n"/>
      <c r="P207" s="3">
        <f>IF(L207&lt;&gt;"",L207/1.4,"")</f>
        <v/>
      </c>
      <c r="Q207" s="3">
        <f>IF(L207&lt;&gt;"",L207/1.56,"")</f>
        <v/>
      </c>
      <c r="R207" s="3">
        <f>IF(M207&lt;&gt;"",M207/1.4,"")</f>
        <v/>
      </c>
      <c r="S207" s="3">
        <f>IF(M207&lt;&gt;"",M207/1.56,"")</f>
        <v/>
      </c>
      <c r="T207" s="3">
        <f>IF(N207&lt;&gt;"",N207,IF(O207&lt;&gt;"",O207,IF(L207&lt;&gt;"",L207/1.56,IF(M207&lt;&gt;"",M207/1.56,""))))</f>
        <v/>
      </c>
      <c r="U207" s="3" t="n"/>
      <c r="V207" s="3" t="n"/>
      <c r="W207" s="3" t="n">
        <v>92</v>
      </c>
      <c r="X207" s="4" t="n">
        <v>16.6</v>
      </c>
      <c r="Y207" s="5" t="n"/>
      <c r="Z207" s="4">
        <f>IF(L207&lt;&gt;"",SQRT(3)*G207*L207/1000,"")</f>
        <v/>
      </c>
      <c r="AA207" t="inlineStr">
        <is>
          <t>Displacement_CFH=1853.2</t>
        </is>
      </c>
      <c r="AB207" t="inlineStr">
        <is>
          <t>Dorin_RLA_230_460_3ph_60Hz.xlsx</t>
        </is>
      </c>
      <c r="AC207" t="inlineStr">
        <is>
          <t>DORIN_H_60Hz_3ph</t>
        </is>
      </c>
    </row>
    <row r="208">
      <c r="A208" t="inlineStr">
        <is>
          <t>DORIN</t>
        </is>
      </c>
      <c r="B208" t="inlineStr">
        <is>
          <t>H801CS</t>
        </is>
      </c>
      <c r="D208" t="inlineStr">
        <is>
          <t>Reciprocating Semi-hermetic</t>
        </is>
      </c>
      <c r="E208" s="2" t="n">
        <v>3</v>
      </c>
      <c r="F208" s="2" t="n">
        <v>60</v>
      </c>
      <c r="G208" s="2" t="n">
        <v>230</v>
      </c>
      <c r="H208" t="inlineStr">
        <is>
          <t>208-230</t>
        </is>
      </c>
      <c r="I208" s="2" t="n">
        <v>208</v>
      </c>
      <c r="J208" s="2" t="n">
        <v>230</v>
      </c>
      <c r="K208" t="inlineStr">
        <is>
          <t>Delta</t>
        </is>
      </c>
      <c r="L208" s="3" t="n"/>
      <c r="M208" s="3" t="n">
        <v>41</v>
      </c>
      <c r="N208" s="3" t="n"/>
      <c r="O208" s="3" t="n"/>
      <c r="P208" s="3">
        <f>IF(L208&lt;&gt;"",L208/1.4,"")</f>
        <v/>
      </c>
      <c r="Q208" s="3">
        <f>IF(L208&lt;&gt;"",L208/1.56,"")</f>
        <v/>
      </c>
      <c r="R208" s="3">
        <f>IF(M208&lt;&gt;"",M208/1.4,"")</f>
        <v/>
      </c>
      <c r="S208" s="3">
        <f>IF(M208&lt;&gt;"",M208/1.56,"")</f>
        <v/>
      </c>
      <c r="T208" s="3">
        <f>IF(N208&lt;&gt;"",N208,IF(O208&lt;&gt;"",O208,IF(L208&lt;&gt;"",L208/1.56,IF(M208&lt;&gt;"",M208/1.56,""))))</f>
        <v/>
      </c>
      <c r="U208" s="3" t="n"/>
      <c r="V208" s="3" t="n"/>
      <c r="W208" s="3" t="n">
        <v>178.5</v>
      </c>
      <c r="X208" s="4" t="n">
        <v>13.7</v>
      </c>
      <c r="Y208" s="5" t="n"/>
      <c r="Z208" s="4">
        <f>IF(L208&lt;&gt;"",SQRT(3)*G208*L208/1000,"")</f>
        <v/>
      </c>
      <c r="AA208" t="inlineStr">
        <is>
          <t>Displacement_CFH=1853.2</t>
        </is>
      </c>
      <c r="AB208" t="inlineStr">
        <is>
          <t>Dorin_RLA_230_460_3ph_60Hz.xlsx</t>
        </is>
      </c>
      <c r="AC208" t="inlineStr">
        <is>
          <t>DORIN_H_60Hz_3ph</t>
        </is>
      </c>
    </row>
    <row r="209">
      <c r="A209" t="inlineStr">
        <is>
          <t>DORIN</t>
        </is>
      </c>
      <c r="B209" t="inlineStr">
        <is>
          <t>H801CS</t>
        </is>
      </c>
      <c r="D209" t="inlineStr">
        <is>
          <t>Reciprocating Semi-hermetic</t>
        </is>
      </c>
      <c r="E209" s="2" t="n">
        <v>3</v>
      </c>
      <c r="F209" s="2" t="n">
        <v>60</v>
      </c>
      <c r="G209" s="2" t="n">
        <v>460</v>
      </c>
      <c r="H209" t="inlineStr">
        <is>
          <t>440-480</t>
        </is>
      </c>
      <c r="I209" s="2" t="n">
        <v>440</v>
      </c>
      <c r="J209" s="2" t="n">
        <v>480</v>
      </c>
      <c r="K209" t="inlineStr">
        <is>
          <t>Wye</t>
        </is>
      </c>
      <c r="L209" s="3" t="n"/>
      <c r="M209" s="3" t="n">
        <v>19.5</v>
      </c>
      <c r="N209" s="3" t="n"/>
      <c r="O209" s="3" t="n"/>
      <c r="P209" s="3">
        <f>IF(L209&lt;&gt;"",L209/1.4,"")</f>
        <v/>
      </c>
      <c r="Q209" s="3">
        <f>IF(L209&lt;&gt;"",L209/1.56,"")</f>
        <v/>
      </c>
      <c r="R209" s="3">
        <f>IF(M209&lt;&gt;"",M209/1.4,"")</f>
        <v/>
      </c>
      <c r="S209" s="3">
        <f>IF(M209&lt;&gt;"",M209/1.56,"")</f>
        <v/>
      </c>
      <c r="T209" s="3">
        <f>IF(N209&lt;&gt;"",N209,IF(O209&lt;&gt;"",O209,IF(L209&lt;&gt;"",L209/1.56,IF(M209&lt;&gt;"",M209/1.56,""))))</f>
        <v/>
      </c>
      <c r="U209" s="3" t="n"/>
      <c r="V209" s="3" t="n"/>
      <c r="W209" s="3" t="n">
        <v>86</v>
      </c>
      <c r="X209" s="4" t="n">
        <v>13.7</v>
      </c>
      <c r="Y209" s="5" t="n"/>
      <c r="Z209" s="4">
        <f>IF(L209&lt;&gt;"",SQRT(3)*G209*L209/1000,"")</f>
        <v/>
      </c>
      <c r="AA209" t="inlineStr">
        <is>
          <t>Displacement_CFH=1853.2</t>
        </is>
      </c>
      <c r="AB209" t="inlineStr">
        <is>
          <t>Dorin_RLA_230_460_3ph_60Hz.xlsx</t>
        </is>
      </c>
      <c r="AC209" t="inlineStr">
        <is>
          <t>DORIN_H_60Hz_3ph</t>
        </is>
      </c>
    </row>
    <row r="210">
      <c r="A210" t="inlineStr">
        <is>
          <t>DORIN</t>
        </is>
      </c>
      <c r="B210" t="inlineStr">
        <is>
          <t>H1151CC</t>
        </is>
      </c>
      <c r="D210" t="inlineStr">
        <is>
          <t>Reciprocating Semi-hermetic</t>
        </is>
      </c>
      <c r="E210" s="2" t="n">
        <v>3</v>
      </c>
      <c r="F210" s="2" t="n">
        <v>60</v>
      </c>
      <c r="G210" s="2" t="n">
        <v>230</v>
      </c>
      <c r="H210" t="inlineStr">
        <is>
          <t>208-230</t>
        </is>
      </c>
      <c r="I210" s="2" t="n">
        <v>208</v>
      </c>
      <c r="J210" s="2" t="n">
        <v>230</v>
      </c>
      <c r="K210" t="inlineStr">
        <is>
          <t>Delta</t>
        </is>
      </c>
      <c r="L210" s="3" t="n"/>
      <c r="M210" s="3" t="n">
        <v>52</v>
      </c>
      <c r="N210" s="3" t="n"/>
      <c r="O210" s="3" t="n"/>
      <c r="P210" s="3">
        <f>IF(L210&lt;&gt;"",L210/1.4,"")</f>
        <v/>
      </c>
      <c r="Q210" s="3">
        <f>IF(L210&lt;&gt;"",L210/1.56,"")</f>
        <v/>
      </c>
      <c r="R210" s="3">
        <f>IF(M210&lt;&gt;"",M210/1.4,"")</f>
        <v/>
      </c>
      <c r="S210" s="3">
        <f>IF(M210&lt;&gt;"",M210/1.56,"")</f>
        <v/>
      </c>
      <c r="T210" s="3">
        <f>IF(N210&lt;&gt;"",N210,IF(O210&lt;&gt;"",O210,IF(L210&lt;&gt;"",L210/1.56,IF(M210&lt;&gt;"",M210/1.56,""))))</f>
        <v/>
      </c>
      <c r="U210" s="3" t="n"/>
      <c r="V210" s="3" t="n"/>
      <c r="W210" s="3" t="n">
        <v>226.6</v>
      </c>
      <c r="X210" s="4" t="n">
        <v>18.4</v>
      </c>
      <c r="Y210" s="5" t="n"/>
      <c r="Z210" s="4">
        <f>IF(L210&lt;&gt;"",SQRT(3)*G210*L210/1000,"")</f>
        <v/>
      </c>
      <c r="AA210" t="inlineStr">
        <is>
          <t>Displacement_CFH=2025.7</t>
        </is>
      </c>
      <c r="AB210" t="inlineStr">
        <is>
          <t>Dorin_RLA_230_460_3ph_60Hz.xlsx</t>
        </is>
      </c>
      <c r="AC210" t="inlineStr">
        <is>
          <t>DORIN_H_60Hz_3ph</t>
        </is>
      </c>
    </row>
    <row r="211">
      <c r="A211" t="inlineStr">
        <is>
          <t>DORIN</t>
        </is>
      </c>
      <c r="B211" t="inlineStr">
        <is>
          <t>H1151CC</t>
        </is>
      </c>
      <c r="D211" t="inlineStr">
        <is>
          <t>Reciprocating Semi-hermetic</t>
        </is>
      </c>
      <c r="E211" s="2" t="n">
        <v>3</v>
      </c>
      <c r="F211" s="2" t="n">
        <v>60</v>
      </c>
      <c r="G211" s="2" t="n">
        <v>460</v>
      </c>
      <c r="H211" t="inlineStr">
        <is>
          <t>440-480</t>
        </is>
      </c>
      <c r="I211" s="2" t="n">
        <v>440</v>
      </c>
      <c r="J211" s="2" t="n">
        <v>480</v>
      </c>
      <c r="K211" t="inlineStr">
        <is>
          <t>Wye</t>
        </is>
      </c>
      <c r="L211" s="3" t="n"/>
      <c r="M211" s="3" t="n">
        <v>25</v>
      </c>
      <c r="N211" s="3" t="n"/>
      <c r="O211" s="3" t="n"/>
      <c r="P211" s="3">
        <f>IF(L211&lt;&gt;"",L211/1.4,"")</f>
        <v/>
      </c>
      <c r="Q211" s="3">
        <f>IF(L211&lt;&gt;"",L211/1.56,"")</f>
        <v/>
      </c>
      <c r="R211" s="3">
        <f>IF(M211&lt;&gt;"",M211/1.4,"")</f>
        <v/>
      </c>
      <c r="S211" s="3">
        <f>IF(M211&lt;&gt;"",M211/1.56,"")</f>
        <v/>
      </c>
      <c r="T211" s="3">
        <f>IF(N211&lt;&gt;"",N211,IF(O211&lt;&gt;"",O211,IF(L211&lt;&gt;"",L211/1.56,IF(M211&lt;&gt;"",M211/1.56,""))))</f>
        <v/>
      </c>
      <c r="U211" s="3" t="n"/>
      <c r="V211" s="3" t="n"/>
      <c r="W211" s="3" t="n">
        <v>109</v>
      </c>
      <c r="X211" s="4" t="n">
        <v>18.4</v>
      </c>
      <c r="Y211" s="5" t="n"/>
      <c r="Z211" s="4">
        <f>IF(L211&lt;&gt;"",SQRT(3)*G211*L211/1000,"")</f>
        <v/>
      </c>
      <c r="AA211" t="inlineStr">
        <is>
          <t>Displacement_CFH=2025.7</t>
        </is>
      </c>
      <c r="AB211" t="inlineStr">
        <is>
          <t>Dorin_RLA_230_460_3ph_60Hz.xlsx</t>
        </is>
      </c>
      <c r="AC211" t="inlineStr">
        <is>
          <t>DORIN_H_60Hz_3ph</t>
        </is>
      </c>
    </row>
    <row r="212">
      <c r="A212" t="inlineStr">
        <is>
          <t>DORIN</t>
        </is>
      </c>
      <c r="B212" t="inlineStr">
        <is>
          <t>H901CS</t>
        </is>
      </c>
      <c r="D212" t="inlineStr">
        <is>
          <t>Reciprocating Semi-hermetic</t>
        </is>
      </c>
      <c r="E212" s="2" t="n">
        <v>3</v>
      </c>
      <c r="F212" s="2" t="n">
        <v>60</v>
      </c>
      <c r="G212" s="2" t="n">
        <v>230</v>
      </c>
      <c r="H212" t="inlineStr">
        <is>
          <t>208-230</t>
        </is>
      </c>
      <c r="I212" s="2" t="n">
        <v>208</v>
      </c>
      <c r="J212" s="2" t="n">
        <v>230</v>
      </c>
      <c r="K212" t="inlineStr">
        <is>
          <t>Delta</t>
        </is>
      </c>
      <c r="L212" s="3" t="n"/>
      <c r="M212" s="3" t="n">
        <v>47.8</v>
      </c>
      <c r="N212" s="3" t="n"/>
      <c r="O212" s="3" t="n"/>
      <c r="P212" s="3">
        <f>IF(L212&lt;&gt;"",L212/1.4,"")</f>
        <v/>
      </c>
      <c r="Q212" s="3">
        <f>IF(L212&lt;&gt;"",L212/1.56,"")</f>
        <v/>
      </c>
      <c r="R212" s="3">
        <f>IF(M212&lt;&gt;"",M212/1.4,"")</f>
        <v/>
      </c>
      <c r="S212" s="3">
        <f>IF(M212&lt;&gt;"",M212/1.56,"")</f>
        <v/>
      </c>
      <c r="T212" s="3">
        <f>IF(N212&lt;&gt;"",N212,IF(O212&lt;&gt;"",O212,IF(L212&lt;&gt;"",L212/1.56,IF(M212&lt;&gt;"",M212/1.56,""))))</f>
        <v/>
      </c>
      <c r="U212" s="3" t="n"/>
      <c r="V212" s="3" t="n"/>
      <c r="W212" s="3" t="n">
        <v>191.2</v>
      </c>
      <c r="X212" s="4" t="n">
        <v>16.8</v>
      </c>
      <c r="Y212" s="5" t="n"/>
      <c r="Z212" s="4">
        <f>IF(L212&lt;&gt;"",SQRT(3)*G212*L212/1000,"")</f>
        <v/>
      </c>
      <c r="AA212" t="inlineStr">
        <is>
          <t>Displacement_CFH=2025.7</t>
        </is>
      </c>
      <c r="AB212" t="inlineStr">
        <is>
          <t>Dorin_RLA_230_460_3ph_60Hz.xlsx</t>
        </is>
      </c>
      <c r="AC212" t="inlineStr">
        <is>
          <t>DORIN_H_60Hz_3ph</t>
        </is>
      </c>
    </row>
    <row r="213">
      <c r="A213" t="inlineStr">
        <is>
          <t>DORIN</t>
        </is>
      </c>
      <c r="B213" t="inlineStr">
        <is>
          <t>H901CS</t>
        </is>
      </c>
      <c r="D213" t="inlineStr">
        <is>
          <t>Reciprocating Semi-hermetic</t>
        </is>
      </c>
      <c r="E213" s="2" t="n">
        <v>3</v>
      </c>
      <c r="F213" s="2" t="n">
        <v>60</v>
      </c>
      <c r="G213" s="2" t="n">
        <v>460</v>
      </c>
      <c r="H213" t="inlineStr">
        <is>
          <t>440-480</t>
        </is>
      </c>
      <c r="I213" s="2" t="n">
        <v>440</v>
      </c>
      <c r="J213" s="2" t="n">
        <v>480</v>
      </c>
      <c r="K213" t="inlineStr">
        <is>
          <t>Wye</t>
        </is>
      </c>
      <c r="L213" s="3" t="n"/>
      <c r="M213" s="3" t="n">
        <v>23</v>
      </c>
      <c r="N213" s="3" t="n"/>
      <c r="O213" s="3" t="n"/>
      <c r="P213" s="3">
        <f>IF(L213&lt;&gt;"",L213/1.4,"")</f>
        <v/>
      </c>
      <c r="Q213" s="3">
        <f>IF(L213&lt;&gt;"",L213/1.56,"")</f>
        <v/>
      </c>
      <c r="R213" s="3">
        <f>IF(M213&lt;&gt;"",M213/1.4,"")</f>
        <v/>
      </c>
      <c r="S213" s="3">
        <f>IF(M213&lt;&gt;"",M213/1.56,"")</f>
        <v/>
      </c>
      <c r="T213" s="3">
        <f>IF(N213&lt;&gt;"",N213,IF(O213&lt;&gt;"",O213,IF(L213&lt;&gt;"",L213/1.56,IF(M213&lt;&gt;"",M213/1.56,""))))</f>
        <v/>
      </c>
      <c r="U213" s="3" t="n"/>
      <c r="V213" s="3" t="n"/>
      <c r="W213" s="3" t="n">
        <v>92</v>
      </c>
      <c r="X213" s="4" t="n">
        <v>16.8</v>
      </c>
      <c r="Y213" s="5" t="n"/>
      <c r="Z213" s="4">
        <f>IF(L213&lt;&gt;"",SQRT(3)*G213*L213/1000,"")</f>
        <v/>
      </c>
      <c r="AA213" t="inlineStr">
        <is>
          <t>Displacement_CFH=2025.7</t>
        </is>
      </c>
      <c r="AB213" t="inlineStr">
        <is>
          <t>Dorin_RLA_230_460_3ph_60Hz.xlsx</t>
        </is>
      </c>
      <c r="AC213" t="inlineStr">
        <is>
          <t>DORIN_H_60Hz_3ph</t>
        </is>
      </c>
    </row>
    <row r="214">
      <c r="A214" t="inlineStr">
        <is>
          <t>DORIN</t>
        </is>
      </c>
      <c r="B214" t="inlineStr">
        <is>
          <t>H1001CS</t>
        </is>
      </c>
      <c r="D214" t="inlineStr">
        <is>
          <t>Reciprocating Semi-hermetic</t>
        </is>
      </c>
      <c r="E214" s="2" t="n">
        <v>3</v>
      </c>
      <c r="F214" s="2" t="n">
        <v>60</v>
      </c>
      <c r="G214" s="2" t="n">
        <v>230</v>
      </c>
      <c r="H214" t="inlineStr">
        <is>
          <t>208-230</t>
        </is>
      </c>
      <c r="I214" s="2" t="n">
        <v>208</v>
      </c>
      <c r="J214" s="2" t="n">
        <v>230</v>
      </c>
      <c r="K214" t="inlineStr">
        <is>
          <t>Delta</t>
        </is>
      </c>
      <c r="L214" s="3" t="n"/>
      <c r="M214" s="3" t="n">
        <v>50</v>
      </c>
      <c r="N214" s="3" t="n"/>
      <c r="O214" s="3" t="n"/>
      <c r="P214" s="3">
        <f>IF(L214&lt;&gt;"",L214/1.4,"")</f>
        <v/>
      </c>
      <c r="Q214" s="3">
        <f>IF(L214&lt;&gt;"",L214/1.56,"")</f>
        <v/>
      </c>
      <c r="R214" s="3">
        <f>IF(M214&lt;&gt;"",M214/1.4,"")</f>
        <v/>
      </c>
      <c r="S214" s="3">
        <f>IF(M214&lt;&gt;"",M214/1.56,"")</f>
        <v/>
      </c>
      <c r="T214" s="3">
        <f>IF(N214&lt;&gt;"",N214,IF(O214&lt;&gt;"",O214,IF(L214&lt;&gt;"",L214/1.56,IF(M214&lt;&gt;"",M214/1.56,""))))</f>
        <v/>
      </c>
      <c r="U214" s="3" t="n"/>
      <c r="V214" s="3" t="n"/>
      <c r="W214" s="3" t="n">
        <v>225.6</v>
      </c>
      <c r="X214" s="4" t="n">
        <v>17.4</v>
      </c>
      <c r="Y214" s="5" t="n"/>
      <c r="Z214" s="4">
        <f>IF(L214&lt;&gt;"",SQRT(3)*G214*L214/1000,"")</f>
        <v/>
      </c>
      <c r="AA214" t="inlineStr">
        <is>
          <t>Displacement_CFH=2068.7</t>
        </is>
      </c>
      <c r="AB214" t="inlineStr">
        <is>
          <t>Dorin_RLA_230_460_3ph_60Hz.xlsx</t>
        </is>
      </c>
      <c r="AC214" t="inlineStr">
        <is>
          <t>DORIN_H_60Hz_3ph</t>
        </is>
      </c>
    </row>
    <row r="215">
      <c r="A215" t="inlineStr">
        <is>
          <t>DORIN</t>
        </is>
      </c>
      <c r="B215" t="inlineStr">
        <is>
          <t>H1001CS</t>
        </is>
      </c>
      <c r="D215" t="inlineStr">
        <is>
          <t>Reciprocating Semi-hermetic</t>
        </is>
      </c>
      <c r="E215" s="2" t="n">
        <v>3</v>
      </c>
      <c r="F215" s="2" t="n">
        <v>60</v>
      </c>
      <c r="G215" s="2" t="n">
        <v>460</v>
      </c>
      <c r="H215" t="inlineStr">
        <is>
          <t>440-480</t>
        </is>
      </c>
      <c r="I215" s="2" t="n">
        <v>440</v>
      </c>
      <c r="J215" s="2" t="n">
        <v>480</v>
      </c>
      <c r="K215" t="inlineStr">
        <is>
          <t>Wye</t>
        </is>
      </c>
      <c r="L215" s="3" t="n"/>
      <c r="M215" s="3" t="n">
        <v>24</v>
      </c>
      <c r="N215" s="3" t="n"/>
      <c r="O215" s="3" t="n"/>
      <c r="P215" s="3">
        <f>IF(L215&lt;&gt;"",L215/1.4,"")</f>
        <v/>
      </c>
      <c r="Q215" s="3">
        <f>IF(L215&lt;&gt;"",L215/1.56,"")</f>
        <v/>
      </c>
      <c r="R215" s="3">
        <f>IF(M215&lt;&gt;"",M215/1.4,"")</f>
        <v/>
      </c>
      <c r="S215" s="3">
        <f>IF(M215&lt;&gt;"",M215/1.56,"")</f>
        <v/>
      </c>
      <c r="T215" s="3">
        <f>IF(N215&lt;&gt;"",N215,IF(O215&lt;&gt;"",O215,IF(L215&lt;&gt;"",L215/1.56,IF(M215&lt;&gt;"",M215/1.56,""))))</f>
        <v/>
      </c>
      <c r="U215" s="3" t="n"/>
      <c r="V215" s="3" t="n"/>
      <c r="W215" s="3" t="n">
        <v>108.7</v>
      </c>
      <c r="X215" s="4" t="n">
        <v>17.4</v>
      </c>
      <c r="Y215" s="5" t="n"/>
      <c r="Z215" s="4">
        <f>IF(L215&lt;&gt;"",SQRT(3)*G215*L215/1000,"")</f>
        <v/>
      </c>
      <c r="AA215" t="inlineStr">
        <is>
          <t>Displacement_CFH=2068.7</t>
        </is>
      </c>
      <c r="AB215" t="inlineStr">
        <is>
          <t>Dorin_RLA_230_460_3ph_60Hz.xlsx</t>
        </is>
      </c>
      <c r="AC215" t="inlineStr">
        <is>
          <t>DORIN_H_60Hz_3ph</t>
        </is>
      </c>
    </row>
    <row r="216">
      <c r="A216" t="inlineStr">
        <is>
          <t>DORIN</t>
        </is>
      </c>
      <c r="B216" t="inlineStr">
        <is>
          <t>H1501CC</t>
        </is>
      </c>
      <c r="D216" t="inlineStr">
        <is>
          <t>Reciprocating Semi-hermetic</t>
        </is>
      </c>
      <c r="E216" s="2" t="n">
        <v>3</v>
      </c>
      <c r="F216" s="2" t="n">
        <v>60</v>
      </c>
      <c r="G216" s="2" t="n">
        <v>230</v>
      </c>
      <c r="H216" t="inlineStr">
        <is>
          <t>208-230</t>
        </is>
      </c>
      <c r="I216" s="2" t="n">
        <v>208</v>
      </c>
      <c r="J216" s="2" t="n">
        <v>230</v>
      </c>
      <c r="K216" t="inlineStr">
        <is>
          <t>Delta</t>
        </is>
      </c>
      <c r="L216" s="3" t="n"/>
      <c r="M216" s="3" t="n">
        <v>71</v>
      </c>
      <c r="N216" s="3" t="n"/>
      <c r="O216" s="3" t="n"/>
      <c r="P216" s="3">
        <f>IF(L216&lt;&gt;"",L216/1.4,"")</f>
        <v/>
      </c>
      <c r="Q216" s="3">
        <f>IF(L216&lt;&gt;"",L216/1.56,"")</f>
        <v/>
      </c>
      <c r="R216" s="3">
        <f>IF(M216&lt;&gt;"",M216/1.4,"")</f>
        <v/>
      </c>
      <c r="S216" s="3">
        <f>IF(M216&lt;&gt;"",M216/1.56,"")</f>
        <v/>
      </c>
      <c r="T216" s="3">
        <f>IF(N216&lt;&gt;"",N216,IF(O216&lt;&gt;"",O216,IF(L216&lt;&gt;"",L216/1.56,IF(M216&lt;&gt;"",M216/1.56,""))))</f>
        <v/>
      </c>
      <c r="U216" s="3" t="n"/>
      <c r="V216" s="3" t="n"/>
      <c r="W216" s="3" t="n">
        <v>354</v>
      </c>
      <c r="X216" s="4" t="n">
        <v>23.4</v>
      </c>
      <c r="Y216" s="5" t="n"/>
      <c r="Z216" s="4">
        <f>IF(L216&lt;&gt;"",SQRT(3)*G216*L216/1000,"")</f>
        <v/>
      </c>
      <c r="AA216" t="inlineStr">
        <is>
          <t>Displacement_CFH=2068.7</t>
        </is>
      </c>
      <c r="AB216" t="inlineStr">
        <is>
          <t>Dorin_RLA_230_460_3ph_60Hz.xlsx</t>
        </is>
      </c>
      <c r="AC216" t="inlineStr">
        <is>
          <t>DORIN_H_60Hz_3ph</t>
        </is>
      </c>
    </row>
    <row r="217">
      <c r="A217" t="inlineStr">
        <is>
          <t>DORIN</t>
        </is>
      </c>
      <c r="B217" t="inlineStr">
        <is>
          <t>H1501CC</t>
        </is>
      </c>
      <c r="D217" t="inlineStr">
        <is>
          <t>Reciprocating Semi-hermetic</t>
        </is>
      </c>
      <c r="E217" s="2" t="n">
        <v>3</v>
      </c>
      <c r="F217" s="2" t="n">
        <v>60</v>
      </c>
      <c r="G217" s="2" t="n">
        <v>460</v>
      </c>
      <c r="H217" t="inlineStr">
        <is>
          <t>440-480</t>
        </is>
      </c>
      <c r="I217" s="2" t="n">
        <v>440</v>
      </c>
      <c r="J217" s="2" t="n">
        <v>480</v>
      </c>
      <c r="K217" t="inlineStr">
        <is>
          <t>Wye</t>
        </is>
      </c>
      <c r="L217" s="3" t="n"/>
      <c r="M217" s="3" t="n">
        <v>34</v>
      </c>
      <c r="N217" s="3" t="n"/>
      <c r="O217" s="3" t="n"/>
      <c r="P217" s="3">
        <f>IF(L217&lt;&gt;"",L217/1.4,"")</f>
        <v/>
      </c>
      <c r="Q217" s="3">
        <f>IF(L217&lt;&gt;"",L217/1.56,"")</f>
        <v/>
      </c>
      <c r="R217" s="3">
        <f>IF(M217&lt;&gt;"",M217/1.4,"")</f>
        <v/>
      </c>
      <c r="S217" s="3">
        <f>IF(M217&lt;&gt;"",M217/1.56,"")</f>
        <v/>
      </c>
      <c r="T217" s="3">
        <f>IF(N217&lt;&gt;"",N217,IF(O217&lt;&gt;"",O217,IF(L217&lt;&gt;"",L217/1.56,IF(M217&lt;&gt;"",M217/1.56,""))))</f>
        <v/>
      </c>
      <c r="U217" s="3" t="n"/>
      <c r="V217" s="3" t="n"/>
      <c r="W217" s="3" t="n">
        <v>170.5</v>
      </c>
      <c r="X217" s="4" t="n">
        <v>23.4</v>
      </c>
      <c r="Y217" s="5" t="n"/>
      <c r="Z217" s="4">
        <f>IF(L217&lt;&gt;"",SQRT(3)*G217*L217/1000,"")</f>
        <v/>
      </c>
      <c r="AA217" t="inlineStr">
        <is>
          <t>Displacement_CFH=2068.7</t>
        </is>
      </c>
      <c r="AB217" t="inlineStr">
        <is>
          <t>Dorin_RLA_230_460_3ph_60Hz.xlsx</t>
        </is>
      </c>
      <c r="AC217" t="inlineStr">
        <is>
          <t>DORIN_H_60Hz_3ph</t>
        </is>
      </c>
    </row>
    <row r="218">
      <c r="A218" t="inlineStr">
        <is>
          <t>DORIN</t>
        </is>
      </c>
      <c r="B218" t="inlineStr">
        <is>
          <t>H1501CS</t>
        </is>
      </c>
      <c r="D218" t="inlineStr">
        <is>
          <t>Reciprocating Semi-hermetic</t>
        </is>
      </c>
      <c r="E218" s="2" t="n">
        <v>3</v>
      </c>
      <c r="F218" s="2" t="n">
        <v>60</v>
      </c>
      <c r="G218" s="2" t="n">
        <v>230</v>
      </c>
      <c r="H218" t="inlineStr">
        <is>
          <t>208-230</t>
        </is>
      </c>
      <c r="I218" s="2" t="n">
        <v>208</v>
      </c>
      <c r="J218" s="2" t="n">
        <v>230</v>
      </c>
      <c r="K218" t="inlineStr">
        <is>
          <t>Delta</t>
        </is>
      </c>
      <c r="L218" s="3" t="n"/>
      <c r="M218" s="3" t="n">
        <v>58</v>
      </c>
      <c r="N218" s="3" t="n"/>
      <c r="O218" s="3" t="n"/>
      <c r="P218" s="3">
        <f>IF(L218&lt;&gt;"",L218/1.4,"")</f>
        <v/>
      </c>
      <c r="Q218" s="3">
        <f>IF(L218&lt;&gt;"",L218/1.56,"")</f>
        <v/>
      </c>
      <c r="R218" s="3">
        <f>IF(M218&lt;&gt;"",M218/1.4,"")</f>
        <v/>
      </c>
      <c r="S218" s="3">
        <f>IF(M218&lt;&gt;"",M218/1.56,"")</f>
        <v/>
      </c>
      <c r="T218" s="3">
        <f>IF(N218&lt;&gt;"",N218,IF(O218&lt;&gt;"",O218,IF(L218&lt;&gt;"",L218/1.56,IF(M218&lt;&gt;"",M218/1.56,""))))</f>
        <v/>
      </c>
      <c r="U218" s="3" t="n"/>
      <c r="V218" s="3" t="n"/>
      <c r="W218" s="3" t="n">
        <v>279.6</v>
      </c>
      <c r="X218" s="4" t="n">
        <v>20.2</v>
      </c>
      <c r="Y218" s="5" t="n"/>
      <c r="Z218" s="4">
        <f>IF(L218&lt;&gt;"",SQRT(3)*G218*L218/1000,"")</f>
        <v/>
      </c>
      <c r="AA218" t="inlineStr">
        <is>
          <t>Displacement_CFH=2410.1</t>
        </is>
      </c>
      <c r="AB218" t="inlineStr">
        <is>
          <t>Dorin_RLA_230_460_3ph_60Hz.xlsx</t>
        </is>
      </c>
      <c r="AC218" t="inlineStr">
        <is>
          <t>DORIN_H_60Hz_3ph</t>
        </is>
      </c>
    </row>
    <row r="219">
      <c r="A219" t="inlineStr">
        <is>
          <t>DORIN</t>
        </is>
      </c>
      <c r="B219" t="inlineStr">
        <is>
          <t>H1501CS</t>
        </is>
      </c>
      <c r="D219" t="inlineStr">
        <is>
          <t>Reciprocating Semi-hermetic</t>
        </is>
      </c>
      <c r="E219" s="2" t="n">
        <v>3</v>
      </c>
      <c r="F219" s="2" t="n">
        <v>60</v>
      </c>
      <c r="G219" s="2" t="n">
        <v>460</v>
      </c>
      <c r="H219" t="inlineStr">
        <is>
          <t>440-480</t>
        </is>
      </c>
      <c r="I219" s="2" t="n">
        <v>440</v>
      </c>
      <c r="J219" s="2" t="n">
        <v>480</v>
      </c>
      <c r="K219" t="inlineStr">
        <is>
          <t>Wye</t>
        </is>
      </c>
      <c r="L219" s="3" t="n"/>
      <c r="M219" s="3" t="n">
        <v>28</v>
      </c>
      <c r="N219" s="3" t="n"/>
      <c r="O219" s="3" t="n"/>
      <c r="P219" s="3">
        <f>IF(L219&lt;&gt;"",L219/1.4,"")</f>
        <v/>
      </c>
      <c r="Q219" s="3">
        <f>IF(L219&lt;&gt;"",L219/1.56,"")</f>
        <v/>
      </c>
      <c r="R219" s="3">
        <f>IF(M219&lt;&gt;"",M219/1.4,"")</f>
        <v/>
      </c>
      <c r="S219" s="3">
        <f>IF(M219&lt;&gt;"",M219/1.56,"")</f>
        <v/>
      </c>
      <c r="T219" s="3">
        <f>IF(N219&lt;&gt;"",N219,IF(O219&lt;&gt;"",O219,IF(L219&lt;&gt;"",L219/1.56,IF(M219&lt;&gt;"",M219/1.56,""))))</f>
        <v/>
      </c>
      <c r="U219" s="3" t="n"/>
      <c r="V219" s="3" t="n"/>
      <c r="W219" s="3" t="n">
        <v>134.7</v>
      </c>
      <c r="X219" s="4" t="n">
        <v>20.2</v>
      </c>
      <c r="Y219" s="5" t="n"/>
      <c r="Z219" s="4">
        <f>IF(L219&lt;&gt;"",SQRT(3)*G219*L219/1000,"")</f>
        <v/>
      </c>
      <c r="AA219" t="inlineStr">
        <is>
          <t>Displacement_CFH=2410.1</t>
        </is>
      </c>
      <c r="AB219" t="inlineStr">
        <is>
          <t>Dorin_RLA_230_460_3ph_60Hz.xlsx</t>
        </is>
      </c>
      <c r="AC219" t="inlineStr">
        <is>
          <t>DORIN_H_60Hz_3ph</t>
        </is>
      </c>
    </row>
    <row r="220">
      <c r="A220" t="inlineStr">
        <is>
          <t>DORIN</t>
        </is>
      </c>
      <c r="B220" t="inlineStr">
        <is>
          <t>H2001CC</t>
        </is>
      </c>
      <c r="D220" t="inlineStr">
        <is>
          <t>Reciprocating Semi-hermetic</t>
        </is>
      </c>
      <c r="E220" s="2" t="n">
        <v>3</v>
      </c>
      <c r="F220" s="2" t="n">
        <v>60</v>
      </c>
      <c r="G220" s="2" t="n">
        <v>230</v>
      </c>
      <c r="H220" t="inlineStr">
        <is>
          <t>208-230</t>
        </is>
      </c>
      <c r="I220" s="2" t="n">
        <v>208</v>
      </c>
      <c r="J220" s="2" t="n">
        <v>230</v>
      </c>
      <c r="K220" t="inlineStr">
        <is>
          <t>Delta</t>
        </is>
      </c>
      <c r="L220" s="3" t="n"/>
      <c r="M220" s="3" t="n">
        <v>79</v>
      </c>
      <c r="N220" s="3" t="n"/>
      <c r="O220" s="3" t="n"/>
      <c r="P220" s="3">
        <f>IF(L220&lt;&gt;"",L220/1.4,"")</f>
        <v/>
      </c>
      <c r="Q220" s="3">
        <f>IF(L220&lt;&gt;"",L220/1.56,"")</f>
        <v/>
      </c>
      <c r="R220" s="3">
        <f>IF(M220&lt;&gt;"",M220/1.4,"")</f>
        <v/>
      </c>
      <c r="S220" s="3">
        <f>IF(M220&lt;&gt;"",M220/1.56,"")</f>
        <v/>
      </c>
      <c r="T220" s="3">
        <f>IF(N220&lt;&gt;"",N220,IF(O220&lt;&gt;"",O220,IF(L220&lt;&gt;"",L220/1.56,IF(M220&lt;&gt;"",M220/1.56,""))))</f>
        <v/>
      </c>
      <c r="U220" s="3" t="n"/>
      <c r="V220" s="3" t="n"/>
      <c r="W220" s="3" t="n">
        <v>367.5</v>
      </c>
      <c r="X220" s="4" t="n">
        <v>27.2</v>
      </c>
      <c r="Y220" s="5" t="n"/>
      <c r="Z220" s="4">
        <f>IF(L220&lt;&gt;"",SQRT(3)*G220*L220/1000,"")</f>
        <v/>
      </c>
      <c r="AA220" t="inlineStr">
        <is>
          <t>Displacement_CFH=2410.1</t>
        </is>
      </c>
      <c r="AB220" t="inlineStr">
        <is>
          <t>Dorin_RLA_230_460_3ph_60Hz.xlsx</t>
        </is>
      </c>
      <c r="AC220" t="inlineStr">
        <is>
          <t>DORIN_H_60Hz_3ph</t>
        </is>
      </c>
    </row>
    <row r="221">
      <c r="A221" t="inlineStr">
        <is>
          <t>DORIN</t>
        </is>
      </c>
      <c r="B221" t="inlineStr">
        <is>
          <t>H2001CC</t>
        </is>
      </c>
      <c r="D221" t="inlineStr">
        <is>
          <t>Reciprocating Semi-hermetic</t>
        </is>
      </c>
      <c r="E221" s="2" t="n">
        <v>3</v>
      </c>
      <c r="F221" s="2" t="n">
        <v>60</v>
      </c>
      <c r="G221" s="2" t="n">
        <v>460</v>
      </c>
      <c r="H221" t="inlineStr">
        <is>
          <t>440-480</t>
        </is>
      </c>
      <c r="I221" s="2" t="n">
        <v>440</v>
      </c>
      <c r="J221" s="2" t="n">
        <v>480</v>
      </c>
      <c r="K221" t="inlineStr">
        <is>
          <t>Wye</t>
        </is>
      </c>
      <c r="L221" s="3" t="n"/>
      <c r="M221" s="3" t="n">
        <v>38</v>
      </c>
      <c r="N221" s="3" t="n"/>
      <c r="O221" s="3" t="n"/>
      <c r="P221" s="3">
        <f>IF(L221&lt;&gt;"",L221/1.4,"")</f>
        <v/>
      </c>
      <c r="Q221" s="3">
        <f>IF(L221&lt;&gt;"",L221/1.56,"")</f>
        <v/>
      </c>
      <c r="R221" s="3">
        <f>IF(M221&lt;&gt;"",M221/1.4,"")</f>
        <v/>
      </c>
      <c r="S221" s="3">
        <f>IF(M221&lt;&gt;"",M221/1.56,"")</f>
        <v/>
      </c>
      <c r="T221" s="3">
        <f>IF(N221&lt;&gt;"",N221,IF(O221&lt;&gt;"",O221,IF(L221&lt;&gt;"",L221/1.56,IF(M221&lt;&gt;"",M221/1.56,""))))</f>
        <v/>
      </c>
      <c r="U221" s="3" t="n"/>
      <c r="V221" s="3" t="n"/>
      <c r="W221" s="3" t="n">
        <v>177</v>
      </c>
      <c r="X221" s="4" t="n">
        <v>27.2</v>
      </c>
      <c r="Y221" s="5" t="n"/>
      <c r="Z221" s="4">
        <f>IF(L221&lt;&gt;"",SQRT(3)*G221*L221/1000,"")</f>
        <v/>
      </c>
      <c r="AA221" t="inlineStr">
        <is>
          <t>Displacement_CFH=2410.1</t>
        </is>
      </c>
      <c r="AB221" t="inlineStr">
        <is>
          <t>Dorin_RLA_230_460_3ph_60Hz.xlsx</t>
        </is>
      </c>
      <c r="AC221" t="inlineStr">
        <is>
          <t>DORIN_H_60Hz_3ph</t>
        </is>
      </c>
    </row>
    <row r="222">
      <c r="A222" t="inlineStr">
        <is>
          <t>DORIN</t>
        </is>
      </c>
      <c r="B222" t="inlineStr">
        <is>
          <t>H1601CS</t>
        </is>
      </c>
      <c r="D222" t="inlineStr">
        <is>
          <t>Reciprocating Semi-hermetic</t>
        </is>
      </c>
      <c r="E222" s="2" t="n">
        <v>3</v>
      </c>
      <c r="F222" s="2" t="n">
        <v>60</v>
      </c>
      <c r="G222" s="2" t="n">
        <v>230</v>
      </c>
      <c r="H222" t="inlineStr">
        <is>
          <t>208-230</t>
        </is>
      </c>
      <c r="I222" s="2" t="n">
        <v>208</v>
      </c>
      <c r="J222" s="2" t="n">
        <v>230</v>
      </c>
      <c r="K222" t="inlineStr">
        <is>
          <t>Delta</t>
        </is>
      </c>
      <c r="L222" s="3" t="n"/>
      <c r="M222" s="3" t="n">
        <v>71</v>
      </c>
      <c r="N222" s="3" t="n"/>
      <c r="O222" s="3" t="n"/>
      <c r="P222" s="3">
        <f>IF(L222&lt;&gt;"",L222/1.4,"")</f>
        <v/>
      </c>
      <c r="Q222" s="3">
        <f>IF(L222&lt;&gt;"",L222/1.56,"")</f>
        <v/>
      </c>
      <c r="R222" s="3">
        <f>IF(M222&lt;&gt;"",M222/1.4,"")</f>
        <v/>
      </c>
      <c r="S222" s="3">
        <f>IF(M222&lt;&gt;"",M222/1.56,"")</f>
        <v/>
      </c>
      <c r="T222" s="3">
        <f>IF(N222&lt;&gt;"",N222,IF(O222&lt;&gt;"",O222,IF(L222&lt;&gt;"",L222/1.56,IF(M222&lt;&gt;"",M222/1.56,""))))</f>
        <v/>
      </c>
      <c r="U222" s="3" t="n"/>
      <c r="V222" s="3" t="n"/>
      <c r="W222" s="3" t="n">
        <v>354</v>
      </c>
      <c r="X222" s="4" t="n">
        <v>23.4</v>
      </c>
      <c r="Y222" s="5" t="n"/>
      <c r="Z222" s="4">
        <f>IF(L222&lt;&gt;"",SQRT(3)*G222*L222/1000,"")</f>
        <v/>
      </c>
      <c r="AA222" t="inlineStr">
        <is>
          <t>Displacement_CFH=2702.0</t>
        </is>
      </c>
      <c r="AB222" t="inlineStr">
        <is>
          <t>Dorin_RLA_230_460_3ph_60Hz.xlsx</t>
        </is>
      </c>
      <c r="AC222" t="inlineStr">
        <is>
          <t>DORIN_H_60Hz_3ph</t>
        </is>
      </c>
    </row>
    <row r="223">
      <c r="A223" t="inlineStr">
        <is>
          <t>DORIN</t>
        </is>
      </c>
      <c r="B223" t="inlineStr">
        <is>
          <t>H1601CS</t>
        </is>
      </c>
      <c r="D223" t="inlineStr">
        <is>
          <t>Reciprocating Semi-hermetic</t>
        </is>
      </c>
      <c r="E223" s="2" t="n">
        <v>3</v>
      </c>
      <c r="F223" s="2" t="n">
        <v>60</v>
      </c>
      <c r="G223" s="2" t="n">
        <v>460</v>
      </c>
      <c r="H223" t="inlineStr">
        <is>
          <t>440-480</t>
        </is>
      </c>
      <c r="I223" s="2" t="n">
        <v>440</v>
      </c>
      <c r="J223" s="2" t="n">
        <v>480</v>
      </c>
      <c r="K223" t="inlineStr">
        <is>
          <t>Wye</t>
        </is>
      </c>
      <c r="L223" s="3" t="n"/>
      <c r="M223" s="3" t="n">
        <v>34</v>
      </c>
      <c r="N223" s="3" t="n"/>
      <c r="O223" s="3" t="n"/>
      <c r="P223" s="3">
        <f>IF(L223&lt;&gt;"",L223/1.4,"")</f>
        <v/>
      </c>
      <c r="Q223" s="3">
        <f>IF(L223&lt;&gt;"",L223/1.56,"")</f>
        <v/>
      </c>
      <c r="R223" s="3">
        <f>IF(M223&lt;&gt;"",M223/1.4,"")</f>
        <v/>
      </c>
      <c r="S223" s="3">
        <f>IF(M223&lt;&gt;"",M223/1.56,"")</f>
        <v/>
      </c>
      <c r="T223" s="3">
        <f>IF(N223&lt;&gt;"",N223,IF(O223&lt;&gt;"",O223,IF(L223&lt;&gt;"",L223/1.56,IF(M223&lt;&gt;"",M223/1.56,""))))</f>
        <v/>
      </c>
      <c r="U223" s="3" t="n"/>
      <c r="V223" s="3" t="n"/>
      <c r="W223" s="3" t="n">
        <v>170.5</v>
      </c>
      <c r="X223" s="4" t="n">
        <v>23.4</v>
      </c>
      <c r="Y223" s="5" t="n"/>
      <c r="Z223" s="4">
        <f>IF(L223&lt;&gt;"",SQRT(3)*G223*L223/1000,"")</f>
        <v/>
      </c>
      <c r="AA223" t="inlineStr">
        <is>
          <t>Displacement_CFH=2702.0</t>
        </is>
      </c>
      <c r="AB223" t="inlineStr">
        <is>
          <t>Dorin_RLA_230_460_3ph_60Hz.xlsx</t>
        </is>
      </c>
      <c r="AC223" t="inlineStr">
        <is>
          <t>DORIN_H_60Hz_3ph</t>
        </is>
      </c>
    </row>
    <row r="224">
      <c r="A224" t="inlineStr">
        <is>
          <t>DORIN</t>
        </is>
      </c>
      <c r="B224" t="inlineStr">
        <is>
          <t>H2201CC</t>
        </is>
      </c>
      <c r="D224" t="inlineStr">
        <is>
          <t>Reciprocating Semi-hermetic</t>
        </is>
      </c>
      <c r="E224" s="2" t="n">
        <v>3</v>
      </c>
      <c r="F224" s="2" t="n">
        <v>60</v>
      </c>
      <c r="G224" s="2" t="n">
        <v>230</v>
      </c>
      <c r="H224" t="inlineStr">
        <is>
          <t>208-230</t>
        </is>
      </c>
      <c r="I224" s="2" t="n">
        <v>208</v>
      </c>
      <c r="J224" s="2" t="n">
        <v>230</v>
      </c>
      <c r="K224" t="inlineStr">
        <is>
          <t>Delta</t>
        </is>
      </c>
      <c r="L224" s="3" t="n"/>
      <c r="M224" s="3" t="n">
        <v>93</v>
      </c>
      <c r="N224" s="3" t="n"/>
      <c r="O224" s="3" t="n"/>
      <c r="P224" s="3">
        <f>IF(L224&lt;&gt;"",L224/1.4,"")</f>
        <v/>
      </c>
      <c r="Q224" s="3">
        <f>IF(L224&lt;&gt;"",L224/1.56,"")</f>
        <v/>
      </c>
      <c r="R224" s="3">
        <f>IF(M224&lt;&gt;"",M224/1.4,"")</f>
        <v/>
      </c>
      <c r="S224" s="3">
        <f>IF(M224&lt;&gt;"",M224/1.56,"")</f>
        <v/>
      </c>
      <c r="T224" s="3">
        <f>IF(N224&lt;&gt;"",N224,IF(O224&lt;&gt;"",O224,IF(L224&lt;&gt;"",L224/1.56,IF(M224&lt;&gt;"",M224/1.56,""))))</f>
        <v/>
      </c>
      <c r="U224" s="3" t="n"/>
      <c r="V224" s="3" t="n"/>
      <c r="W224" s="3" t="n">
        <v>421.4</v>
      </c>
      <c r="X224" s="4" t="n">
        <v>31.9</v>
      </c>
      <c r="Y224" s="5" t="n"/>
      <c r="Z224" s="4">
        <f>IF(L224&lt;&gt;"",SQRT(3)*G224*L224/1000,"")</f>
        <v/>
      </c>
      <c r="AA224" t="inlineStr">
        <is>
          <t>Displacement_CFH=2702.0</t>
        </is>
      </c>
      <c r="AB224" t="inlineStr">
        <is>
          <t>Dorin_RLA_230_460_3ph_60Hz.xlsx</t>
        </is>
      </c>
      <c r="AC224" t="inlineStr">
        <is>
          <t>DORIN_H_60Hz_3ph</t>
        </is>
      </c>
    </row>
    <row r="225">
      <c r="A225" t="inlineStr">
        <is>
          <t>DORIN</t>
        </is>
      </c>
      <c r="B225" t="inlineStr">
        <is>
          <t>H2201CC</t>
        </is>
      </c>
      <c r="D225" t="inlineStr">
        <is>
          <t>Reciprocating Semi-hermetic</t>
        </is>
      </c>
      <c r="E225" s="2" t="n">
        <v>3</v>
      </c>
      <c r="F225" s="2" t="n">
        <v>60</v>
      </c>
      <c r="G225" s="2" t="n">
        <v>460</v>
      </c>
      <c r="H225" t="inlineStr">
        <is>
          <t>440-480</t>
        </is>
      </c>
      <c r="I225" s="2" t="n">
        <v>440</v>
      </c>
      <c r="J225" s="2" t="n">
        <v>480</v>
      </c>
      <c r="K225" t="inlineStr">
        <is>
          <t>Wye</t>
        </is>
      </c>
      <c r="L225" s="3" t="n"/>
      <c r="M225" s="3" t="n">
        <v>45</v>
      </c>
      <c r="N225" s="3" t="n"/>
      <c r="O225" s="3" t="n"/>
      <c r="P225" s="3">
        <f>IF(L225&lt;&gt;"",L225/1.4,"")</f>
        <v/>
      </c>
      <c r="Q225" s="3">
        <f>IF(L225&lt;&gt;"",L225/1.56,"")</f>
        <v/>
      </c>
      <c r="R225" s="3">
        <f>IF(M225&lt;&gt;"",M225/1.4,"")</f>
        <v/>
      </c>
      <c r="S225" s="3">
        <f>IF(M225&lt;&gt;"",M225/1.56,"")</f>
        <v/>
      </c>
      <c r="T225" s="3">
        <f>IF(N225&lt;&gt;"",N225,IF(O225&lt;&gt;"",O225,IF(L225&lt;&gt;"",L225/1.56,IF(M225&lt;&gt;"",M225/1.56,""))))</f>
        <v/>
      </c>
      <c r="U225" s="3" t="n"/>
      <c r="V225" s="3" t="n"/>
      <c r="W225" s="3" t="n">
        <v>203</v>
      </c>
      <c r="X225" s="4" t="n">
        <v>31.9</v>
      </c>
      <c r="Y225" s="5" t="n"/>
      <c r="Z225" s="4">
        <f>IF(L225&lt;&gt;"",SQRT(3)*G225*L225/1000,"")</f>
        <v/>
      </c>
      <c r="AA225" t="inlineStr">
        <is>
          <t>Displacement_CFH=2702.0</t>
        </is>
      </c>
      <c r="AB225" t="inlineStr">
        <is>
          <t>Dorin_RLA_230_460_3ph_60Hz.xlsx</t>
        </is>
      </c>
      <c r="AC225" t="inlineStr">
        <is>
          <t>DORIN_H_60Hz_3ph</t>
        </is>
      </c>
    </row>
    <row r="226">
      <c r="A226" t="inlineStr">
        <is>
          <t>DORIN</t>
        </is>
      </c>
      <c r="B226" t="inlineStr">
        <is>
          <t>H2201CS</t>
        </is>
      </c>
      <c r="D226" t="inlineStr">
        <is>
          <t>Reciprocating Semi-hermetic</t>
        </is>
      </c>
      <c r="E226" s="2" t="n">
        <v>3</v>
      </c>
      <c r="F226" s="2" t="n">
        <v>60</v>
      </c>
      <c r="G226" s="2" t="n">
        <v>230</v>
      </c>
      <c r="H226" t="inlineStr">
        <is>
          <t>208-230</t>
        </is>
      </c>
      <c r="I226" s="2" t="n">
        <v>208</v>
      </c>
      <c r="J226" s="2" t="n">
        <v>230</v>
      </c>
      <c r="K226" t="inlineStr">
        <is>
          <t>Delta</t>
        </is>
      </c>
      <c r="L226" s="3" t="n"/>
      <c r="M226" s="3" t="n">
        <v>79</v>
      </c>
      <c r="N226" s="3" t="n"/>
      <c r="O226" s="3" t="n"/>
      <c r="P226" s="3">
        <f>IF(L226&lt;&gt;"",L226/1.4,"")</f>
        <v/>
      </c>
      <c r="Q226" s="3">
        <f>IF(L226&lt;&gt;"",L226/1.56,"")</f>
        <v/>
      </c>
      <c r="R226" s="3">
        <f>IF(M226&lt;&gt;"",M226/1.4,"")</f>
        <v/>
      </c>
      <c r="S226" s="3">
        <f>IF(M226&lt;&gt;"",M226/1.56,"")</f>
        <v/>
      </c>
      <c r="T226" s="3">
        <f>IF(N226&lt;&gt;"",N226,IF(O226&lt;&gt;"",O226,IF(L226&lt;&gt;"",L226/1.56,IF(M226&lt;&gt;"",M226/1.56,""))))</f>
        <v/>
      </c>
      <c r="U226" s="3" t="n"/>
      <c r="V226" s="3" t="n"/>
      <c r="W226" s="3" t="n">
        <v>367</v>
      </c>
      <c r="X226" s="4" t="n">
        <v>27.2</v>
      </c>
      <c r="Y226" s="5" t="n"/>
      <c r="Z226" s="4">
        <f>IF(L226&lt;&gt;"",SQRT(3)*G226*L226/1000,"")</f>
        <v/>
      </c>
      <c r="AA226" t="inlineStr">
        <is>
          <t>Displacement_CFH=3002.1</t>
        </is>
      </c>
      <c r="AB226" t="inlineStr">
        <is>
          <t>Dorin_RLA_230_460_3ph_60Hz.xlsx</t>
        </is>
      </c>
      <c r="AC226" t="inlineStr">
        <is>
          <t>DORIN_H_60Hz_3ph</t>
        </is>
      </c>
    </row>
    <row r="227">
      <c r="A227" t="inlineStr">
        <is>
          <t>DORIN</t>
        </is>
      </c>
      <c r="B227" t="inlineStr">
        <is>
          <t>H2201CS</t>
        </is>
      </c>
      <c r="D227" t="inlineStr">
        <is>
          <t>Reciprocating Semi-hermetic</t>
        </is>
      </c>
      <c r="E227" s="2" t="n">
        <v>3</v>
      </c>
      <c r="F227" s="2" t="n">
        <v>60</v>
      </c>
      <c r="G227" s="2" t="n">
        <v>460</v>
      </c>
      <c r="H227" t="inlineStr">
        <is>
          <t>440-480</t>
        </is>
      </c>
      <c r="I227" s="2" t="n">
        <v>440</v>
      </c>
      <c r="J227" s="2" t="n">
        <v>480</v>
      </c>
      <c r="K227" t="inlineStr">
        <is>
          <t>Wye</t>
        </is>
      </c>
      <c r="L227" s="3" t="n"/>
      <c r="M227" s="3" t="n">
        <v>38</v>
      </c>
      <c r="N227" s="3" t="n"/>
      <c r="O227" s="3" t="n"/>
      <c r="P227" s="3">
        <f>IF(L227&lt;&gt;"",L227/1.4,"")</f>
        <v/>
      </c>
      <c r="Q227" s="3">
        <f>IF(L227&lt;&gt;"",L227/1.56,"")</f>
        <v/>
      </c>
      <c r="R227" s="3">
        <f>IF(M227&lt;&gt;"",M227/1.4,"")</f>
        <v/>
      </c>
      <c r="S227" s="3">
        <f>IF(M227&lt;&gt;"",M227/1.56,"")</f>
        <v/>
      </c>
      <c r="T227" s="3">
        <f>IF(N227&lt;&gt;"",N227,IF(O227&lt;&gt;"",O227,IF(L227&lt;&gt;"",L227/1.56,IF(M227&lt;&gt;"",M227/1.56,""))))</f>
        <v/>
      </c>
      <c r="U227" s="3" t="n"/>
      <c r="V227" s="3" t="n"/>
      <c r="W227" s="3" t="n">
        <v>177</v>
      </c>
      <c r="X227" s="4" t="n">
        <v>27.2</v>
      </c>
      <c r="Y227" s="5" t="n"/>
      <c r="Z227" s="4">
        <f>IF(L227&lt;&gt;"",SQRT(3)*G227*L227/1000,"")</f>
        <v/>
      </c>
      <c r="AA227" t="inlineStr">
        <is>
          <t>Displacement_CFH=3002.1</t>
        </is>
      </c>
      <c r="AB227" t="inlineStr">
        <is>
          <t>Dorin_RLA_230_460_3ph_60Hz.xlsx</t>
        </is>
      </c>
      <c r="AC227" t="inlineStr">
        <is>
          <t>DORIN_H_60Hz_3ph</t>
        </is>
      </c>
    </row>
    <row r="228">
      <c r="A228" t="inlineStr">
        <is>
          <t>DORIN</t>
        </is>
      </c>
      <c r="B228" t="inlineStr">
        <is>
          <t>H2401CC</t>
        </is>
      </c>
      <c r="D228" t="inlineStr">
        <is>
          <t>Reciprocating Semi-hermetic</t>
        </is>
      </c>
      <c r="E228" s="2" t="n">
        <v>3</v>
      </c>
      <c r="F228" s="2" t="n">
        <v>60</v>
      </c>
      <c r="G228" s="2" t="n">
        <v>230</v>
      </c>
      <c r="H228" t="inlineStr">
        <is>
          <t>208-230</t>
        </is>
      </c>
      <c r="I228" s="2" t="n">
        <v>208</v>
      </c>
      <c r="J228" s="2" t="n">
        <v>230</v>
      </c>
      <c r="K228" t="inlineStr">
        <is>
          <t>Delta</t>
        </is>
      </c>
      <c r="L228" s="3" t="n"/>
      <c r="M228" s="3" t="n">
        <v>93</v>
      </c>
      <c r="N228" s="3" t="n"/>
      <c r="O228" s="3" t="n"/>
      <c r="P228" s="3">
        <f>IF(L228&lt;&gt;"",L228/1.4,"")</f>
        <v/>
      </c>
      <c r="Q228" s="3">
        <f>IF(L228&lt;&gt;"",L228/1.56,"")</f>
        <v/>
      </c>
      <c r="R228" s="3">
        <f>IF(M228&lt;&gt;"",M228/1.4,"")</f>
        <v/>
      </c>
      <c r="S228" s="3">
        <f>IF(M228&lt;&gt;"",M228/1.56,"")</f>
        <v/>
      </c>
      <c r="T228" s="3">
        <f>IF(N228&lt;&gt;"",N228,IF(O228&lt;&gt;"",O228,IF(L228&lt;&gt;"",L228/1.56,IF(M228&lt;&gt;"",M228/1.56,""))))</f>
        <v/>
      </c>
      <c r="U228" s="3" t="n"/>
      <c r="V228" s="3" t="n"/>
      <c r="W228" s="3" t="n">
        <v>421</v>
      </c>
      <c r="X228" s="4" t="n">
        <v>31.9</v>
      </c>
      <c r="Y228" s="5" t="n"/>
      <c r="Z228" s="4">
        <f>IF(L228&lt;&gt;"",SQRT(3)*G228*L228/1000,"")</f>
        <v/>
      </c>
      <c r="AA228" t="inlineStr">
        <is>
          <t>Displacement_CFH=3002.1</t>
        </is>
      </c>
      <c r="AB228" t="inlineStr">
        <is>
          <t>Dorin_RLA_230_460_3ph_60Hz.xlsx</t>
        </is>
      </c>
      <c r="AC228" t="inlineStr">
        <is>
          <t>DORIN_H_60Hz_3ph</t>
        </is>
      </c>
    </row>
    <row r="229">
      <c r="A229" t="inlineStr">
        <is>
          <t>DORIN</t>
        </is>
      </c>
      <c r="B229" t="inlineStr">
        <is>
          <t>H2401CC</t>
        </is>
      </c>
      <c r="D229" t="inlineStr">
        <is>
          <t>Reciprocating Semi-hermetic</t>
        </is>
      </c>
      <c r="E229" s="2" t="n">
        <v>3</v>
      </c>
      <c r="F229" s="2" t="n">
        <v>60</v>
      </c>
      <c r="G229" s="2" t="n">
        <v>460</v>
      </c>
      <c r="H229" t="inlineStr">
        <is>
          <t>440-480</t>
        </is>
      </c>
      <c r="I229" s="2" t="n">
        <v>440</v>
      </c>
      <c r="J229" s="2" t="n">
        <v>480</v>
      </c>
      <c r="K229" t="inlineStr">
        <is>
          <t>Wye</t>
        </is>
      </c>
      <c r="L229" s="3" t="n"/>
      <c r="M229" s="3" t="n">
        <v>45</v>
      </c>
      <c r="N229" s="3" t="n"/>
      <c r="O229" s="3" t="n"/>
      <c r="P229" s="3">
        <f>IF(L229&lt;&gt;"",L229/1.4,"")</f>
        <v/>
      </c>
      <c r="Q229" s="3">
        <f>IF(L229&lt;&gt;"",L229/1.56,"")</f>
        <v/>
      </c>
      <c r="R229" s="3">
        <f>IF(M229&lt;&gt;"",M229/1.4,"")</f>
        <v/>
      </c>
      <c r="S229" s="3">
        <f>IF(M229&lt;&gt;"",M229/1.56,"")</f>
        <v/>
      </c>
      <c r="T229" s="3">
        <f>IF(N229&lt;&gt;"",N229,IF(O229&lt;&gt;"",O229,IF(L229&lt;&gt;"",L229/1.56,IF(M229&lt;&gt;"",M229/1.56,""))))</f>
        <v/>
      </c>
      <c r="U229" s="3" t="n"/>
      <c r="V229" s="3" t="n"/>
      <c r="W229" s="3" t="n">
        <v>203</v>
      </c>
      <c r="X229" s="4" t="n">
        <v>31.9</v>
      </c>
      <c r="Y229" s="5" t="n"/>
      <c r="Z229" s="4">
        <f>IF(L229&lt;&gt;"",SQRT(3)*G229*L229/1000,"")</f>
        <v/>
      </c>
      <c r="AA229" t="inlineStr">
        <is>
          <t>Displacement_CFH=3002.1</t>
        </is>
      </c>
      <c r="AB229" t="inlineStr">
        <is>
          <t>Dorin_RLA_230_460_3ph_60Hz.xlsx</t>
        </is>
      </c>
      <c r="AC229" t="inlineStr">
        <is>
          <t>DORIN_H_60Hz_3ph</t>
        </is>
      </c>
    </row>
    <row r="230">
      <c r="A230" t="inlineStr">
        <is>
          <t>DORIN</t>
        </is>
      </c>
      <c r="B230" t="inlineStr">
        <is>
          <t>H2000CS</t>
        </is>
      </c>
      <c r="D230" t="inlineStr">
        <is>
          <t>Reciprocating Semi-hermetic</t>
        </is>
      </c>
      <c r="E230" s="2" t="n">
        <v>3</v>
      </c>
      <c r="F230" s="2" t="n">
        <v>60</v>
      </c>
      <c r="G230" s="2" t="n">
        <v>230</v>
      </c>
      <c r="H230" t="inlineStr">
        <is>
          <t>208-230</t>
        </is>
      </c>
      <c r="I230" s="2" t="n">
        <v>208</v>
      </c>
      <c r="J230" s="2" t="n">
        <v>230</v>
      </c>
      <c r="K230" t="inlineStr">
        <is>
          <t>Delta</t>
        </is>
      </c>
      <c r="L230" s="3" t="n"/>
      <c r="M230" s="3" t="n">
        <v>79</v>
      </c>
      <c r="N230" s="3" t="n"/>
      <c r="O230" s="3" t="n"/>
      <c r="P230" s="3">
        <f>IF(L230&lt;&gt;"",L230/1.4,"")</f>
        <v/>
      </c>
      <c r="Q230" s="3">
        <f>IF(L230&lt;&gt;"",L230/1.56,"")</f>
        <v/>
      </c>
      <c r="R230" s="3">
        <f>IF(M230&lt;&gt;"",M230/1.4,"")</f>
        <v/>
      </c>
      <c r="S230" s="3">
        <f>IF(M230&lt;&gt;"",M230/1.56,"")</f>
        <v/>
      </c>
      <c r="T230" s="3">
        <f>IF(N230&lt;&gt;"",N230,IF(O230&lt;&gt;"",O230,IF(L230&lt;&gt;"",L230/1.56,IF(M230&lt;&gt;"",M230/1.56,""))))</f>
        <v/>
      </c>
      <c r="U230" s="3" t="n"/>
      <c r="V230" s="3" t="n"/>
      <c r="W230" s="3" t="n">
        <v>367.5</v>
      </c>
      <c r="X230" s="4" t="n">
        <v>27.2</v>
      </c>
      <c r="Y230" s="5" t="n"/>
      <c r="Z230" s="4">
        <f>IF(L230&lt;&gt;"",SQRT(3)*G230*L230/1000,"")</f>
        <v/>
      </c>
      <c r="AA230" t="inlineStr">
        <is>
          <t>Displacement_CFH=3213.5</t>
        </is>
      </c>
      <c r="AB230" t="inlineStr">
        <is>
          <t>Dorin_RLA_230_460_3ph_60Hz.xlsx</t>
        </is>
      </c>
      <c r="AC230" t="inlineStr">
        <is>
          <t>DORIN_H_60Hz_3ph</t>
        </is>
      </c>
    </row>
    <row r="231">
      <c r="A231" t="inlineStr">
        <is>
          <t>DORIN</t>
        </is>
      </c>
      <c r="B231" t="inlineStr">
        <is>
          <t>H2000CS</t>
        </is>
      </c>
      <c r="D231" t="inlineStr">
        <is>
          <t>Reciprocating Semi-hermetic</t>
        </is>
      </c>
      <c r="E231" s="2" t="n">
        <v>3</v>
      </c>
      <c r="F231" s="2" t="n">
        <v>60</v>
      </c>
      <c r="G231" s="2" t="n">
        <v>460</v>
      </c>
      <c r="H231" t="inlineStr">
        <is>
          <t>440-480</t>
        </is>
      </c>
      <c r="I231" s="2" t="n">
        <v>440</v>
      </c>
      <c r="J231" s="2" t="n">
        <v>480</v>
      </c>
      <c r="K231" t="inlineStr">
        <is>
          <t>Wye</t>
        </is>
      </c>
      <c r="L231" s="3" t="n"/>
      <c r="M231" s="3" t="n">
        <v>38</v>
      </c>
      <c r="N231" s="3" t="n"/>
      <c r="O231" s="3" t="n"/>
      <c r="P231" s="3">
        <f>IF(L231&lt;&gt;"",L231/1.4,"")</f>
        <v/>
      </c>
      <c r="Q231" s="3">
        <f>IF(L231&lt;&gt;"",L231/1.56,"")</f>
        <v/>
      </c>
      <c r="R231" s="3">
        <f>IF(M231&lt;&gt;"",M231/1.4,"")</f>
        <v/>
      </c>
      <c r="S231" s="3">
        <f>IF(M231&lt;&gt;"",M231/1.56,"")</f>
        <v/>
      </c>
      <c r="T231" s="3">
        <f>IF(N231&lt;&gt;"",N231,IF(O231&lt;&gt;"",O231,IF(L231&lt;&gt;"",L231/1.56,IF(M231&lt;&gt;"",M231/1.56,""))))</f>
        <v/>
      </c>
      <c r="U231" s="3" t="n"/>
      <c r="V231" s="3" t="n"/>
      <c r="W231" s="3" t="n">
        <v>177</v>
      </c>
      <c r="X231" s="4" t="n">
        <v>27.2</v>
      </c>
      <c r="Y231" s="5" t="n"/>
      <c r="Z231" s="4">
        <f>IF(L231&lt;&gt;"",SQRT(3)*G231*L231/1000,"")</f>
        <v/>
      </c>
      <c r="AA231" t="inlineStr">
        <is>
          <t>Displacement_CFH=3213.5</t>
        </is>
      </c>
      <c r="AB231" t="inlineStr">
        <is>
          <t>Dorin_RLA_230_460_3ph_60Hz.xlsx</t>
        </is>
      </c>
      <c r="AC231" t="inlineStr">
        <is>
          <t>DORIN_H_60Hz_3ph</t>
        </is>
      </c>
    </row>
    <row r="232">
      <c r="A232" t="inlineStr">
        <is>
          <t>DORIN</t>
        </is>
      </c>
      <c r="B232" t="inlineStr">
        <is>
          <t>H2500CC</t>
        </is>
      </c>
      <c r="D232" t="inlineStr">
        <is>
          <t>Reciprocating Semi-hermetic</t>
        </is>
      </c>
      <c r="E232" s="2" t="n">
        <v>3</v>
      </c>
      <c r="F232" s="2" t="n">
        <v>60</v>
      </c>
      <c r="G232" s="2" t="n">
        <v>230</v>
      </c>
      <c r="H232" t="inlineStr">
        <is>
          <t>208-230</t>
        </is>
      </c>
      <c r="I232" s="2" t="n">
        <v>208</v>
      </c>
      <c r="J232" s="2" t="n">
        <v>230</v>
      </c>
      <c r="K232" t="inlineStr">
        <is>
          <t>Delta</t>
        </is>
      </c>
      <c r="L232" s="3" t="n"/>
      <c r="M232" s="3" t="n">
        <v>100</v>
      </c>
      <c r="N232" s="3" t="n"/>
      <c r="O232" s="3" t="n"/>
      <c r="P232" s="3">
        <f>IF(L232&lt;&gt;"",L232/1.4,"")</f>
        <v/>
      </c>
      <c r="Q232" s="3">
        <f>IF(L232&lt;&gt;"",L232/1.56,"")</f>
        <v/>
      </c>
      <c r="R232" s="3">
        <f>IF(M232&lt;&gt;"",M232/1.4,"")</f>
        <v/>
      </c>
      <c r="S232" s="3">
        <f>IF(M232&lt;&gt;"",M232/1.56,"")</f>
        <v/>
      </c>
      <c r="T232" s="3">
        <f>IF(N232&lt;&gt;"",N232,IF(O232&lt;&gt;"",O232,IF(L232&lt;&gt;"",L232/1.56,IF(M232&lt;&gt;"",M232/1.56,""))))</f>
        <v/>
      </c>
      <c r="U232" s="3" t="n"/>
      <c r="V232" s="3" t="n"/>
      <c r="W232" s="3" t="n">
        <v>421.4</v>
      </c>
      <c r="X232" s="4" t="n">
        <v>34.2</v>
      </c>
      <c r="Y232" s="5" t="n"/>
      <c r="Z232" s="4">
        <f>IF(L232&lt;&gt;"",SQRT(3)*G232*L232/1000,"")</f>
        <v/>
      </c>
      <c r="AA232" t="inlineStr">
        <is>
          <t>Displacement_CFH=3213.5</t>
        </is>
      </c>
      <c r="AB232" t="inlineStr">
        <is>
          <t>Dorin_RLA_230_460_3ph_60Hz.xlsx</t>
        </is>
      </c>
      <c r="AC232" t="inlineStr">
        <is>
          <t>DORIN_H_60Hz_3ph</t>
        </is>
      </c>
    </row>
    <row r="233">
      <c r="A233" t="inlineStr">
        <is>
          <t>DORIN</t>
        </is>
      </c>
      <c r="B233" t="inlineStr">
        <is>
          <t>H2500CC</t>
        </is>
      </c>
      <c r="D233" t="inlineStr">
        <is>
          <t>Reciprocating Semi-hermetic</t>
        </is>
      </c>
      <c r="E233" s="2" t="n">
        <v>3</v>
      </c>
      <c r="F233" s="2" t="n">
        <v>60</v>
      </c>
      <c r="G233" s="2" t="n">
        <v>460</v>
      </c>
      <c r="H233" t="inlineStr">
        <is>
          <t>440-480</t>
        </is>
      </c>
      <c r="I233" s="2" t="n">
        <v>440</v>
      </c>
      <c r="J233" s="2" t="n">
        <v>480</v>
      </c>
      <c r="K233" t="inlineStr">
        <is>
          <t>Wye</t>
        </is>
      </c>
      <c r="L233" s="3" t="n"/>
      <c r="M233" s="3" t="n">
        <v>48</v>
      </c>
      <c r="N233" s="3" t="n"/>
      <c r="O233" s="3" t="n"/>
      <c r="P233" s="3">
        <f>IF(L233&lt;&gt;"",L233/1.4,"")</f>
        <v/>
      </c>
      <c r="Q233" s="3">
        <f>IF(L233&lt;&gt;"",L233/1.56,"")</f>
        <v/>
      </c>
      <c r="R233" s="3">
        <f>IF(M233&lt;&gt;"",M233/1.4,"")</f>
        <v/>
      </c>
      <c r="S233" s="3">
        <f>IF(M233&lt;&gt;"",M233/1.56,"")</f>
        <v/>
      </c>
      <c r="T233" s="3">
        <f>IF(N233&lt;&gt;"",N233,IF(O233&lt;&gt;"",O233,IF(L233&lt;&gt;"",L233/1.56,IF(M233&lt;&gt;"",M233/1.56,""))))</f>
        <v/>
      </c>
      <c r="U233" s="3" t="n"/>
      <c r="V233" s="3" t="n"/>
      <c r="W233" s="3" t="n">
        <v>203</v>
      </c>
      <c r="X233" s="4" t="n">
        <v>34.2</v>
      </c>
      <c r="Y233" s="5" t="n"/>
      <c r="Z233" s="4">
        <f>IF(L233&lt;&gt;"",SQRT(3)*G233*L233/1000,"")</f>
        <v/>
      </c>
      <c r="AA233" t="inlineStr">
        <is>
          <t>Displacement_CFH=3213.5</t>
        </is>
      </c>
      <c r="AB233" t="inlineStr">
        <is>
          <t>Dorin_RLA_230_460_3ph_60Hz.xlsx</t>
        </is>
      </c>
      <c r="AC233" t="inlineStr">
        <is>
          <t>DORIN_H_60Hz_3ph</t>
        </is>
      </c>
    </row>
    <row r="234">
      <c r="A234" t="inlineStr">
        <is>
          <t>DORIN</t>
        </is>
      </c>
      <c r="B234" t="inlineStr">
        <is>
          <t>H2500CS</t>
        </is>
      </c>
      <c r="D234" t="inlineStr">
        <is>
          <t>Reciprocating Semi-hermetic</t>
        </is>
      </c>
      <c r="E234" s="2" t="n">
        <v>3</v>
      </c>
      <c r="F234" s="2" t="n">
        <v>60</v>
      </c>
      <c r="G234" s="2" t="n">
        <v>230</v>
      </c>
      <c r="H234" t="inlineStr">
        <is>
          <t>208-230</t>
        </is>
      </c>
      <c r="I234" s="2" t="n">
        <v>208</v>
      </c>
      <c r="J234" s="2" t="n">
        <v>230</v>
      </c>
      <c r="K234" t="inlineStr">
        <is>
          <t>Delta</t>
        </is>
      </c>
      <c r="L234" s="3" t="n"/>
      <c r="M234" s="3" t="n">
        <v>93</v>
      </c>
      <c r="N234" s="3" t="n"/>
      <c r="O234" s="3" t="n"/>
      <c r="P234" s="3">
        <f>IF(L234&lt;&gt;"",L234/1.4,"")</f>
        <v/>
      </c>
      <c r="Q234" s="3">
        <f>IF(L234&lt;&gt;"",L234/1.56,"")</f>
        <v/>
      </c>
      <c r="R234" s="3">
        <f>IF(M234&lt;&gt;"",M234/1.4,"")</f>
        <v/>
      </c>
      <c r="S234" s="3">
        <f>IF(M234&lt;&gt;"",M234/1.56,"")</f>
        <v/>
      </c>
      <c r="T234" s="3">
        <f>IF(N234&lt;&gt;"",N234,IF(O234&lt;&gt;"",O234,IF(L234&lt;&gt;"",L234/1.56,IF(M234&lt;&gt;"",M234/1.56,""))))</f>
        <v/>
      </c>
      <c r="U234" s="3" t="n"/>
      <c r="V234" s="3" t="n"/>
      <c r="W234" s="3" t="n">
        <v>421.4</v>
      </c>
      <c r="X234" s="4" t="n">
        <v>31.9</v>
      </c>
      <c r="Y234" s="5" t="n"/>
      <c r="Z234" s="4">
        <f>IF(L234&lt;&gt;"",SQRT(3)*G234*L234/1000,"")</f>
        <v/>
      </c>
      <c r="AA234" t="inlineStr">
        <is>
          <t>Displacement_CFH=3602.7</t>
        </is>
      </c>
      <c r="AB234" t="inlineStr">
        <is>
          <t>Dorin_RLA_230_460_3ph_60Hz.xlsx</t>
        </is>
      </c>
      <c r="AC234" t="inlineStr">
        <is>
          <t>DORIN_H_60Hz_3ph</t>
        </is>
      </c>
    </row>
    <row r="235">
      <c r="A235" t="inlineStr">
        <is>
          <t>DORIN</t>
        </is>
      </c>
      <c r="B235" t="inlineStr">
        <is>
          <t>H2500CS</t>
        </is>
      </c>
      <c r="D235" t="inlineStr">
        <is>
          <t>Reciprocating Semi-hermetic</t>
        </is>
      </c>
      <c r="E235" s="2" t="n">
        <v>3</v>
      </c>
      <c r="F235" s="2" t="n">
        <v>60</v>
      </c>
      <c r="G235" s="2" t="n">
        <v>460</v>
      </c>
      <c r="H235" t="inlineStr">
        <is>
          <t>440-480</t>
        </is>
      </c>
      <c r="I235" s="2" t="n">
        <v>440</v>
      </c>
      <c r="J235" s="2" t="n">
        <v>480</v>
      </c>
      <c r="K235" t="inlineStr">
        <is>
          <t>Wye</t>
        </is>
      </c>
      <c r="L235" s="3" t="n"/>
      <c r="M235" s="3" t="n">
        <v>45</v>
      </c>
      <c r="N235" s="3" t="n"/>
      <c r="O235" s="3" t="n"/>
      <c r="P235" s="3">
        <f>IF(L235&lt;&gt;"",L235/1.4,"")</f>
        <v/>
      </c>
      <c r="Q235" s="3">
        <f>IF(L235&lt;&gt;"",L235/1.56,"")</f>
        <v/>
      </c>
      <c r="R235" s="3">
        <f>IF(M235&lt;&gt;"",M235/1.4,"")</f>
        <v/>
      </c>
      <c r="S235" s="3">
        <f>IF(M235&lt;&gt;"",M235/1.56,"")</f>
        <v/>
      </c>
      <c r="T235" s="3">
        <f>IF(N235&lt;&gt;"",N235,IF(O235&lt;&gt;"",O235,IF(L235&lt;&gt;"",L235/1.56,IF(M235&lt;&gt;"",M235/1.56,""))))</f>
        <v/>
      </c>
      <c r="U235" s="3" t="n"/>
      <c r="V235" s="3" t="n"/>
      <c r="W235" s="3" t="n">
        <v>203</v>
      </c>
      <c r="X235" s="4" t="n">
        <v>31.9</v>
      </c>
      <c r="Y235" s="5" t="n"/>
      <c r="Z235" s="4">
        <f>IF(L235&lt;&gt;"",SQRT(3)*G235*L235/1000,"")</f>
        <v/>
      </c>
      <c r="AA235" t="inlineStr">
        <is>
          <t>Displacement_CFH=3602.7</t>
        </is>
      </c>
      <c r="AB235" t="inlineStr">
        <is>
          <t>Dorin_RLA_230_460_3ph_60Hz.xlsx</t>
        </is>
      </c>
      <c r="AC235" t="inlineStr">
        <is>
          <t>DORIN_H_60Hz_3ph</t>
        </is>
      </c>
    </row>
    <row r="236">
      <c r="A236" t="inlineStr">
        <is>
          <t>DORIN</t>
        </is>
      </c>
      <c r="B236" t="inlineStr">
        <is>
          <t>H3000CC</t>
        </is>
      </c>
      <c r="D236" t="inlineStr">
        <is>
          <t>Reciprocating Semi-hermetic</t>
        </is>
      </c>
      <c r="E236" s="2" t="n">
        <v>3</v>
      </c>
      <c r="F236" s="2" t="n">
        <v>60</v>
      </c>
      <c r="G236" s="2" t="n">
        <v>230</v>
      </c>
      <c r="H236" t="inlineStr">
        <is>
          <t>208-230</t>
        </is>
      </c>
      <c r="I236" s="2" t="n">
        <v>208</v>
      </c>
      <c r="J236" s="2" t="n">
        <v>230</v>
      </c>
      <c r="K236" t="inlineStr">
        <is>
          <t>Delta</t>
        </is>
      </c>
      <c r="L236" s="3" t="n"/>
      <c r="M236" s="3" t="n">
        <v>116</v>
      </c>
      <c r="N236" s="3" t="n"/>
      <c r="O236" s="3" t="n"/>
      <c r="P236" s="3">
        <f>IF(L236&lt;&gt;"",L236/1.4,"")</f>
        <v/>
      </c>
      <c r="Q236" s="3">
        <f>IF(L236&lt;&gt;"",L236/1.56,"")</f>
        <v/>
      </c>
      <c r="R236" s="3">
        <f>IF(M236&lt;&gt;"",M236/1.4,"")</f>
        <v/>
      </c>
      <c r="S236" s="3">
        <f>IF(M236&lt;&gt;"",M236/1.56,"")</f>
        <v/>
      </c>
      <c r="T236" s="3">
        <f>IF(N236&lt;&gt;"",N236,IF(O236&lt;&gt;"",O236,IF(L236&lt;&gt;"",L236/1.56,IF(M236&lt;&gt;"",M236/1.56,""))))</f>
        <v/>
      </c>
      <c r="U236" s="3" t="n"/>
      <c r="V236" s="3" t="n"/>
      <c r="W236" s="3" t="n">
        <v>509.2</v>
      </c>
      <c r="X236" s="4" t="n">
        <v>40.1</v>
      </c>
      <c r="Y236" s="5" t="n"/>
      <c r="Z236" s="4">
        <f>IF(L236&lt;&gt;"",SQRT(3)*G236*L236/1000,"")</f>
        <v/>
      </c>
      <c r="AA236" t="inlineStr">
        <is>
          <t>Displacement_CFH=3602.7</t>
        </is>
      </c>
      <c r="AB236" t="inlineStr">
        <is>
          <t>Dorin_RLA_230_460_3ph_60Hz.xlsx</t>
        </is>
      </c>
      <c r="AC236" t="inlineStr">
        <is>
          <t>DORIN_H_60Hz_3ph</t>
        </is>
      </c>
    </row>
    <row r="237">
      <c r="A237" t="inlineStr">
        <is>
          <t>DORIN</t>
        </is>
      </c>
      <c r="B237" t="inlineStr">
        <is>
          <t>H3000CC</t>
        </is>
      </c>
      <c r="D237" t="inlineStr">
        <is>
          <t>Reciprocating Semi-hermetic</t>
        </is>
      </c>
      <c r="E237" s="2" t="n">
        <v>3</v>
      </c>
      <c r="F237" s="2" t="n">
        <v>60</v>
      </c>
      <c r="G237" s="2" t="n">
        <v>460</v>
      </c>
      <c r="H237" t="inlineStr">
        <is>
          <t>440-480</t>
        </is>
      </c>
      <c r="I237" s="2" t="n">
        <v>440</v>
      </c>
      <c r="J237" s="2" t="n">
        <v>480</v>
      </c>
      <c r="K237" t="inlineStr">
        <is>
          <t>Wye</t>
        </is>
      </c>
      <c r="L237" s="3" t="n"/>
      <c r="M237" s="3" t="n">
        <v>56</v>
      </c>
      <c r="N237" s="3" t="n"/>
      <c r="O237" s="3" t="n"/>
      <c r="P237" s="3">
        <f>IF(L237&lt;&gt;"",L237/1.4,"")</f>
        <v/>
      </c>
      <c r="Q237" s="3">
        <f>IF(L237&lt;&gt;"",L237/1.56,"")</f>
        <v/>
      </c>
      <c r="R237" s="3">
        <f>IF(M237&lt;&gt;"",M237/1.4,"")</f>
        <v/>
      </c>
      <c r="S237" s="3">
        <f>IF(M237&lt;&gt;"",M237/1.56,"")</f>
        <v/>
      </c>
      <c r="T237" s="3">
        <f>IF(N237&lt;&gt;"",N237,IF(O237&lt;&gt;"",O237,IF(L237&lt;&gt;"",L237/1.56,IF(M237&lt;&gt;"",M237/1.56,""))))</f>
        <v/>
      </c>
      <c r="U237" s="3" t="n"/>
      <c r="V237" s="3" t="n"/>
      <c r="W237" s="3" t="n">
        <v>245</v>
      </c>
      <c r="X237" s="4" t="n">
        <v>40.1</v>
      </c>
      <c r="Y237" s="5" t="n"/>
      <c r="Z237" s="4">
        <f>IF(L237&lt;&gt;"",SQRT(3)*G237*L237/1000,"")</f>
        <v/>
      </c>
      <c r="AA237" t="inlineStr">
        <is>
          <t>Displacement_CFH=3602.7</t>
        </is>
      </c>
      <c r="AB237" t="inlineStr">
        <is>
          <t>Dorin_RLA_230_460_3ph_60Hz.xlsx</t>
        </is>
      </c>
      <c r="AC237" t="inlineStr">
        <is>
          <t>DORIN_H_60Hz_3ph</t>
        </is>
      </c>
    </row>
    <row r="238">
      <c r="A238" t="inlineStr">
        <is>
          <t>DORIN</t>
        </is>
      </c>
      <c r="B238" t="inlineStr">
        <is>
          <t>H2700CS</t>
        </is>
      </c>
      <c r="D238" t="inlineStr">
        <is>
          <t>Reciprocating Semi-hermetic</t>
        </is>
      </c>
      <c r="E238" s="2" t="n">
        <v>3</v>
      </c>
      <c r="F238" s="2" t="n">
        <v>60</v>
      </c>
      <c r="G238" s="2" t="n">
        <v>230</v>
      </c>
      <c r="H238" t="inlineStr">
        <is>
          <t>208-230</t>
        </is>
      </c>
      <c r="I238" s="2" t="n">
        <v>208</v>
      </c>
      <c r="J238" s="2" t="n">
        <v>230</v>
      </c>
      <c r="K238" t="inlineStr">
        <is>
          <t>Delta</t>
        </is>
      </c>
      <c r="L238" s="3" t="n"/>
      <c r="M238" s="3" t="n">
        <v>100</v>
      </c>
      <c r="N238" s="3" t="n"/>
      <c r="O238" s="3" t="n"/>
      <c r="P238" s="3">
        <f>IF(L238&lt;&gt;"",L238/1.4,"")</f>
        <v/>
      </c>
      <c r="Q238" s="3">
        <f>IF(L238&lt;&gt;"",L238/1.56,"")</f>
        <v/>
      </c>
      <c r="R238" s="3">
        <f>IF(M238&lt;&gt;"",M238/1.4,"")</f>
        <v/>
      </c>
      <c r="S238" s="3">
        <f>IF(M238&lt;&gt;"",M238/1.56,"")</f>
        <v/>
      </c>
      <c r="T238" s="3">
        <f>IF(N238&lt;&gt;"",N238,IF(O238&lt;&gt;"",O238,IF(L238&lt;&gt;"",L238/1.56,IF(M238&lt;&gt;"",M238/1.56,""))))</f>
        <v/>
      </c>
      <c r="U238" s="3" t="n"/>
      <c r="V238" s="3" t="n"/>
      <c r="W238" s="3" t="n">
        <v>421.4</v>
      </c>
      <c r="X238" s="4" t="n">
        <v>34.2</v>
      </c>
      <c r="Y238" s="5" t="n"/>
      <c r="Z238" s="4">
        <f>IF(L238&lt;&gt;"",SQRT(3)*G238*L238/1000,"")</f>
        <v/>
      </c>
      <c r="AA238" t="inlineStr">
        <is>
          <t>Displacement_CFH=3909.1</t>
        </is>
      </c>
      <c r="AB238" t="inlineStr">
        <is>
          <t>Dorin_RLA_230_460_3ph_60Hz.xlsx</t>
        </is>
      </c>
      <c r="AC238" t="inlineStr">
        <is>
          <t>DORIN_H_60Hz_3ph</t>
        </is>
      </c>
    </row>
    <row r="239">
      <c r="A239" t="inlineStr">
        <is>
          <t>DORIN</t>
        </is>
      </c>
      <c r="B239" t="inlineStr">
        <is>
          <t>H2700CS</t>
        </is>
      </c>
      <c r="D239" t="inlineStr">
        <is>
          <t>Reciprocating Semi-hermetic</t>
        </is>
      </c>
      <c r="E239" s="2" t="n">
        <v>3</v>
      </c>
      <c r="F239" s="2" t="n">
        <v>60</v>
      </c>
      <c r="G239" s="2" t="n">
        <v>460</v>
      </c>
      <c r="H239" t="inlineStr">
        <is>
          <t>440-480</t>
        </is>
      </c>
      <c r="I239" s="2" t="n">
        <v>440</v>
      </c>
      <c r="J239" s="2" t="n">
        <v>480</v>
      </c>
      <c r="K239" t="inlineStr">
        <is>
          <t>Wye</t>
        </is>
      </c>
      <c r="L239" s="3" t="n"/>
      <c r="M239" s="3" t="n">
        <v>48</v>
      </c>
      <c r="N239" s="3" t="n"/>
      <c r="O239" s="3" t="n"/>
      <c r="P239" s="3">
        <f>IF(L239&lt;&gt;"",L239/1.4,"")</f>
        <v/>
      </c>
      <c r="Q239" s="3">
        <f>IF(L239&lt;&gt;"",L239/1.56,"")</f>
        <v/>
      </c>
      <c r="R239" s="3">
        <f>IF(M239&lt;&gt;"",M239/1.4,"")</f>
        <v/>
      </c>
      <c r="S239" s="3">
        <f>IF(M239&lt;&gt;"",M239/1.56,"")</f>
        <v/>
      </c>
      <c r="T239" s="3">
        <f>IF(N239&lt;&gt;"",N239,IF(O239&lt;&gt;"",O239,IF(L239&lt;&gt;"",L239/1.56,IF(M239&lt;&gt;"",M239/1.56,""))))</f>
        <v/>
      </c>
      <c r="U239" s="3" t="n"/>
      <c r="V239" s="3" t="n"/>
      <c r="W239" s="3" t="n">
        <v>203</v>
      </c>
      <c r="X239" s="4" t="n">
        <v>34.2</v>
      </c>
      <c r="Y239" s="5" t="n"/>
      <c r="Z239" s="4">
        <f>IF(L239&lt;&gt;"",SQRT(3)*G239*L239/1000,"")</f>
        <v/>
      </c>
      <c r="AA239" t="inlineStr">
        <is>
          <t>Displacement_CFH=3909.1</t>
        </is>
      </c>
      <c r="AB239" t="inlineStr">
        <is>
          <t>Dorin_RLA_230_460_3ph_60Hz.xlsx</t>
        </is>
      </c>
      <c r="AC239" t="inlineStr">
        <is>
          <t>DORIN_H_60Hz_3ph</t>
        </is>
      </c>
    </row>
    <row r="240">
      <c r="A240" t="inlineStr">
        <is>
          <t>DORIN</t>
        </is>
      </c>
      <c r="B240" t="inlineStr">
        <is>
          <t>H3200CC</t>
        </is>
      </c>
      <c r="D240" t="inlineStr">
        <is>
          <t>Reciprocating Semi-hermetic</t>
        </is>
      </c>
      <c r="E240" s="2" t="n">
        <v>3</v>
      </c>
      <c r="F240" s="2" t="n">
        <v>60</v>
      </c>
      <c r="G240" s="2" t="n">
        <v>230</v>
      </c>
      <c r="H240" t="inlineStr">
        <is>
          <t>208-230</t>
        </is>
      </c>
      <c r="I240" s="2" t="n">
        <v>208</v>
      </c>
      <c r="J240" s="2" t="n">
        <v>230</v>
      </c>
      <c r="K240" t="inlineStr">
        <is>
          <t>Delta</t>
        </is>
      </c>
      <c r="L240" s="3" t="n"/>
      <c r="M240" s="3" t="n">
        <v>125</v>
      </c>
      <c r="N240" s="3" t="n"/>
      <c r="O240" s="3" t="n"/>
      <c r="P240" s="3">
        <f>IF(L240&lt;&gt;"",L240/1.4,"")</f>
        <v/>
      </c>
      <c r="Q240" s="3">
        <f>IF(L240&lt;&gt;"",L240/1.56,"")</f>
        <v/>
      </c>
      <c r="R240" s="3">
        <f>IF(M240&lt;&gt;"",M240/1.4,"")</f>
        <v/>
      </c>
      <c r="S240" s="3">
        <f>IF(M240&lt;&gt;"",M240/1.56,"")</f>
        <v/>
      </c>
      <c r="T240" s="3">
        <f>IF(N240&lt;&gt;"",N240,IF(O240&lt;&gt;"",O240,IF(L240&lt;&gt;"",L240/1.56,IF(M240&lt;&gt;"",M240/1.56,""))))</f>
        <v/>
      </c>
      <c r="U240" s="3" t="n"/>
      <c r="V240" s="3" t="n"/>
      <c r="W240" s="3" t="n">
        <v>539.8</v>
      </c>
      <c r="X240" s="4" t="n">
        <v>42.3</v>
      </c>
      <c r="Y240" s="5" t="n"/>
      <c r="Z240" s="4">
        <f>IF(L240&lt;&gt;"",SQRT(3)*G240*L240/1000,"")</f>
        <v/>
      </c>
      <c r="AA240" t="inlineStr">
        <is>
          <t>Displacement_CFH=3909.1</t>
        </is>
      </c>
      <c r="AB240" t="inlineStr">
        <is>
          <t>Dorin_RLA_230_460_3ph_60Hz.xlsx</t>
        </is>
      </c>
      <c r="AC240" t="inlineStr">
        <is>
          <t>DORIN_H_60Hz_3ph</t>
        </is>
      </c>
    </row>
    <row r="241">
      <c r="A241" t="inlineStr">
        <is>
          <t>DORIN</t>
        </is>
      </c>
      <c r="B241" t="inlineStr">
        <is>
          <t>H3200CC</t>
        </is>
      </c>
      <c r="D241" t="inlineStr">
        <is>
          <t>Reciprocating Semi-hermetic</t>
        </is>
      </c>
      <c r="E241" s="2" t="n">
        <v>3</v>
      </c>
      <c r="F241" s="2" t="n">
        <v>60</v>
      </c>
      <c r="G241" s="2" t="n">
        <v>460</v>
      </c>
      <c r="H241" t="inlineStr">
        <is>
          <t>440-480</t>
        </is>
      </c>
      <c r="I241" s="2" t="n">
        <v>440</v>
      </c>
      <c r="J241" s="2" t="n">
        <v>480</v>
      </c>
      <c r="K241" t="inlineStr">
        <is>
          <t>Wye</t>
        </is>
      </c>
      <c r="L241" s="3" t="n"/>
      <c r="M241" s="3" t="n">
        <v>60</v>
      </c>
      <c r="N241" s="3" t="n"/>
      <c r="O241" s="3" t="n"/>
      <c r="P241" s="3">
        <f>IF(L241&lt;&gt;"",L241/1.4,"")</f>
        <v/>
      </c>
      <c r="Q241" s="3">
        <f>IF(L241&lt;&gt;"",L241/1.56,"")</f>
        <v/>
      </c>
      <c r="R241" s="3">
        <f>IF(M241&lt;&gt;"",M241/1.4,"")</f>
        <v/>
      </c>
      <c r="S241" s="3">
        <f>IF(M241&lt;&gt;"",M241/1.56,"")</f>
        <v/>
      </c>
      <c r="T241" s="3">
        <f>IF(N241&lt;&gt;"",N241,IF(O241&lt;&gt;"",O241,IF(L241&lt;&gt;"",L241/1.56,IF(M241&lt;&gt;"",M241/1.56,""))))</f>
        <v/>
      </c>
      <c r="U241" s="3" t="n"/>
      <c r="V241" s="3" t="n"/>
      <c r="W241" s="3" t="n">
        <v>260</v>
      </c>
      <c r="X241" s="4" t="n">
        <v>42.3</v>
      </c>
      <c r="Y241" s="5" t="n"/>
      <c r="Z241" s="4">
        <f>IF(L241&lt;&gt;"",SQRT(3)*G241*L241/1000,"")</f>
        <v/>
      </c>
      <c r="AA241" t="inlineStr">
        <is>
          <t>Displacement_CFH=3909.1</t>
        </is>
      </c>
      <c r="AB241" t="inlineStr">
        <is>
          <t>Dorin_RLA_230_460_3ph_60Hz.xlsx</t>
        </is>
      </c>
      <c r="AC241" t="inlineStr">
        <is>
          <t>DORIN_H_60Hz_3ph</t>
        </is>
      </c>
    </row>
    <row r="242">
      <c r="A242" t="inlineStr">
        <is>
          <t>DORIN</t>
        </is>
      </c>
      <c r="B242" t="inlineStr">
        <is>
          <t>H2900CS</t>
        </is>
      </c>
      <c r="D242" t="inlineStr">
        <is>
          <t>Reciprocating Semi-hermetic</t>
        </is>
      </c>
      <c r="E242" s="2" t="n">
        <v>3</v>
      </c>
      <c r="F242" s="2" t="n">
        <v>60</v>
      </c>
      <c r="G242" s="2" t="n">
        <v>230</v>
      </c>
      <c r="H242" t="inlineStr">
        <is>
          <t>208-230</t>
        </is>
      </c>
      <c r="I242" s="2" t="n">
        <v>208</v>
      </c>
      <c r="J242" s="2" t="n">
        <v>230</v>
      </c>
      <c r="K242" t="inlineStr">
        <is>
          <t>Delta</t>
        </is>
      </c>
      <c r="L242" s="3" t="n"/>
      <c r="M242" s="3" t="n">
        <v>116</v>
      </c>
      <c r="N242" s="3" t="n"/>
      <c r="O242" s="3" t="n"/>
      <c r="P242" s="3">
        <f>IF(L242&lt;&gt;"",L242/1.4,"")</f>
        <v/>
      </c>
      <c r="Q242" s="3">
        <f>IF(L242&lt;&gt;"",L242/1.56,"")</f>
        <v/>
      </c>
      <c r="R242" s="3">
        <f>IF(M242&lt;&gt;"",M242/1.4,"")</f>
        <v/>
      </c>
      <c r="S242" s="3">
        <f>IF(M242&lt;&gt;"",M242/1.56,"")</f>
        <v/>
      </c>
      <c r="T242" s="3">
        <f>IF(N242&lt;&gt;"",N242,IF(O242&lt;&gt;"",O242,IF(L242&lt;&gt;"",L242/1.56,IF(M242&lt;&gt;"",M242/1.56,""))))</f>
        <v/>
      </c>
      <c r="U242" s="3" t="n"/>
      <c r="V242" s="3" t="n"/>
      <c r="W242" s="3" t="n">
        <v>509.2</v>
      </c>
      <c r="X242" s="4" t="n">
        <v>40.1</v>
      </c>
      <c r="Y242" s="5" t="n"/>
      <c r="Z242" s="4">
        <f>IF(L242&lt;&gt;"",SQRT(3)*G242*L242/1000,"")</f>
        <v/>
      </c>
      <c r="AA242" t="inlineStr">
        <is>
          <t>Displacement_CFH=4337.2</t>
        </is>
      </c>
      <c r="AB242" t="inlineStr">
        <is>
          <t>Dorin_RLA_230_460_3ph_60Hz.xlsx</t>
        </is>
      </c>
      <c r="AC242" t="inlineStr">
        <is>
          <t>DORIN_H_60Hz_3ph</t>
        </is>
      </c>
    </row>
    <row r="243">
      <c r="A243" t="inlineStr">
        <is>
          <t>DORIN</t>
        </is>
      </c>
      <c r="B243" t="inlineStr">
        <is>
          <t>H2900CS</t>
        </is>
      </c>
      <c r="D243" t="inlineStr">
        <is>
          <t>Reciprocating Semi-hermetic</t>
        </is>
      </c>
      <c r="E243" s="2" t="n">
        <v>3</v>
      </c>
      <c r="F243" s="2" t="n">
        <v>60</v>
      </c>
      <c r="G243" s="2" t="n">
        <v>460</v>
      </c>
      <c r="H243" t="inlineStr">
        <is>
          <t>440-480</t>
        </is>
      </c>
      <c r="I243" s="2" t="n">
        <v>440</v>
      </c>
      <c r="J243" s="2" t="n">
        <v>480</v>
      </c>
      <c r="K243" t="inlineStr">
        <is>
          <t>Wye</t>
        </is>
      </c>
      <c r="L243" s="3" t="n"/>
      <c r="M243" s="3" t="n">
        <v>56</v>
      </c>
      <c r="N243" s="3" t="n"/>
      <c r="O243" s="3" t="n"/>
      <c r="P243" s="3">
        <f>IF(L243&lt;&gt;"",L243/1.4,"")</f>
        <v/>
      </c>
      <c r="Q243" s="3">
        <f>IF(L243&lt;&gt;"",L243/1.56,"")</f>
        <v/>
      </c>
      <c r="R243" s="3">
        <f>IF(M243&lt;&gt;"",M243/1.4,"")</f>
        <v/>
      </c>
      <c r="S243" s="3">
        <f>IF(M243&lt;&gt;"",M243/1.56,"")</f>
        <v/>
      </c>
      <c r="T243" s="3">
        <f>IF(N243&lt;&gt;"",N243,IF(O243&lt;&gt;"",O243,IF(L243&lt;&gt;"",L243/1.56,IF(M243&lt;&gt;"",M243/1.56,""))))</f>
        <v/>
      </c>
      <c r="U243" s="3" t="n"/>
      <c r="V243" s="3" t="n"/>
      <c r="W243" s="3" t="n">
        <v>245</v>
      </c>
      <c r="X243" s="4" t="n">
        <v>40.1</v>
      </c>
      <c r="Y243" s="5" t="n"/>
      <c r="Z243" s="4">
        <f>IF(L243&lt;&gt;"",SQRT(3)*G243*L243/1000,"")</f>
        <v/>
      </c>
      <c r="AA243" t="inlineStr">
        <is>
          <t>Displacement_CFH=4337.2</t>
        </is>
      </c>
      <c r="AB243" t="inlineStr">
        <is>
          <t>Dorin_RLA_230_460_3ph_60Hz.xlsx</t>
        </is>
      </c>
      <c r="AC243" t="inlineStr">
        <is>
          <t>DORIN_H_60Hz_3ph</t>
        </is>
      </c>
    </row>
    <row r="244">
      <c r="A244" t="inlineStr">
        <is>
          <t>DORIN</t>
        </is>
      </c>
      <c r="B244" t="inlineStr">
        <is>
          <t>H3400CC</t>
        </is>
      </c>
      <c r="D244" t="inlineStr">
        <is>
          <t>Reciprocating Semi-hermetic</t>
        </is>
      </c>
      <c r="E244" s="2" t="n">
        <v>3</v>
      </c>
      <c r="F244" s="2" t="n">
        <v>60</v>
      </c>
      <c r="G244" s="2" t="n">
        <v>230</v>
      </c>
      <c r="H244" t="inlineStr">
        <is>
          <t>208-230</t>
        </is>
      </c>
      <c r="I244" s="2" t="n">
        <v>208</v>
      </c>
      <c r="J244" s="2" t="n">
        <v>230</v>
      </c>
      <c r="K244" t="inlineStr">
        <is>
          <t>Delta</t>
        </is>
      </c>
      <c r="L244" s="3" t="n"/>
      <c r="M244" s="3" t="n">
        <v>125</v>
      </c>
      <c r="N244" s="3" t="n"/>
      <c r="O244" s="3" t="n"/>
      <c r="P244" s="3">
        <f>IF(L244&lt;&gt;"",L244/1.4,"")</f>
        <v/>
      </c>
      <c r="Q244" s="3">
        <f>IF(L244&lt;&gt;"",L244/1.56,"")</f>
        <v/>
      </c>
      <c r="R244" s="3">
        <f>IF(M244&lt;&gt;"",M244/1.4,"")</f>
        <v/>
      </c>
      <c r="S244" s="3">
        <f>IF(M244&lt;&gt;"",M244/1.56,"")</f>
        <v/>
      </c>
      <c r="T244" s="3">
        <f>IF(N244&lt;&gt;"",N244,IF(O244&lt;&gt;"",O244,IF(L244&lt;&gt;"",L244/1.56,IF(M244&lt;&gt;"",M244/1.56,""))))</f>
        <v/>
      </c>
      <c r="U244" s="3" t="n"/>
      <c r="V244" s="3" t="n"/>
      <c r="W244" s="3" t="n">
        <v>539.8</v>
      </c>
      <c r="X244" s="4" t="n">
        <v>42.3</v>
      </c>
      <c r="Y244" s="5" t="n"/>
      <c r="Z244" s="4">
        <f>IF(L244&lt;&gt;"",SQRT(3)*G244*L244/1000,"")</f>
        <v/>
      </c>
      <c r="AA244" t="inlineStr">
        <is>
          <t>Displacement_CFH=4337.2</t>
        </is>
      </c>
      <c r="AB244" t="inlineStr">
        <is>
          <t>Dorin_RLA_230_460_3ph_60Hz.xlsx</t>
        </is>
      </c>
      <c r="AC244" t="inlineStr">
        <is>
          <t>DORIN_H_60Hz_3ph</t>
        </is>
      </c>
    </row>
    <row r="245">
      <c r="A245" t="inlineStr">
        <is>
          <t>DORIN</t>
        </is>
      </c>
      <c r="B245" t="inlineStr">
        <is>
          <t>H3400CC</t>
        </is>
      </c>
      <c r="D245" t="inlineStr">
        <is>
          <t>Reciprocating Semi-hermetic</t>
        </is>
      </c>
      <c r="E245" s="2" t="n">
        <v>3</v>
      </c>
      <c r="F245" s="2" t="n">
        <v>60</v>
      </c>
      <c r="G245" s="2" t="n">
        <v>460</v>
      </c>
      <c r="H245" t="inlineStr">
        <is>
          <t>440-480</t>
        </is>
      </c>
      <c r="I245" s="2" t="n">
        <v>440</v>
      </c>
      <c r="J245" s="2" t="n">
        <v>480</v>
      </c>
      <c r="K245" t="inlineStr">
        <is>
          <t>Wye</t>
        </is>
      </c>
      <c r="L245" s="3" t="n"/>
      <c r="M245" s="3" t="n">
        <v>60</v>
      </c>
      <c r="N245" s="3" t="n"/>
      <c r="O245" s="3" t="n"/>
      <c r="P245" s="3">
        <f>IF(L245&lt;&gt;"",L245/1.4,"")</f>
        <v/>
      </c>
      <c r="Q245" s="3">
        <f>IF(L245&lt;&gt;"",L245/1.56,"")</f>
        <v/>
      </c>
      <c r="R245" s="3">
        <f>IF(M245&lt;&gt;"",M245/1.4,"")</f>
        <v/>
      </c>
      <c r="S245" s="3">
        <f>IF(M245&lt;&gt;"",M245/1.56,"")</f>
        <v/>
      </c>
      <c r="T245" s="3">
        <f>IF(N245&lt;&gt;"",N245,IF(O245&lt;&gt;"",O245,IF(L245&lt;&gt;"",L245/1.56,IF(M245&lt;&gt;"",M245/1.56,""))))</f>
        <v/>
      </c>
      <c r="U245" s="3" t="n"/>
      <c r="V245" s="3" t="n"/>
      <c r="W245" s="3" t="n">
        <v>260</v>
      </c>
      <c r="X245" s="4" t="n">
        <v>42.3</v>
      </c>
      <c r="Y245" s="5" t="n"/>
      <c r="Z245" s="4">
        <f>IF(L245&lt;&gt;"",SQRT(3)*G245*L245/1000,"")</f>
        <v/>
      </c>
      <c r="AA245" t="inlineStr">
        <is>
          <t>Displacement_CFH=4337.2</t>
        </is>
      </c>
      <c r="AB245" t="inlineStr">
        <is>
          <t>Dorin_RLA_230_460_3ph_60Hz.xlsx</t>
        </is>
      </c>
      <c r="AC245" t="inlineStr">
        <is>
          <t>DORIN_H_60Hz_3ph</t>
        </is>
      </c>
    </row>
    <row r="246">
      <c r="A246" t="inlineStr">
        <is>
          <t>DORIN</t>
        </is>
      </c>
      <c r="B246" t="inlineStr">
        <is>
          <t>H3001CS</t>
        </is>
      </c>
      <c r="D246" t="inlineStr">
        <is>
          <t>Reciprocating Semi-hermetic</t>
        </is>
      </c>
      <c r="E246" s="2" t="n">
        <v>3</v>
      </c>
      <c r="F246" s="2" t="n">
        <v>60</v>
      </c>
      <c r="G246" s="2" t="n">
        <v>230</v>
      </c>
      <c r="H246" t="inlineStr">
        <is>
          <t>208-230</t>
        </is>
      </c>
      <c r="I246" s="2" t="n">
        <v>208</v>
      </c>
      <c r="J246" s="2" t="n">
        <v>230</v>
      </c>
      <c r="K246" t="inlineStr">
        <is>
          <t>Delta</t>
        </is>
      </c>
      <c r="L246" s="3" t="n"/>
      <c r="M246" s="3" t="n">
        <v>116</v>
      </c>
      <c r="N246" s="3" t="n"/>
      <c r="O246" s="3" t="n"/>
      <c r="P246" s="3">
        <f>IF(L246&lt;&gt;"",L246/1.4,"")</f>
        <v/>
      </c>
      <c r="Q246" s="3">
        <f>IF(L246&lt;&gt;"",L246/1.56,"")</f>
        <v/>
      </c>
      <c r="R246" s="3">
        <f>IF(M246&lt;&gt;"",M246/1.4,"")</f>
        <v/>
      </c>
      <c r="S246" s="3">
        <f>IF(M246&lt;&gt;"",M246/1.56,"")</f>
        <v/>
      </c>
      <c r="T246" s="3">
        <f>IF(N246&lt;&gt;"",N246,IF(O246&lt;&gt;"",O246,IF(L246&lt;&gt;"",L246/1.56,IF(M246&lt;&gt;"",M246/1.56,""))))</f>
        <v/>
      </c>
      <c r="U246" s="3" t="n"/>
      <c r="V246" s="3" t="n"/>
      <c r="W246" s="3" t="n">
        <v>509</v>
      </c>
      <c r="X246" s="4" t="n">
        <v>40.1</v>
      </c>
      <c r="Y246" s="5" t="n"/>
      <c r="Z246" s="4">
        <f>IF(L246&lt;&gt;"",SQRT(3)*G246*L246/1000,"")</f>
        <v/>
      </c>
      <c r="AA246" t="inlineStr">
        <is>
          <t>Displacement_CFH=4787.6</t>
        </is>
      </c>
      <c r="AB246" t="inlineStr">
        <is>
          <t>Dorin_RLA_230_460_3ph_60Hz.xlsx</t>
        </is>
      </c>
      <c r="AC246" t="inlineStr">
        <is>
          <t>DORIN_H_60Hz_3ph</t>
        </is>
      </c>
    </row>
    <row r="247">
      <c r="A247" t="inlineStr">
        <is>
          <t>DORIN</t>
        </is>
      </c>
      <c r="B247" t="inlineStr">
        <is>
          <t>H3001CS</t>
        </is>
      </c>
      <c r="D247" t="inlineStr">
        <is>
          <t>Reciprocating Semi-hermetic</t>
        </is>
      </c>
      <c r="E247" s="2" t="n">
        <v>3</v>
      </c>
      <c r="F247" s="2" t="n">
        <v>60</v>
      </c>
      <c r="G247" s="2" t="n">
        <v>460</v>
      </c>
      <c r="H247" t="inlineStr">
        <is>
          <t>440-480</t>
        </is>
      </c>
      <c r="I247" s="2" t="n">
        <v>440</v>
      </c>
      <c r="J247" s="2" t="n">
        <v>480</v>
      </c>
      <c r="K247" t="inlineStr">
        <is>
          <t>Wye</t>
        </is>
      </c>
      <c r="L247" s="3" t="n"/>
      <c r="M247" s="3" t="n">
        <v>56</v>
      </c>
      <c r="N247" s="3" t="n"/>
      <c r="O247" s="3" t="n"/>
      <c r="P247" s="3">
        <f>IF(L247&lt;&gt;"",L247/1.4,"")</f>
        <v/>
      </c>
      <c r="Q247" s="3">
        <f>IF(L247&lt;&gt;"",L247/1.56,"")</f>
        <v/>
      </c>
      <c r="R247" s="3">
        <f>IF(M247&lt;&gt;"",M247/1.4,"")</f>
        <v/>
      </c>
      <c r="S247" s="3">
        <f>IF(M247&lt;&gt;"",M247/1.56,"")</f>
        <v/>
      </c>
      <c r="T247" s="3">
        <f>IF(N247&lt;&gt;"",N247,IF(O247&lt;&gt;"",O247,IF(L247&lt;&gt;"",L247/1.56,IF(M247&lt;&gt;"",M247/1.56,""))))</f>
        <v/>
      </c>
      <c r="U247" s="3" t="n"/>
      <c r="V247" s="3" t="n"/>
      <c r="W247" s="3" t="n">
        <v>245</v>
      </c>
      <c r="X247" s="4" t="n">
        <v>40.1</v>
      </c>
      <c r="Y247" s="5" t="n"/>
      <c r="Z247" s="4">
        <f>IF(L247&lt;&gt;"",SQRT(3)*G247*L247/1000,"")</f>
        <v/>
      </c>
      <c r="AA247" t="inlineStr">
        <is>
          <t>Displacement_CFH=4787.6</t>
        </is>
      </c>
      <c r="AB247" t="inlineStr">
        <is>
          <t>Dorin_RLA_230_460_3ph_60Hz.xlsx</t>
        </is>
      </c>
      <c r="AC247" t="inlineStr">
        <is>
          <t>DORIN_H_60Hz_3ph</t>
        </is>
      </c>
    </row>
    <row r="248">
      <c r="A248" t="inlineStr">
        <is>
          <t>DORIN</t>
        </is>
      </c>
      <c r="B248" t="inlineStr">
        <is>
          <t>H3501CC</t>
        </is>
      </c>
      <c r="D248" t="inlineStr">
        <is>
          <t>Reciprocating Semi-hermetic</t>
        </is>
      </c>
      <c r="E248" s="2" t="n">
        <v>3</v>
      </c>
      <c r="F248" s="2" t="n">
        <v>60</v>
      </c>
      <c r="G248" s="2" t="n">
        <v>230</v>
      </c>
      <c r="H248" t="inlineStr">
        <is>
          <t>208-230</t>
        </is>
      </c>
      <c r="I248" s="2" t="n">
        <v>208</v>
      </c>
      <c r="J248" s="2" t="n">
        <v>230</v>
      </c>
      <c r="K248" t="inlineStr">
        <is>
          <t>Delta</t>
        </is>
      </c>
      <c r="L248" s="3" t="n"/>
      <c r="M248" s="3" t="n">
        <v>125</v>
      </c>
      <c r="N248" s="3" t="n"/>
      <c r="O248" s="3" t="n"/>
      <c r="P248" s="3">
        <f>IF(L248&lt;&gt;"",L248/1.4,"")</f>
        <v/>
      </c>
      <c r="Q248" s="3">
        <f>IF(L248&lt;&gt;"",L248/1.56,"")</f>
        <v/>
      </c>
      <c r="R248" s="3">
        <f>IF(M248&lt;&gt;"",M248/1.4,"")</f>
        <v/>
      </c>
      <c r="S248" s="3">
        <f>IF(M248&lt;&gt;"",M248/1.56,"")</f>
        <v/>
      </c>
      <c r="T248" s="3">
        <f>IF(N248&lt;&gt;"",N248,IF(O248&lt;&gt;"",O248,IF(L248&lt;&gt;"",L248/1.56,IF(M248&lt;&gt;"",M248/1.56,""))))</f>
        <v/>
      </c>
      <c r="U248" s="3" t="n"/>
      <c r="V248" s="3" t="n"/>
      <c r="W248" s="3" t="n">
        <v>540</v>
      </c>
      <c r="X248" s="4" t="n">
        <v>42.3</v>
      </c>
      <c r="Y248" s="5" t="n"/>
      <c r="Z248" s="4">
        <f>IF(L248&lt;&gt;"",SQRT(3)*G248*L248/1000,"")</f>
        <v/>
      </c>
      <c r="AA248" t="inlineStr">
        <is>
          <t>Displacement_CFH=4787.6</t>
        </is>
      </c>
      <c r="AB248" t="inlineStr">
        <is>
          <t>Dorin_RLA_230_460_3ph_60Hz.xlsx</t>
        </is>
      </c>
      <c r="AC248" t="inlineStr">
        <is>
          <t>DORIN_H_60Hz_3ph</t>
        </is>
      </c>
    </row>
    <row r="249">
      <c r="A249" t="inlineStr">
        <is>
          <t>DORIN</t>
        </is>
      </c>
      <c r="B249" t="inlineStr">
        <is>
          <t>H3501CC</t>
        </is>
      </c>
      <c r="D249" t="inlineStr">
        <is>
          <t>Reciprocating Semi-hermetic</t>
        </is>
      </c>
      <c r="E249" s="2" t="n">
        <v>3</v>
      </c>
      <c r="F249" s="2" t="n">
        <v>60</v>
      </c>
      <c r="G249" s="2" t="n">
        <v>460</v>
      </c>
      <c r="H249" t="inlineStr">
        <is>
          <t>440-480</t>
        </is>
      </c>
      <c r="I249" s="2" t="n">
        <v>440</v>
      </c>
      <c r="J249" s="2" t="n">
        <v>480</v>
      </c>
      <c r="K249" t="inlineStr">
        <is>
          <t>Wye</t>
        </is>
      </c>
      <c r="L249" s="3" t="n"/>
      <c r="M249" s="3" t="n">
        <v>60</v>
      </c>
      <c r="N249" s="3" t="n"/>
      <c r="O249" s="3" t="n"/>
      <c r="P249" s="3">
        <f>IF(L249&lt;&gt;"",L249/1.4,"")</f>
        <v/>
      </c>
      <c r="Q249" s="3">
        <f>IF(L249&lt;&gt;"",L249/1.56,"")</f>
        <v/>
      </c>
      <c r="R249" s="3">
        <f>IF(M249&lt;&gt;"",M249/1.4,"")</f>
        <v/>
      </c>
      <c r="S249" s="3">
        <f>IF(M249&lt;&gt;"",M249/1.56,"")</f>
        <v/>
      </c>
      <c r="T249" s="3">
        <f>IF(N249&lt;&gt;"",N249,IF(O249&lt;&gt;"",O249,IF(L249&lt;&gt;"",L249/1.56,IF(M249&lt;&gt;"",M249/1.56,""))))</f>
        <v/>
      </c>
      <c r="U249" s="3" t="n"/>
      <c r="V249" s="3" t="n"/>
      <c r="W249" s="3" t="n">
        <v>260</v>
      </c>
      <c r="X249" s="4" t="n">
        <v>42.3</v>
      </c>
      <c r="Y249" s="5" t="n"/>
      <c r="Z249" s="4">
        <f>IF(L249&lt;&gt;"",SQRT(3)*G249*L249/1000,"")</f>
        <v/>
      </c>
      <c r="AA249" t="inlineStr">
        <is>
          <t>Displacement_CFH=4787.6</t>
        </is>
      </c>
      <c r="AB249" t="inlineStr">
        <is>
          <t>Dorin_RLA_230_460_3ph_60Hz.xlsx</t>
        </is>
      </c>
      <c r="AC249" t="inlineStr">
        <is>
          <t>DORIN_H_60Hz_3ph</t>
        </is>
      </c>
    </row>
    <row r="250">
      <c r="A250" t="inlineStr">
        <is>
          <t>DORIN</t>
        </is>
      </c>
      <c r="B250" t="inlineStr">
        <is>
          <t>H3000CS</t>
        </is>
      </c>
      <c r="D250" t="inlineStr">
        <is>
          <t>Reciprocating Semi-hermetic</t>
        </is>
      </c>
      <c r="E250" s="2" t="n">
        <v>3</v>
      </c>
      <c r="F250" s="2" t="n">
        <v>60</v>
      </c>
      <c r="G250" s="2" t="n">
        <v>230</v>
      </c>
      <c r="H250" t="inlineStr">
        <is>
          <t>208-230</t>
        </is>
      </c>
      <c r="I250" s="2" t="n">
        <v>208</v>
      </c>
      <c r="J250" s="2" t="n">
        <v>230</v>
      </c>
      <c r="K250" t="inlineStr">
        <is>
          <t>Delta</t>
        </is>
      </c>
      <c r="L250" s="3" t="n"/>
      <c r="M250" s="3" t="n">
        <v>124.7</v>
      </c>
      <c r="N250" s="3" t="n"/>
      <c r="O250" s="3" t="n"/>
      <c r="P250" s="3">
        <f>IF(L250&lt;&gt;"",L250/1.4,"")</f>
        <v/>
      </c>
      <c r="Q250" s="3">
        <f>IF(L250&lt;&gt;"",L250/1.56,"")</f>
        <v/>
      </c>
      <c r="R250" s="3">
        <f>IF(M250&lt;&gt;"",M250/1.4,"")</f>
        <v/>
      </c>
      <c r="S250" s="3">
        <f>IF(M250&lt;&gt;"",M250/1.56,"")</f>
        <v/>
      </c>
      <c r="T250" s="3">
        <f>IF(N250&lt;&gt;"",N250,IF(O250&lt;&gt;"",O250,IF(L250&lt;&gt;"",L250/1.56,IF(M250&lt;&gt;"",M250/1.56,""))))</f>
        <v/>
      </c>
      <c r="U250" s="3" t="n"/>
      <c r="V250" s="3" t="n"/>
      <c r="W250" s="3" t="n">
        <v>509.2</v>
      </c>
      <c r="X250" s="4" t="n">
        <v>43.1</v>
      </c>
      <c r="Y250" s="5" t="n"/>
      <c r="Z250" s="4">
        <f>IF(L250&lt;&gt;"",SQRT(3)*G250*L250/1000,"")</f>
        <v/>
      </c>
      <c r="AA250" t="inlineStr">
        <is>
          <t>Displacement_CFH=4820.2</t>
        </is>
      </c>
      <c r="AB250" t="inlineStr">
        <is>
          <t>Dorin_RLA_230_460_3ph_60Hz.xlsx</t>
        </is>
      </c>
      <c r="AC250" t="inlineStr">
        <is>
          <t>DORIN_H_60Hz_3ph</t>
        </is>
      </c>
    </row>
    <row r="251">
      <c r="A251" t="inlineStr">
        <is>
          <t>DORIN</t>
        </is>
      </c>
      <c r="B251" t="inlineStr">
        <is>
          <t>H3000CS</t>
        </is>
      </c>
      <c r="D251" t="inlineStr">
        <is>
          <t>Reciprocating Semi-hermetic</t>
        </is>
      </c>
      <c r="E251" s="2" t="n">
        <v>3</v>
      </c>
      <c r="F251" s="2" t="n">
        <v>60</v>
      </c>
      <c r="G251" s="2" t="n">
        <v>460</v>
      </c>
      <c r="H251" t="inlineStr">
        <is>
          <t>440-480</t>
        </is>
      </c>
      <c r="I251" s="2" t="n">
        <v>440</v>
      </c>
      <c r="J251" s="2" t="n">
        <v>480</v>
      </c>
      <c r="K251" t="inlineStr">
        <is>
          <t>Wye</t>
        </is>
      </c>
      <c r="L251" s="3" t="n"/>
      <c r="M251" s="3" t="n">
        <v>60</v>
      </c>
      <c r="N251" s="3" t="n"/>
      <c r="O251" s="3" t="n"/>
      <c r="P251" s="3">
        <f>IF(L251&lt;&gt;"",L251/1.4,"")</f>
        <v/>
      </c>
      <c r="Q251" s="3">
        <f>IF(L251&lt;&gt;"",L251/1.56,"")</f>
        <v/>
      </c>
      <c r="R251" s="3">
        <f>IF(M251&lt;&gt;"",M251/1.4,"")</f>
        <v/>
      </c>
      <c r="S251" s="3">
        <f>IF(M251&lt;&gt;"",M251/1.56,"")</f>
        <v/>
      </c>
      <c r="T251" s="3">
        <f>IF(N251&lt;&gt;"",N251,IF(O251&lt;&gt;"",O251,IF(L251&lt;&gt;"",L251/1.56,IF(M251&lt;&gt;"",M251/1.56,""))))</f>
        <v/>
      </c>
      <c r="U251" s="3" t="n"/>
      <c r="V251" s="3" t="n"/>
      <c r="W251" s="3" t="n">
        <v>245</v>
      </c>
      <c r="X251" s="4" t="n">
        <v>43.1</v>
      </c>
      <c r="Y251" s="5" t="n"/>
      <c r="Z251" s="4">
        <f>IF(L251&lt;&gt;"",SQRT(3)*G251*L251/1000,"")</f>
        <v/>
      </c>
      <c r="AA251" t="inlineStr">
        <is>
          <t>Displacement_CFH=4820.2</t>
        </is>
      </c>
      <c r="AB251" t="inlineStr">
        <is>
          <t>Dorin_RLA_230_460_3ph_60Hz.xlsx</t>
        </is>
      </c>
      <c r="AC251" t="inlineStr">
        <is>
          <t>DORIN_H_60Hz_3ph</t>
        </is>
      </c>
    </row>
    <row r="252">
      <c r="A252" t="inlineStr">
        <is>
          <t>DORIN</t>
        </is>
      </c>
      <c r="B252" t="inlineStr">
        <is>
          <t>H3500CC</t>
        </is>
      </c>
      <c r="D252" t="inlineStr">
        <is>
          <t>Reciprocating Semi-hermetic</t>
        </is>
      </c>
      <c r="E252" s="2" t="n">
        <v>3</v>
      </c>
      <c r="F252" s="2" t="n">
        <v>60</v>
      </c>
      <c r="G252" s="2" t="n">
        <v>230</v>
      </c>
      <c r="H252" t="inlineStr">
        <is>
          <t>208-230</t>
        </is>
      </c>
      <c r="I252" s="2" t="n">
        <v>208</v>
      </c>
      <c r="J252" s="2" t="n">
        <v>230</v>
      </c>
      <c r="K252" t="inlineStr">
        <is>
          <t>Delta</t>
        </is>
      </c>
      <c r="L252" s="3" t="n"/>
      <c r="M252" s="3" t="n">
        <v>137.2</v>
      </c>
      <c r="N252" s="3" t="n"/>
      <c r="O252" s="3" t="n"/>
      <c r="P252" s="3">
        <f>IF(L252&lt;&gt;"",L252/1.4,"")</f>
        <v/>
      </c>
      <c r="Q252" s="3">
        <f>IF(L252&lt;&gt;"",L252/1.56,"")</f>
        <v/>
      </c>
      <c r="R252" s="3">
        <f>IF(M252&lt;&gt;"",M252/1.4,"")</f>
        <v/>
      </c>
      <c r="S252" s="3">
        <f>IF(M252&lt;&gt;"",M252/1.56,"")</f>
        <v/>
      </c>
      <c r="T252" s="3">
        <f>IF(N252&lt;&gt;"",N252,IF(O252&lt;&gt;"",O252,IF(L252&lt;&gt;"",L252/1.56,IF(M252&lt;&gt;"",M252/1.56,""))))</f>
        <v/>
      </c>
      <c r="U252" s="3" t="n"/>
      <c r="V252" s="3" t="n"/>
      <c r="W252" s="3" t="n">
        <v>539.8</v>
      </c>
      <c r="X252" s="4" t="n">
        <v>47.1</v>
      </c>
      <c r="Y252" s="5" t="n"/>
      <c r="Z252" s="4">
        <f>IF(L252&lt;&gt;"",SQRT(3)*G252*L252/1000,"")</f>
        <v/>
      </c>
      <c r="AA252" t="inlineStr">
        <is>
          <t>Displacement_CFH=4820.2</t>
        </is>
      </c>
      <c r="AB252" t="inlineStr">
        <is>
          <t>Dorin_RLA_230_460_3ph_60Hz.xlsx</t>
        </is>
      </c>
      <c r="AC252" t="inlineStr">
        <is>
          <t>DORIN_H_60Hz_3ph</t>
        </is>
      </c>
    </row>
    <row r="253">
      <c r="A253" t="inlineStr">
        <is>
          <t>DORIN</t>
        </is>
      </c>
      <c r="B253" t="inlineStr">
        <is>
          <t>H3500CC</t>
        </is>
      </c>
      <c r="D253" t="inlineStr">
        <is>
          <t>Reciprocating Semi-hermetic</t>
        </is>
      </c>
      <c r="E253" s="2" t="n">
        <v>3</v>
      </c>
      <c r="F253" s="2" t="n">
        <v>60</v>
      </c>
      <c r="G253" s="2" t="n">
        <v>460</v>
      </c>
      <c r="H253" t="inlineStr">
        <is>
          <t>440-480</t>
        </is>
      </c>
      <c r="I253" s="2" t="n">
        <v>440</v>
      </c>
      <c r="J253" s="2" t="n">
        <v>480</v>
      </c>
      <c r="K253" t="inlineStr">
        <is>
          <t>Wye</t>
        </is>
      </c>
      <c r="L253" s="3" t="n"/>
      <c r="M253" s="3" t="n">
        <v>66</v>
      </c>
      <c r="N253" s="3" t="n"/>
      <c r="O253" s="3" t="n"/>
      <c r="P253" s="3">
        <f>IF(L253&lt;&gt;"",L253/1.4,"")</f>
        <v/>
      </c>
      <c r="Q253" s="3">
        <f>IF(L253&lt;&gt;"",L253/1.56,"")</f>
        <v/>
      </c>
      <c r="R253" s="3">
        <f>IF(M253&lt;&gt;"",M253/1.4,"")</f>
        <v/>
      </c>
      <c r="S253" s="3">
        <f>IF(M253&lt;&gt;"",M253/1.56,"")</f>
        <v/>
      </c>
      <c r="T253" s="3">
        <f>IF(N253&lt;&gt;"",N253,IF(O253&lt;&gt;"",O253,IF(L253&lt;&gt;"",L253/1.56,IF(M253&lt;&gt;"",M253/1.56,""))))</f>
        <v/>
      </c>
      <c r="U253" s="3" t="n"/>
      <c r="V253" s="3" t="n"/>
      <c r="W253" s="3" t="n">
        <v>260</v>
      </c>
      <c r="X253" s="4" t="n">
        <v>47.1</v>
      </c>
      <c r="Y253" s="5" t="n"/>
      <c r="Z253" s="4">
        <f>IF(L253&lt;&gt;"",SQRT(3)*G253*L253/1000,"")</f>
        <v/>
      </c>
      <c r="AA253" t="inlineStr">
        <is>
          <t>Displacement_CFH=4820.2</t>
        </is>
      </c>
      <c r="AB253" t="inlineStr">
        <is>
          <t>Dorin_RLA_230_460_3ph_60Hz.xlsx</t>
        </is>
      </c>
      <c r="AC253" t="inlineStr">
        <is>
          <t>DORIN_H_60Hz_3ph</t>
        </is>
      </c>
    </row>
    <row r="254">
      <c r="A254" t="inlineStr">
        <is>
          <t>DORIN</t>
        </is>
      </c>
      <c r="B254" t="inlineStr">
        <is>
          <t>H3500CS</t>
        </is>
      </c>
      <c r="D254" t="inlineStr">
        <is>
          <t>Reciprocating Semi-hermetic</t>
        </is>
      </c>
      <c r="E254" s="2" t="n">
        <v>3</v>
      </c>
      <c r="F254" s="2" t="n">
        <v>60</v>
      </c>
      <c r="G254" s="2" t="n">
        <v>230</v>
      </c>
      <c r="H254" t="inlineStr">
        <is>
          <t>208-230</t>
        </is>
      </c>
      <c r="I254" s="2" t="n">
        <v>208</v>
      </c>
      <c r="J254" s="2" t="n">
        <v>230</v>
      </c>
      <c r="K254" t="inlineStr">
        <is>
          <t>Delta</t>
        </is>
      </c>
      <c r="L254" s="3" t="n"/>
      <c r="M254" s="3" t="n">
        <v>124.7</v>
      </c>
      <c r="N254" s="3" t="n"/>
      <c r="O254" s="3" t="n"/>
      <c r="P254" s="3">
        <f>IF(L254&lt;&gt;"",L254/1.4,"")</f>
        <v/>
      </c>
      <c r="Q254" s="3">
        <f>IF(L254&lt;&gt;"",L254/1.56,"")</f>
        <v/>
      </c>
      <c r="R254" s="3">
        <f>IF(M254&lt;&gt;"",M254/1.4,"")</f>
        <v/>
      </c>
      <c r="S254" s="3">
        <f>IF(M254&lt;&gt;"",M254/1.56,"")</f>
        <v/>
      </c>
      <c r="T254" s="3">
        <f>IF(N254&lt;&gt;"",N254,IF(O254&lt;&gt;"",O254,IF(L254&lt;&gt;"",L254/1.56,IF(M254&lt;&gt;"",M254/1.56,""))))</f>
        <v/>
      </c>
      <c r="U254" s="3" t="n"/>
      <c r="V254" s="3" t="n"/>
      <c r="W254" s="3" t="n">
        <v>509.2</v>
      </c>
      <c r="X254" s="4" t="n">
        <v>43.1</v>
      </c>
      <c r="Y254" s="5" t="n"/>
      <c r="Z254" s="4">
        <f>IF(L254&lt;&gt;"",SQRT(3)*G254*L254/1000,"")</f>
        <v/>
      </c>
      <c r="AA254" t="inlineStr">
        <is>
          <t>Displacement_CFH=5404.0</t>
        </is>
      </c>
      <c r="AB254" t="inlineStr">
        <is>
          <t>Dorin_RLA_230_460_3ph_60Hz.xlsx</t>
        </is>
      </c>
      <c r="AC254" t="inlineStr">
        <is>
          <t>DORIN_H_60Hz_3ph</t>
        </is>
      </c>
    </row>
    <row r="255">
      <c r="A255" t="inlineStr">
        <is>
          <t>DORIN</t>
        </is>
      </c>
      <c r="B255" t="inlineStr">
        <is>
          <t>H3500CS</t>
        </is>
      </c>
      <c r="D255" t="inlineStr">
        <is>
          <t>Reciprocating Semi-hermetic</t>
        </is>
      </c>
      <c r="E255" s="2" t="n">
        <v>3</v>
      </c>
      <c r="F255" s="2" t="n">
        <v>60</v>
      </c>
      <c r="G255" s="2" t="n">
        <v>460</v>
      </c>
      <c r="H255" t="inlineStr">
        <is>
          <t>440-480</t>
        </is>
      </c>
      <c r="I255" s="2" t="n">
        <v>440</v>
      </c>
      <c r="J255" s="2" t="n">
        <v>480</v>
      </c>
      <c r="K255" t="inlineStr">
        <is>
          <t>Wye</t>
        </is>
      </c>
      <c r="L255" s="3" t="n"/>
      <c r="M255" s="3" t="n">
        <v>60</v>
      </c>
      <c r="N255" s="3" t="n"/>
      <c r="O255" s="3" t="n"/>
      <c r="P255" s="3">
        <f>IF(L255&lt;&gt;"",L255/1.4,"")</f>
        <v/>
      </c>
      <c r="Q255" s="3">
        <f>IF(L255&lt;&gt;"",L255/1.56,"")</f>
        <v/>
      </c>
      <c r="R255" s="3">
        <f>IF(M255&lt;&gt;"",M255/1.4,"")</f>
        <v/>
      </c>
      <c r="S255" s="3">
        <f>IF(M255&lt;&gt;"",M255/1.56,"")</f>
        <v/>
      </c>
      <c r="T255" s="3">
        <f>IF(N255&lt;&gt;"",N255,IF(O255&lt;&gt;"",O255,IF(L255&lt;&gt;"",L255/1.56,IF(M255&lt;&gt;"",M255/1.56,""))))</f>
        <v/>
      </c>
      <c r="U255" s="3" t="n"/>
      <c r="V255" s="3" t="n"/>
      <c r="W255" s="3" t="n">
        <v>245</v>
      </c>
      <c r="X255" s="4" t="n">
        <v>43.1</v>
      </c>
      <c r="Y255" s="5" t="n"/>
      <c r="Z255" s="4">
        <f>IF(L255&lt;&gt;"",SQRT(3)*G255*L255/1000,"")</f>
        <v/>
      </c>
      <c r="AA255" t="inlineStr">
        <is>
          <t>Displacement_CFH=5404.0</t>
        </is>
      </c>
      <c r="AB255" t="inlineStr">
        <is>
          <t>Dorin_RLA_230_460_3ph_60Hz.xlsx</t>
        </is>
      </c>
      <c r="AC255" t="inlineStr">
        <is>
          <t>DORIN_H_60Hz_3ph</t>
        </is>
      </c>
    </row>
    <row r="256">
      <c r="A256" t="inlineStr">
        <is>
          <t>DORIN</t>
        </is>
      </c>
      <c r="B256" t="inlineStr">
        <is>
          <t>H4000CC</t>
        </is>
      </c>
      <c r="D256" t="inlineStr">
        <is>
          <t>Reciprocating Semi-hermetic</t>
        </is>
      </c>
      <c r="E256" s="2" t="n">
        <v>3</v>
      </c>
      <c r="F256" s="2" t="n">
        <v>60</v>
      </c>
      <c r="G256" s="2" t="n">
        <v>230</v>
      </c>
      <c r="H256" t="inlineStr">
        <is>
          <t>208-230</t>
        </is>
      </c>
      <c r="I256" s="2" t="n">
        <v>208</v>
      </c>
      <c r="J256" s="2" t="n">
        <v>230</v>
      </c>
      <c r="K256" t="inlineStr">
        <is>
          <t>Delta</t>
        </is>
      </c>
      <c r="L256" s="3" t="n"/>
      <c r="M256" s="3" t="n">
        <v>155.9</v>
      </c>
      <c r="N256" s="3" t="n"/>
      <c r="O256" s="3" t="n"/>
      <c r="P256" s="3">
        <f>IF(L256&lt;&gt;"",L256/1.4,"")</f>
        <v/>
      </c>
      <c r="Q256" s="3">
        <f>IF(L256&lt;&gt;"",L256/1.56,"")</f>
        <v/>
      </c>
      <c r="R256" s="3">
        <f>IF(M256&lt;&gt;"",M256/1.4,"")</f>
        <v/>
      </c>
      <c r="S256" s="3">
        <f>IF(M256&lt;&gt;"",M256/1.56,"")</f>
        <v/>
      </c>
      <c r="T256" s="3">
        <f>IF(N256&lt;&gt;"",N256,IF(O256&lt;&gt;"",O256,IF(L256&lt;&gt;"",L256/1.56,IF(M256&lt;&gt;"",M256/1.56,""))))</f>
        <v/>
      </c>
      <c r="U256" s="3" t="n"/>
      <c r="V256" s="3" t="n"/>
      <c r="W256" s="3" t="n">
        <v>602</v>
      </c>
      <c r="X256" s="4" t="n">
        <v>54.6</v>
      </c>
      <c r="Y256" s="5" t="n"/>
      <c r="Z256" s="4">
        <f>IF(L256&lt;&gt;"",SQRT(3)*G256*L256/1000,"")</f>
        <v/>
      </c>
      <c r="AA256" t="inlineStr">
        <is>
          <t>Displacement_CFH=5404.0</t>
        </is>
      </c>
      <c r="AB256" t="inlineStr">
        <is>
          <t>Dorin_RLA_230_460_3ph_60Hz.xlsx</t>
        </is>
      </c>
      <c r="AC256" t="inlineStr">
        <is>
          <t>DORIN_H_60Hz_3ph</t>
        </is>
      </c>
    </row>
    <row r="257">
      <c r="A257" t="inlineStr">
        <is>
          <t>DORIN</t>
        </is>
      </c>
      <c r="B257" t="inlineStr">
        <is>
          <t>H4000CC</t>
        </is>
      </c>
      <c r="D257" t="inlineStr">
        <is>
          <t>Reciprocating Semi-hermetic</t>
        </is>
      </c>
      <c r="E257" s="2" t="n">
        <v>3</v>
      </c>
      <c r="F257" s="2" t="n">
        <v>60</v>
      </c>
      <c r="G257" s="2" t="n">
        <v>460</v>
      </c>
      <c r="H257" t="inlineStr">
        <is>
          <t>440-480</t>
        </is>
      </c>
      <c r="I257" s="2" t="n">
        <v>440</v>
      </c>
      <c r="J257" s="2" t="n">
        <v>480</v>
      </c>
      <c r="K257" t="inlineStr">
        <is>
          <t>Wye</t>
        </is>
      </c>
      <c r="L257" s="3" t="n"/>
      <c r="M257" s="3" t="n">
        <v>75</v>
      </c>
      <c r="N257" s="3" t="n"/>
      <c r="O257" s="3" t="n"/>
      <c r="P257" s="3">
        <f>IF(L257&lt;&gt;"",L257/1.4,"")</f>
        <v/>
      </c>
      <c r="Q257" s="3">
        <f>IF(L257&lt;&gt;"",L257/1.56,"")</f>
        <v/>
      </c>
      <c r="R257" s="3">
        <f>IF(M257&lt;&gt;"",M257/1.4,"")</f>
        <v/>
      </c>
      <c r="S257" s="3">
        <f>IF(M257&lt;&gt;"",M257/1.56,"")</f>
        <v/>
      </c>
      <c r="T257" s="3">
        <f>IF(N257&lt;&gt;"",N257,IF(O257&lt;&gt;"",O257,IF(L257&lt;&gt;"",L257/1.56,IF(M257&lt;&gt;"",M257/1.56,""))))</f>
        <v/>
      </c>
      <c r="U257" s="3" t="n"/>
      <c r="V257" s="3" t="n"/>
      <c r="W257" s="3" t="n">
        <v>290</v>
      </c>
      <c r="X257" s="4" t="n">
        <v>54.6</v>
      </c>
      <c r="Y257" s="5" t="n"/>
      <c r="Z257" s="4">
        <f>IF(L257&lt;&gt;"",SQRT(3)*G257*L257/1000,"")</f>
        <v/>
      </c>
      <c r="AA257" t="inlineStr">
        <is>
          <t>Displacement_CFH=5404.0</t>
        </is>
      </c>
      <c r="AB257" t="inlineStr">
        <is>
          <t>Dorin_RLA_230_460_3ph_60Hz.xlsx</t>
        </is>
      </c>
      <c r="AC257" t="inlineStr">
        <is>
          <t>DORIN_H_60Hz_3ph</t>
        </is>
      </c>
    </row>
    <row r="258">
      <c r="A258" t="inlineStr">
        <is>
          <t>DORIN</t>
        </is>
      </c>
      <c r="B258" t="inlineStr">
        <is>
          <t>H4000CS</t>
        </is>
      </c>
      <c r="D258" t="inlineStr">
        <is>
          <t>Reciprocating Semi-hermetic</t>
        </is>
      </c>
      <c r="E258" s="2" t="n">
        <v>3</v>
      </c>
      <c r="F258" s="2" t="n">
        <v>60</v>
      </c>
      <c r="G258" s="2" t="n">
        <v>230</v>
      </c>
      <c r="H258" t="inlineStr">
        <is>
          <t>208-230</t>
        </is>
      </c>
      <c r="I258" s="2" t="n">
        <v>208</v>
      </c>
      <c r="J258" s="2" t="n">
        <v>230</v>
      </c>
      <c r="K258" t="inlineStr">
        <is>
          <t>Delta</t>
        </is>
      </c>
      <c r="L258" s="3" t="n"/>
      <c r="M258" s="3" t="n">
        <v>137.2</v>
      </c>
      <c r="N258" s="3" t="n"/>
      <c r="O258" s="3" t="n"/>
      <c r="P258" s="3">
        <f>IF(L258&lt;&gt;"",L258/1.4,"")</f>
        <v/>
      </c>
      <c r="Q258" s="3">
        <f>IF(L258&lt;&gt;"",L258/1.56,"")</f>
        <v/>
      </c>
      <c r="R258" s="3">
        <f>IF(M258&lt;&gt;"",M258/1.4,"")</f>
        <v/>
      </c>
      <c r="S258" s="3">
        <f>IF(M258&lt;&gt;"",M258/1.56,"")</f>
        <v/>
      </c>
      <c r="T258" s="3">
        <f>IF(N258&lt;&gt;"",N258,IF(O258&lt;&gt;"",O258,IF(L258&lt;&gt;"",L258/1.56,IF(M258&lt;&gt;"",M258/1.56,""))))</f>
        <v/>
      </c>
      <c r="U258" s="3" t="n"/>
      <c r="V258" s="3" t="n"/>
      <c r="W258" s="3" t="n">
        <v>539.8</v>
      </c>
      <c r="X258" s="4" t="n">
        <v>47.1</v>
      </c>
      <c r="Y258" s="5" t="n"/>
      <c r="Z258" s="4">
        <f>IF(L258&lt;&gt;"",SQRT(3)*G258*L258/1000,"")</f>
        <v/>
      </c>
      <c r="AA258" t="inlineStr">
        <is>
          <t>Displacement_CFH=5863.7</t>
        </is>
      </c>
      <c r="AB258" t="inlineStr">
        <is>
          <t>Dorin_RLA_230_460_3ph_60Hz.xlsx</t>
        </is>
      </c>
      <c r="AC258" t="inlineStr">
        <is>
          <t>DORIN_H_60Hz_3ph</t>
        </is>
      </c>
    </row>
    <row r="259">
      <c r="A259" t="inlineStr">
        <is>
          <t>DORIN</t>
        </is>
      </c>
      <c r="B259" t="inlineStr">
        <is>
          <t>H4000CS</t>
        </is>
      </c>
      <c r="D259" t="inlineStr">
        <is>
          <t>Reciprocating Semi-hermetic</t>
        </is>
      </c>
      <c r="E259" s="2" t="n">
        <v>3</v>
      </c>
      <c r="F259" s="2" t="n">
        <v>60</v>
      </c>
      <c r="G259" s="2" t="n">
        <v>460</v>
      </c>
      <c r="H259" t="inlineStr">
        <is>
          <t>440-480</t>
        </is>
      </c>
      <c r="I259" s="2" t="n">
        <v>440</v>
      </c>
      <c r="J259" s="2" t="n">
        <v>480</v>
      </c>
      <c r="K259" t="inlineStr">
        <is>
          <t>Wye</t>
        </is>
      </c>
      <c r="L259" s="3" t="n"/>
      <c r="M259" s="3" t="n">
        <v>66</v>
      </c>
      <c r="N259" s="3" t="n"/>
      <c r="O259" s="3" t="n"/>
      <c r="P259" s="3">
        <f>IF(L259&lt;&gt;"",L259/1.4,"")</f>
        <v/>
      </c>
      <c r="Q259" s="3">
        <f>IF(L259&lt;&gt;"",L259/1.56,"")</f>
        <v/>
      </c>
      <c r="R259" s="3">
        <f>IF(M259&lt;&gt;"",M259/1.4,"")</f>
        <v/>
      </c>
      <c r="S259" s="3">
        <f>IF(M259&lt;&gt;"",M259/1.56,"")</f>
        <v/>
      </c>
      <c r="T259" s="3">
        <f>IF(N259&lt;&gt;"",N259,IF(O259&lt;&gt;"",O259,IF(L259&lt;&gt;"",L259/1.56,IF(M259&lt;&gt;"",M259/1.56,""))))</f>
        <v/>
      </c>
      <c r="U259" s="3" t="n"/>
      <c r="V259" s="3" t="n"/>
      <c r="W259" s="3" t="n">
        <v>260</v>
      </c>
      <c r="X259" s="4" t="n">
        <v>47.1</v>
      </c>
      <c r="Y259" s="5" t="n"/>
      <c r="Z259" s="4">
        <f>IF(L259&lt;&gt;"",SQRT(3)*G259*L259/1000,"")</f>
        <v/>
      </c>
      <c r="AA259" t="inlineStr">
        <is>
          <t>Displacement_CFH=5863.7</t>
        </is>
      </c>
      <c r="AB259" t="inlineStr">
        <is>
          <t>Dorin_RLA_230_460_3ph_60Hz.xlsx</t>
        </is>
      </c>
      <c r="AC259" t="inlineStr">
        <is>
          <t>DORIN_H_60Hz_3ph</t>
        </is>
      </c>
    </row>
    <row r="260">
      <c r="A260" t="inlineStr">
        <is>
          <t>DORIN</t>
        </is>
      </c>
      <c r="B260" t="inlineStr">
        <is>
          <t>H4500CC</t>
        </is>
      </c>
      <c r="D260" t="inlineStr">
        <is>
          <t>Reciprocating Semi-hermetic</t>
        </is>
      </c>
      <c r="E260" s="2" t="n">
        <v>3</v>
      </c>
      <c r="F260" s="2" t="n">
        <v>60</v>
      </c>
      <c r="G260" s="2" t="n">
        <v>230</v>
      </c>
      <c r="H260" t="inlineStr">
        <is>
          <t>208-230</t>
        </is>
      </c>
      <c r="I260" s="2" t="n">
        <v>208</v>
      </c>
      <c r="J260" s="2" t="n">
        <v>230</v>
      </c>
      <c r="K260" t="inlineStr">
        <is>
          <t>Delta</t>
        </is>
      </c>
      <c r="L260" s="3" t="n"/>
      <c r="M260" s="3" t="n">
        <v>174.6</v>
      </c>
      <c r="N260" s="3" t="n"/>
      <c r="O260" s="3" t="n"/>
      <c r="P260" s="3">
        <f>IF(L260&lt;&gt;"",L260/1.4,"")</f>
        <v/>
      </c>
      <c r="Q260" s="3">
        <f>IF(L260&lt;&gt;"",L260/1.56,"")</f>
        <v/>
      </c>
      <c r="R260" s="3">
        <f>IF(M260&lt;&gt;"",M260/1.4,"")</f>
        <v/>
      </c>
      <c r="S260" s="3">
        <f>IF(M260&lt;&gt;"",M260/1.56,"")</f>
        <v/>
      </c>
      <c r="T260" s="3">
        <f>IF(N260&lt;&gt;"",N260,IF(O260&lt;&gt;"",O260,IF(L260&lt;&gt;"",L260/1.56,IF(M260&lt;&gt;"",M260/1.56,""))))</f>
        <v/>
      </c>
      <c r="U260" s="3" t="n"/>
      <c r="V260" s="3" t="n"/>
      <c r="W260" s="3" t="n">
        <v>670.5</v>
      </c>
      <c r="X260" s="4" t="n">
        <v>61.4</v>
      </c>
      <c r="Y260" s="5" t="n"/>
      <c r="Z260" s="4">
        <f>IF(L260&lt;&gt;"",SQRT(3)*G260*L260/1000,"")</f>
        <v/>
      </c>
      <c r="AA260" t="inlineStr">
        <is>
          <t>Displacement_CFH=5863.7</t>
        </is>
      </c>
      <c r="AB260" t="inlineStr">
        <is>
          <t>Dorin_RLA_230_460_3ph_60Hz.xlsx</t>
        </is>
      </c>
      <c r="AC260" t="inlineStr">
        <is>
          <t>DORIN_H_60Hz_3ph</t>
        </is>
      </c>
    </row>
    <row r="261">
      <c r="A261" t="inlineStr">
        <is>
          <t>DORIN</t>
        </is>
      </c>
      <c r="B261" t="inlineStr">
        <is>
          <t>H4500CC</t>
        </is>
      </c>
      <c r="D261" t="inlineStr">
        <is>
          <t>Reciprocating Semi-hermetic</t>
        </is>
      </c>
      <c r="E261" s="2" t="n">
        <v>3</v>
      </c>
      <c r="F261" s="2" t="n">
        <v>60</v>
      </c>
      <c r="G261" s="2" t="n">
        <v>460</v>
      </c>
      <c r="H261" t="inlineStr">
        <is>
          <t>440-480</t>
        </is>
      </c>
      <c r="I261" s="2" t="n">
        <v>440</v>
      </c>
      <c r="J261" s="2" t="n">
        <v>480</v>
      </c>
      <c r="K261" t="inlineStr">
        <is>
          <t>Wye</t>
        </is>
      </c>
      <c r="L261" s="3" t="n"/>
      <c r="M261" s="3" t="n">
        <v>84</v>
      </c>
      <c r="N261" s="3" t="n"/>
      <c r="O261" s="3" t="n"/>
      <c r="P261" s="3">
        <f>IF(L261&lt;&gt;"",L261/1.4,"")</f>
        <v/>
      </c>
      <c r="Q261" s="3">
        <f>IF(L261&lt;&gt;"",L261/1.56,"")</f>
        <v/>
      </c>
      <c r="R261" s="3">
        <f>IF(M261&lt;&gt;"",M261/1.4,"")</f>
        <v/>
      </c>
      <c r="S261" s="3">
        <f>IF(M261&lt;&gt;"",M261/1.56,"")</f>
        <v/>
      </c>
      <c r="T261" s="3">
        <f>IF(N261&lt;&gt;"",N261,IF(O261&lt;&gt;"",O261,IF(L261&lt;&gt;"",L261/1.56,IF(M261&lt;&gt;"",M261/1.56,""))))</f>
        <v/>
      </c>
      <c r="U261" s="3" t="n"/>
      <c r="V261" s="3" t="n"/>
      <c r="W261" s="3" t="n">
        <v>323</v>
      </c>
      <c r="X261" s="4" t="n">
        <v>61.4</v>
      </c>
      <c r="Y261" s="5" t="n"/>
      <c r="Z261" s="4">
        <f>IF(L261&lt;&gt;"",SQRT(3)*G261*L261/1000,"")</f>
        <v/>
      </c>
      <c r="AA261" t="inlineStr">
        <is>
          <t>Displacement_CFH=5863.7</t>
        </is>
      </c>
      <c r="AB261" t="inlineStr">
        <is>
          <t>Dorin_RLA_230_460_3ph_60Hz.xlsx</t>
        </is>
      </c>
      <c r="AC261" t="inlineStr">
        <is>
          <t>DORIN_H_60Hz_3ph</t>
        </is>
      </c>
    </row>
    <row r="262">
      <c r="A262" t="inlineStr">
        <is>
          <t>DORIN</t>
        </is>
      </c>
      <c r="B262" t="inlineStr">
        <is>
          <t>H4500CS</t>
        </is>
      </c>
      <c r="D262" t="inlineStr">
        <is>
          <t>Reciprocating Semi-hermetic</t>
        </is>
      </c>
      <c r="E262" s="2" t="n">
        <v>3</v>
      </c>
      <c r="F262" s="2" t="n">
        <v>60</v>
      </c>
      <c r="G262" s="2" t="n">
        <v>230</v>
      </c>
      <c r="H262" t="inlineStr">
        <is>
          <t>208-230</t>
        </is>
      </c>
      <c r="I262" s="2" t="n">
        <v>208</v>
      </c>
      <c r="J262" s="2" t="n">
        <v>230</v>
      </c>
      <c r="K262" t="inlineStr">
        <is>
          <t>Delta</t>
        </is>
      </c>
      <c r="L262" s="3" t="n"/>
      <c r="M262" s="3" t="n">
        <v>155.9</v>
      </c>
      <c r="N262" s="3" t="n"/>
      <c r="O262" s="3" t="n"/>
      <c r="P262" s="3">
        <f>IF(L262&lt;&gt;"",L262/1.4,"")</f>
        <v/>
      </c>
      <c r="Q262" s="3">
        <f>IF(L262&lt;&gt;"",L262/1.56,"")</f>
        <v/>
      </c>
      <c r="R262" s="3">
        <f>IF(M262&lt;&gt;"",M262/1.4,"")</f>
        <v/>
      </c>
      <c r="S262" s="3">
        <f>IF(M262&lt;&gt;"",M262/1.56,"")</f>
        <v/>
      </c>
      <c r="T262" s="3">
        <f>IF(N262&lt;&gt;"",N262,IF(O262&lt;&gt;"",O262,IF(L262&lt;&gt;"",L262/1.56,IF(M262&lt;&gt;"",M262/1.56,""))))</f>
        <v/>
      </c>
      <c r="U262" s="3" t="n"/>
      <c r="V262" s="3" t="n"/>
      <c r="W262" s="3" t="n">
        <v>602</v>
      </c>
      <c r="X262" s="4" t="n">
        <v>54.6</v>
      </c>
      <c r="Y262" s="5" t="n"/>
      <c r="Z262" s="4">
        <f>IF(L262&lt;&gt;"",SQRT(3)*G262*L262/1000,"")</f>
        <v/>
      </c>
      <c r="AA262" t="inlineStr">
        <is>
          <t>Displacement_CFH=6505.8</t>
        </is>
      </c>
      <c r="AB262" t="inlineStr">
        <is>
          <t>Dorin_RLA_230_460_3ph_60Hz.xlsx</t>
        </is>
      </c>
      <c r="AC262" t="inlineStr">
        <is>
          <t>DORIN_H_60Hz_3ph</t>
        </is>
      </c>
    </row>
    <row r="263">
      <c r="A263" t="inlineStr">
        <is>
          <t>DORIN</t>
        </is>
      </c>
      <c r="B263" t="inlineStr">
        <is>
          <t>H4500CS</t>
        </is>
      </c>
      <c r="D263" t="inlineStr">
        <is>
          <t>Reciprocating Semi-hermetic</t>
        </is>
      </c>
      <c r="E263" s="2" t="n">
        <v>3</v>
      </c>
      <c r="F263" s="2" t="n">
        <v>60</v>
      </c>
      <c r="G263" s="2" t="n">
        <v>460</v>
      </c>
      <c r="H263" t="inlineStr">
        <is>
          <t>440-480</t>
        </is>
      </c>
      <c r="I263" s="2" t="n">
        <v>440</v>
      </c>
      <c r="J263" s="2" t="n">
        <v>480</v>
      </c>
      <c r="K263" t="inlineStr">
        <is>
          <t>Wye</t>
        </is>
      </c>
      <c r="L263" s="3" t="n"/>
      <c r="M263" s="3" t="n">
        <v>75</v>
      </c>
      <c r="N263" s="3" t="n"/>
      <c r="O263" s="3" t="n"/>
      <c r="P263" s="3">
        <f>IF(L263&lt;&gt;"",L263/1.4,"")</f>
        <v/>
      </c>
      <c r="Q263" s="3">
        <f>IF(L263&lt;&gt;"",L263/1.56,"")</f>
        <v/>
      </c>
      <c r="R263" s="3">
        <f>IF(M263&lt;&gt;"",M263/1.4,"")</f>
        <v/>
      </c>
      <c r="S263" s="3">
        <f>IF(M263&lt;&gt;"",M263/1.56,"")</f>
        <v/>
      </c>
      <c r="T263" s="3">
        <f>IF(N263&lt;&gt;"",N263,IF(O263&lt;&gt;"",O263,IF(L263&lt;&gt;"",L263/1.56,IF(M263&lt;&gt;"",M263/1.56,""))))</f>
        <v/>
      </c>
      <c r="U263" s="3" t="n"/>
      <c r="V263" s="3" t="n"/>
      <c r="W263" s="3" t="n">
        <v>290</v>
      </c>
      <c r="X263" s="4" t="n">
        <v>54.6</v>
      </c>
      <c r="Y263" s="5" t="n"/>
      <c r="Z263" s="4">
        <f>IF(L263&lt;&gt;"",SQRT(3)*G263*L263/1000,"")</f>
        <v/>
      </c>
      <c r="AA263" t="inlineStr">
        <is>
          <t>Displacement_CFH=6505.8</t>
        </is>
      </c>
      <c r="AB263" t="inlineStr">
        <is>
          <t>Dorin_RLA_230_460_3ph_60Hz.xlsx</t>
        </is>
      </c>
      <c r="AC263" t="inlineStr">
        <is>
          <t>DORIN_H_60Hz_3ph</t>
        </is>
      </c>
    </row>
    <row r="264">
      <c r="A264" t="inlineStr">
        <is>
          <t>DORIN</t>
        </is>
      </c>
      <c r="B264" t="inlineStr">
        <is>
          <t>H5000CC</t>
        </is>
      </c>
      <c r="D264" t="inlineStr">
        <is>
          <t>Reciprocating Semi-hermetic</t>
        </is>
      </c>
      <c r="E264" s="2" t="n">
        <v>3</v>
      </c>
      <c r="F264" s="2" t="n">
        <v>60</v>
      </c>
      <c r="G264" s="2" t="n">
        <v>230</v>
      </c>
      <c r="H264" t="inlineStr">
        <is>
          <t>208-230</t>
        </is>
      </c>
      <c r="I264" s="2" t="n">
        <v>208</v>
      </c>
      <c r="J264" s="2" t="n">
        <v>230</v>
      </c>
      <c r="K264" t="inlineStr">
        <is>
          <t>Delta</t>
        </is>
      </c>
      <c r="L264" s="3" t="n"/>
      <c r="M264" s="3" t="n">
        <v>193.3</v>
      </c>
      <c r="N264" s="3" t="n"/>
      <c r="O264" s="3" t="n"/>
      <c r="P264" s="3">
        <f>IF(L264&lt;&gt;"",L264/1.4,"")</f>
        <v/>
      </c>
      <c r="Q264" s="3">
        <f>IF(L264&lt;&gt;"",L264/1.56,"")</f>
        <v/>
      </c>
      <c r="R264" s="3">
        <f>IF(M264&lt;&gt;"",M264/1.4,"")</f>
        <v/>
      </c>
      <c r="S264" s="3">
        <f>IF(M264&lt;&gt;"",M264/1.56,"")</f>
        <v/>
      </c>
      <c r="T264" s="3">
        <f>IF(N264&lt;&gt;"",N264,IF(O264&lt;&gt;"",O264,IF(L264&lt;&gt;"",L264/1.56,IF(M264&lt;&gt;"",M264/1.56,""))))</f>
        <v/>
      </c>
      <c r="U264" s="3" t="n"/>
      <c r="V264" s="3" t="n"/>
      <c r="W264" s="3" t="n">
        <v>743.2</v>
      </c>
      <c r="X264" s="4" t="n">
        <v>67.90000000000001</v>
      </c>
      <c r="Y264" s="5" t="n"/>
      <c r="Z264" s="4">
        <f>IF(L264&lt;&gt;"",SQRT(3)*G264*L264/1000,"")</f>
        <v/>
      </c>
      <c r="AA264" t="inlineStr">
        <is>
          <t>Displacement_CFH=6505.8</t>
        </is>
      </c>
      <c r="AB264" t="inlineStr">
        <is>
          <t>Dorin_RLA_230_460_3ph_60Hz.xlsx</t>
        </is>
      </c>
      <c r="AC264" t="inlineStr">
        <is>
          <t>DORIN_H_60Hz_3ph</t>
        </is>
      </c>
    </row>
    <row r="265">
      <c r="A265" t="inlineStr">
        <is>
          <t>DORIN</t>
        </is>
      </c>
      <c r="B265" t="inlineStr">
        <is>
          <t>H5000CC</t>
        </is>
      </c>
      <c r="D265" t="inlineStr">
        <is>
          <t>Reciprocating Semi-hermetic</t>
        </is>
      </c>
      <c r="E265" s="2" t="n">
        <v>3</v>
      </c>
      <c r="F265" s="2" t="n">
        <v>60</v>
      </c>
      <c r="G265" s="2" t="n">
        <v>460</v>
      </c>
      <c r="H265" t="inlineStr">
        <is>
          <t>440-480</t>
        </is>
      </c>
      <c r="I265" s="2" t="n">
        <v>440</v>
      </c>
      <c r="J265" s="2" t="n">
        <v>480</v>
      </c>
      <c r="K265" t="inlineStr">
        <is>
          <t>Wye</t>
        </is>
      </c>
      <c r="L265" s="3" t="n"/>
      <c r="M265" s="3" t="n">
        <v>93</v>
      </c>
      <c r="N265" s="3" t="n"/>
      <c r="O265" s="3" t="n"/>
      <c r="P265" s="3">
        <f>IF(L265&lt;&gt;"",L265/1.4,"")</f>
        <v/>
      </c>
      <c r="Q265" s="3">
        <f>IF(L265&lt;&gt;"",L265/1.56,"")</f>
        <v/>
      </c>
      <c r="R265" s="3">
        <f>IF(M265&lt;&gt;"",M265/1.4,"")</f>
        <v/>
      </c>
      <c r="S265" s="3">
        <f>IF(M265&lt;&gt;"",M265/1.56,"")</f>
        <v/>
      </c>
      <c r="T265" s="3">
        <f>IF(N265&lt;&gt;"",N265,IF(O265&lt;&gt;"",O265,IF(L265&lt;&gt;"",L265/1.56,IF(M265&lt;&gt;"",M265/1.56,""))))</f>
        <v/>
      </c>
      <c r="U265" s="3" t="n"/>
      <c r="V265" s="3" t="n"/>
      <c r="W265" s="3" t="n">
        <v>358</v>
      </c>
      <c r="X265" s="4" t="n">
        <v>67.90000000000001</v>
      </c>
      <c r="Y265" s="5" t="n"/>
      <c r="Z265" s="4">
        <f>IF(L265&lt;&gt;"",SQRT(3)*G265*L265/1000,"")</f>
        <v/>
      </c>
      <c r="AA265" t="inlineStr">
        <is>
          <t>Displacement_CFH=6505.8</t>
        </is>
      </c>
      <c r="AB265" t="inlineStr">
        <is>
          <t>Dorin_RLA_230_460_3ph_60Hz.xlsx</t>
        </is>
      </c>
      <c r="AC265" t="inlineStr">
        <is>
          <t>DORIN_H_60Hz_3ph</t>
        </is>
      </c>
    </row>
    <row r="266">
      <c r="A266" t="inlineStr">
        <is>
          <t>DORIN</t>
        </is>
      </c>
      <c r="B266" t="inlineStr">
        <is>
          <t>H5000CS</t>
        </is>
      </c>
      <c r="D266" t="inlineStr">
        <is>
          <t>Reciprocating Semi-hermetic</t>
        </is>
      </c>
      <c r="E266" s="2" t="n">
        <v>3</v>
      </c>
      <c r="F266" s="2" t="n">
        <v>60</v>
      </c>
      <c r="G266" s="2" t="n">
        <v>230</v>
      </c>
      <c r="H266" t="inlineStr">
        <is>
          <t>208-230</t>
        </is>
      </c>
      <c r="I266" s="2" t="n">
        <v>208</v>
      </c>
      <c r="J266" s="2" t="n">
        <v>230</v>
      </c>
      <c r="K266" t="inlineStr">
        <is>
          <t>Delta</t>
        </is>
      </c>
      <c r="L266" s="3" t="n"/>
      <c r="M266" s="3" t="n">
        <v>187.1</v>
      </c>
      <c r="N266" s="3" t="n"/>
      <c r="O266" s="3" t="n"/>
      <c r="P266" s="3">
        <f>IF(L266&lt;&gt;"",L266/1.4,"")</f>
        <v/>
      </c>
      <c r="Q266" s="3">
        <f>IF(L266&lt;&gt;"",L266/1.56,"")</f>
        <v/>
      </c>
      <c r="R266" s="3">
        <f>IF(M266&lt;&gt;"",M266/1.4,"")</f>
        <v/>
      </c>
      <c r="S266" s="3">
        <f>IF(M266&lt;&gt;"",M266/1.56,"")</f>
        <v/>
      </c>
      <c r="T266" s="3">
        <f>IF(N266&lt;&gt;"",N266,IF(O266&lt;&gt;"",O266,IF(L266&lt;&gt;"",L266/1.56,IF(M266&lt;&gt;"",M266/1.56,""))))</f>
        <v/>
      </c>
      <c r="U266" s="3" t="n"/>
      <c r="V266" s="3" t="n"/>
      <c r="W266" s="3" t="n">
        <v>762.8</v>
      </c>
      <c r="X266" s="4" t="n">
        <v>63.4</v>
      </c>
      <c r="Y266" s="5" t="n"/>
      <c r="Z266" s="4">
        <f>IF(L266&lt;&gt;"",SQRT(3)*G266*L266/1000,"")</f>
        <v/>
      </c>
      <c r="AA266" t="inlineStr">
        <is>
          <t>Displacement_CFH=6962.6</t>
        </is>
      </c>
      <c r="AB266" t="inlineStr">
        <is>
          <t>Dorin_RLA_230_460_3ph_60Hz.xlsx</t>
        </is>
      </c>
      <c r="AC266" t="inlineStr">
        <is>
          <t>DORIN_H_60Hz_3ph</t>
        </is>
      </c>
    </row>
    <row r="267">
      <c r="A267" t="inlineStr">
        <is>
          <t>DORIN</t>
        </is>
      </c>
      <c r="B267" t="inlineStr">
        <is>
          <t>H5000CS</t>
        </is>
      </c>
      <c r="D267" t="inlineStr">
        <is>
          <t>Reciprocating Semi-hermetic</t>
        </is>
      </c>
      <c r="E267" s="2" t="n">
        <v>3</v>
      </c>
      <c r="F267" s="2" t="n">
        <v>60</v>
      </c>
      <c r="G267" s="2" t="n">
        <v>460</v>
      </c>
      <c r="H267" t="inlineStr">
        <is>
          <t>440-480</t>
        </is>
      </c>
      <c r="I267" s="2" t="n">
        <v>440</v>
      </c>
      <c r="J267" s="2" t="n">
        <v>480</v>
      </c>
      <c r="K267" t="inlineStr">
        <is>
          <t>Wye</t>
        </is>
      </c>
      <c r="L267" s="3" t="n"/>
      <c r="M267" s="3" t="n">
        <v>90</v>
      </c>
      <c r="N267" s="3" t="n"/>
      <c r="O267" s="3" t="n"/>
      <c r="P267" s="3">
        <f>IF(L267&lt;&gt;"",L267/1.4,"")</f>
        <v/>
      </c>
      <c r="Q267" s="3">
        <f>IF(L267&lt;&gt;"",L267/1.56,"")</f>
        <v/>
      </c>
      <c r="R267" s="3">
        <f>IF(M267&lt;&gt;"",M267/1.4,"")</f>
        <v/>
      </c>
      <c r="S267" s="3">
        <f>IF(M267&lt;&gt;"",M267/1.56,"")</f>
        <v/>
      </c>
      <c r="T267" s="3">
        <f>IF(N267&lt;&gt;"",N267,IF(O267&lt;&gt;"",O267,IF(L267&lt;&gt;"",L267/1.56,IF(M267&lt;&gt;"",M267/1.56,""))))</f>
        <v/>
      </c>
      <c r="U267" s="3" t="n"/>
      <c r="V267" s="3" t="n"/>
      <c r="W267" s="3" t="n">
        <v>367</v>
      </c>
      <c r="X267" s="4" t="n">
        <v>63.4</v>
      </c>
      <c r="Y267" s="5" t="n"/>
      <c r="Z267" s="4">
        <f>IF(L267&lt;&gt;"",SQRT(3)*G267*L267/1000,"")</f>
        <v/>
      </c>
      <c r="AA267" t="inlineStr">
        <is>
          <t>Displacement_CFH=6962.6</t>
        </is>
      </c>
      <c r="AB267" t="inlineStr">
        <is>
          <t>Dorin_RLA_230_460_3ph_60Hz.xlsx</t>
        </is>
      </c>
      <c r="AC267" t="inlineStr">
        <is>
          <t>DORIN_H_60Hz_3ph</t>
        </is>
      </c>
    </row>
    <row r="268">
      <c r="A268" t="inlineStr">
        <is>
          <t>DORIN</t>
        </is>
      </c>
      <c r="B268" t="inlineStr">
        <is>
          <t>H5500CC</t>
        </is>
      </c>
      <c r="D268" t="inlineStr">
        <is>
          <t>Reciprocating Semi-hermetic</t>
        </is>
      </c>
      <c r="E268" s="2" t="n">
        <v>3</v>
      </c>
      <c r="F268" s="2" t="n">
        <v>60</v>
      </c>
      <c r="G268" s="2" t="n">
        <v>230</v>
      </c>
      <c r="H268" t="inlineStr">
        <is>
          <t>208-230</t>
        </is>
      </c>
      <c r="I268" s="2" t="n">
        <v>208</v>
      </c>
      <c r="J268" s="2" t="n">
        <v>230</v>
      </c>
      <c r="K268" t="inlineStr">
        <is>
          <t>Delta</t>
        </is>
      </c>
      <c r="L268" s="3" t="n"/>
      <c r="M268" s="3" t="n">
        <v>218.2</v>
      </c>
      <c r="N268" s="3" t="n"/>
      <c r="O268" s="3" t="n"/>
      <c r="P268" s="3">
        <f>IF(L268&lt;&gt;"",L268/1.4,"")</f>
        <v/>
      </c>
      <c r="Q268" s="3">
        <f>IF(L268&lt;&gt;"",L268/1.56,"")</f>
        <v/>
      </c>
      <c r="R268" s="3">
        <f>IF(M268&lt;&gt;"",M268/1.4,"")</f>
        <v/>
      </c>
      <c r="S268" s="3">
        <f>IF(M268&lt;&gt;"",M268/1.56,"")</f>
        <v/>
      </c>
      <c r="T268" s="3">
        <f>IF(N268&lt;&gt;"",N268,IF(O268&lt;&gt;"",O268,IF(L268&lt;&gt;"",L268/1.56,IF(M268&lt;&gt;"",M268/1.56,""))))</f>
        <v/>
      </c>
      <c r="U268" s="3" t="n"/>
      <c r="V268" s="3" t="n"/>
      <c r="W268" s="3" t="n">
        <v>945.7</v>
      </c>
      <c r="X268" s="4" t="n">
        <v>72.2</v>
      </c>
      <c r="Y268" s="5" t="n"/>
      <c r="Z268" s="4">
        <f>IF(L268&lt;&gt;"",SQRT(3)*G268*L268/1000,"")</f>
        <v/>
      </c>
      <c r="AA268" t="inlineStr">
        <is>
          <t>Displacement_CFH=6962.6</t>
        </is>
      </c>
      <c r="AB268" t="inlineStr">
        <is>
          <t>Dorin_RLA_230_460_3ph_60Hz.xlsx</t>
        </is>
      </c>
      <c r="AC268" t="inlineStr">
        <is>
          <t>DORIN_H_60Hz_3ph</t>
        </is>
      </c>
    </row>
    <row r="269">
      <c r="A269" t="inlineStr">
        <is>
          <t>DORIN</t>
        </is>
      </c>
      <c r="B269" t="inlineStr">
        <is>
          <t>H5500CC</t>
        </is>
      </c>
      <c r="D269" t="inlineStr">
        <is>
          <t>Reciprocating Semi-hermetic</t>
        </is>
      </c>
      <c r="E269" s="2" t="n">
        <v>3</v>
      </c>
      <c r="F269" s="2" t="n">
        <v>60</v>
      </c>
      <c r="G269" s="2" t="n">
        <v>460</v>
      </c>
      <c r="H269" t="inlineStr">
        <is>
          <t>440-480</t>
        </is>
      </c>
      <c r="I269" s="2" t="n">
        <v>440</v>
      </c>
      <c r="J269" s="2" t="n">
        <v>480</v>
      </c>
      <c r="K269" t="inlineStr">
        <is>
          <t>Wye</t>
        </is>
      </c>
      <c r="L269" s="3" t="n"/>
      <c r="M269" s="3" t="n">
        <v>105</v>
      </c>
      <c r="N269" s="3" t="n"/>
      <c r="O269" s="3" t="n"/>
      <c r="P269" s="3">
        <f>IF(L269&lt;&gt;"",L269/1.4,"")</f>
        <v/>
      </c>
      <c r="Q269" s="3">
        <f>IF(L269&lt;&gt;"",L269/1.56,"")</f>
        <v/>
      </c>
      <c r="R269" s="3">
        <f>IF(M269&lt;&gt;"",M269/1.4,"")</f>
        <v/>
      </c>
      <c r="S269" s="3">
        <f>IF(M269&lt;&gt;"",M269/1.56,"")</f>
        <v/>
      </c>
      <c r="T269" s="3">
        <f>IF(N269&lt;&gt;"",N269,IF(O269&lt;&gt;"",O269,IF(L269&lt;&gt;"",L269/1.56,IF(M269&lt;&gt;"",M269/1.56,""))))</f>
        <v/>
      </c>
      <c r="U269" s="3" t="n"/>
      <c r="V269" s="3" t="n"/>
      <c r="W269" s="3" t="n">
        <v>455</v>
      </c>
      <c r="X269" s="4" t="n">
        <v>72.2</v>
      </c>
      <c r="Y269" s="5" t="n"/>
      <c r="Z269" s="4">
        <f>IF(L269&lt;&gt;"",SQRT(3)*G269*L269/1000,"")</f>
        <v/>
      </c>
      <c r="AA269" t="inlineStr">
        <is>
          <t>Displacement_CFH=6962.6</t>
        </is>
      </c>
      <c r="AB269" t="inlineStr">
        <is>
          <t>Dorin_RLA_230_460_3ph_60Hz.xlsx</t>
        </is>
      </c>
      <c r="AC269" t="inlineStr">
        <is>
          <t>DORIN_H_60Hz_3ph</t>
        </is>
      </c>
    </row>
    <row r="270">
      <c r="A270" t="inlineStr">
        <is>
          <t>DORIN</t>
        </is>
      </c>
      <c r="B270" t="inlineStr">
        <is>
          <t>H5001CS</t>
        </is>
      </c>
      <c r="D270" t="inlineStr">
        <is>
          <t>Reciprocating Semi-hermetic</t>
        </is>
      </c>
      <c r="E270" s="2" t="n">
        <v>3</v>
      </c>
      <c r="F270" s="2" t="n">
        <v>60</v>
      </c>
      <c r="G270" s="2" t="n">
        <v>230</v>
      </c>
      <c r="H270" t="inlineStr">
        <is>
          <t>208-230</t>
        </is>
      </c>
      <c r="I270" s="2" t="n">
        <v>208</v>
      </c>
      <c r="J270" s="2" t="n">
        <v>230</v>
      </c>
      <c r="K270" t="inlineStr">
        <is>
          <t>Delta</t>
        </is>
      </c>
      <c r="L270" s="3" t="n"/>
      <c r="M270" s="3" t="n">
        <v>193.3</v>
      </c>
      <c r="N270" s="3" t="n"/>
      <c r="O270" s="3" t="n"/>
      <c r="P270" s="3">
        <f>IF(L270&lt;&gt;"",L270/1.4,"")</f>
        <v/>
      </c>
      <c r="Q270" s="3">
        <f>IF(L270&lt;&gt;"",L270/1.56,"")</f>
        <v/>
      </c>
      <c r="R270" s="3">
        <f>IF(M270&lt;&gt;"",M270/1.4,"")</f>
        <v/>
      </c>
      <c r="S270" s="3">
        <f>IF(M270&lt;&gt;"",M270/1.56,"")</f>
        <v/>
      </c>
      <c r="T270" s="3">
        <f>IF(N270&lt;&gt;"",N270,IF(O270&lt;&gt;"",O270,IF(L270&lt;&gt;"",L270/1.56,IF(M270&lt;&gt;"",M270/1.56,""))))</f>
        <v/>
      </c>
      <c r="U270" s="3" t="n"/>
      <c r="V270" s="3" t="n"/>
      <c r="W270" s="3" t="n">
        <v>743</v>
      </c>
      <c r="X270" s="4" t="n">
        <v>67.90000000000001</v>
      </c>
      <c r="Y270" s="5" t="n"/>
      <c r="Z270" s="4">
        <f>IF(L270&lt;&gt;"",SQRT(3)*G270*L270/1000,"")</f>
        <v/>
      </c>
      <c r="AA270" t="inlineStr">
        <is>
          <t>Displacement_CFH=7181.2</t>
        </is>
      </c>
      <c r="AB270" t="inlineStr">
        <is>
          <t>Dorin_RLA_230_460_3ph_60Hz.xlsx</t>
        </is>
      </c>
      <c r="AC270" t="inlineStr">
        <is>
          <t>DORIN_H_60Hz_3ph</t>
        </is>
      </c>
    </row>
    <row r="271">
      <c r="A271" t="inlineStr">
        <is>
          <t>DORIN</t>
        </is>
      </c>
      <c r="B271" t="inlineStr">
        <is>
          <t>H5001CS</t>
        </is>
      </c>
      <c r="D271" t="inlineStr">
        <is>
          <t>Reciprocating Semi-hermetic</t>
        </is>
      </c>
      <c r="E271" s="2" t="n">
        <v>3</v>
      </c>
      <c r="F271" s="2" t="n">
        <v>60</v>
      </c>
      <c r="G271" s="2" t="n">
        <v>460</v>
      </c>
      <c r="H271" t="inlineStr">
        <is>
          <t>440-480</t>
        </is>
      </c>
      <c r="I271" s="2" t="n">
        <v>440</v>
      </c>
      <c r="J271" s="2" t="n">
        <v>480</v>
      </c>
      <c r="K271" t="inlineStr">
        <is>
          <t>Wye</t>
        </is>
      </c>
      <c r="L271" s="3" t="n"/>
      <c r="M271" s="3" t="n">
        <v>93</v>
      </c>
      <c r="N271" s="3" t="n"/>
      <c r="O271" s="3" t="n"/>
      <c r="P271" s="3">
        <f>IF(L271&lt;&gt;"",L271/1.4,"")</f>
        <v/>
      </c>
      <c r="Q271" s="3">
        <f>IF(L271&lt;&gt;"",L271/1.56,"")</f>
        <v/>
      </c>
      <c r="R271" s="3">
        <f>IF(M271&lt;&gt;"",M271/1.4,"")</f>
        <v/>
      </c>
      <c r="S271" s="3">
        <f>IF(M271&lt;&gt;"",M271/1.56,"")</f>
        <v/>
      </c>
      <c r="T271" s="3">
        <f>IF(N271&lt;&gt;"",N271,IF(O271&lt;&gt;"",O271,IF(L271&lt;&gt;"",L271/1.56,IF(M271&lt;&gt;"",M271/1.56,""))))</f>
        <v/>
      </c>
      <c r="U271" s="3" t="n"/>
      <c r="V271" s="3" t="n"/>
      <c r="W271" s="3" t="n">
        <v>358</v>
      </c>
      <c r="X271" s="4" t="n">
        <v>67.90000000000001</v>
      </c>
      <c r="Y271" s="5" t="n"/>
      <c r="Z271" s="4">
        <f>IF(L271&lt;&gt;"",SQRT(3)*G271*L271/1000,"")</f>
        <v/>
      </c>
      <c r="AA271" t="inlineStr">
        <is>
          <t>Displacement_CFH=7181.2</t>
        </is>
      </c>
      <c r="AB271" t="inlineStr">
        <is>
          <t>Dorin_RLA_230_460_3ph_60Hz.xlsx</t>
        </is>
      </c>
      <c r="AC271" t="inlineStr">
        <is>
          <t>DORIN_H_60Hz_3ph</t>
        </is>
      </c>
    </row>
    <row r="272">
      <c r="A272" t="inlineStr">
        <is>
          <t>DORIN</t>
        </is>
      </c>
      <c r="B272" t="inlineStr">
        <is>
          <t>H5500CS</t>
        </is>
      </c>
      <c r="D272" t="inlineStr">
        <is>
          <t>Reciprocating Semi-hermetic</t>
        </is>
      </c>
      <c r="E272" s="2" t="n">
        <v>3</v>
      </c>
      <c r="F272" s="2" t="n">
        <v>60</v>
      </c>
      <c r="G272" s="2" t="n">
        <v>230</v>
      </c>
      <c r="H272" t="inlineStr">
        <is>
          <t>208-230</t>
        </is>
      </c>
      <c r="I272" s="2" t="n">
        <v>208</v>
      </c>
      <c r="J272" s="2" t="n">
        <v>230</v>
      </c>
      <c r="K272" t="inlineStr">
        <is>
          <t>Delta</t>
        </is>
      </c>
      <c r="L272" s="3" t="n"/>
      <c r="M272" s="3" t="n">
        <v>218.2</v>
      </c>
      <c r="N272" s="3" t="n"/>
      <c r="O272" s="3" t="n"/>
      <c r="P272" s="3">
        <f>IF(L272&lt;&gt;"",L272/1.4,"")</f>
        <v/>
      </c>
      <c r="Q272" s="3">
        <f>IF(L272&lt;&gt;"",L272/1.56,"")</f>
        <v/>
      </c>
      <c r="R272" s="3">
        <f>IF(M272&lt;&gt;"",M272/1.4,"")</f>
        <v/>
      </c>
      <c r="S272" s="3">
        <f>IF(M272&lt;&gt;"",M272/1.56,"")</f>
        <v/>
      </c>
      <c r="T272" s="3">
        <f>IF(N272&lt;&gt;"",N272,IF(O272&lt;&gt;"",O272,IF(L272&lt;&gt;"",L272/1.56,IF(M272&lt;&gt;"",M272/1.56,""))))</f>
        <v/>
      </c>
      <c r="U272" s="3" t="n"/>
      <c r="V272" s="3" t="n"/>
      <c r="W272" s="3" t="n">
        <v>945.7</v>
      </c>
      <c r="X272" s="4" t="n">
        <v>72.2</v>
      </c>
      <c r="Y272" s="5" t="n"/>
      <c r="Z272" s="4">
        <f>IF(L272&lt;&gt;"",SQRT(3)*G272*L272/1000,"")</f>
        <v/>
      </c>
      <c r="AA272" t="inlineStr">
        <is>
          <t>Displacement_CFH=7805.5</t>
        </is>
      </c>
      <c r="AB272" t="inlineStr">
        <is>
          <t>Dorin_RLA_230_460_3ph_60Hz.xlsx</t>
        </is>
      </c>
      <c r="AC272" t="inlineStr">
        <is>
          <t>DORIN_H_60Hz_3ph</t>
        </is>
      </c>
    </row>
    <row r="273">
      <c r="A273" t="inlineStr">
        <is>
          <t>DORIN</t>
        </is>
      </c>
      <c r="B273" t="inlineStr">
        <is>
          <t>H5500CS</t>
        </is>
      </c>
      <c r="D273" t="inlineStr">
        <is>
          <t>Reciprocating Semi-hermetic</t>
        </is>
      </c>
      <c r="E273" s="2" t="n">
        <v>3</v>
      </c>
      <c r="F273" s="2" t="n">
        <v>60</v>
      </c>
      <c r="G273" s="2" t="n">
        <v>460</v>
      </c>
      <c r="H273" t="inlineStr">
        <is>
          <t>440-480</t>
        </is>
      </c>
      <c r="I273" s="2" t="n">
        <v>440</v>
      </c>
      <c r="J273" s="2" t="n">
        <v>480</v>
      </c>
      <c r="K273" t="inlineStr">
        <is>
          <t>Wye</t>
        </is>
      </c>
      <c r="L273" s="3" t="n"/>
      <c r="M273" s="3" t="n">
        <v>105</v>
      </c>
      <c r="N273" s="3" t="n"/>
      <c r="O273" s="3" t="n"/>
      <c r="P273" s="3">
        <f>IF(L273&lt;&gt;"",L273/1.4,"")</f>
        <v/>
      </c>
      <c r="Q273" s="3">
        <f>IF(L273&lt;&gt;"",L273/1.56,"")</f>
        <v/>
      </c>
      <c r="R273" s="3">
        <f>IF(M273&lt;&gt;"",M273/1.4,"")</f>
        <v/>
      </c>
      <c r="S273" s="3">
        <f>IF(M273&lt;&gt;"",M273/1.56,"")</f>
        <v/>
      </c>
      <c r="T273" s="3">
        <f>IF(N273&lt;&gt;"",N273,IF(O273&lt;&gt;"",O273,IF(L273&lt;&gt;"",L273/1.56,IF(M273&lt;&gt;"",M273/1.56,""))))</f>
        <v/>
      </c>
      <c r="U273" s="3" t="n"/>
      <c r="V273" s="3" t="n"/>
      <c r="W273" s="3" t="n">
        <v>455</v>
      </c>
      <c r="X273" s="4" t="n">
        <v>72.2</v>
      </c>
      <c r="Y273" s="5" t="n"/>
      <c r="Z273" s="4">
        <f>IF(L273&lt;&gt;"",SQRT(3)*G273*L273/1000,"")</f>
        <v/>
      </c>
      <c r="AA273" t="inlineStr">
        <is>
          <t>Displacement_CFH=7805.5</t>
        </is>
      </c>
      <c r="AB273" t="inlineStr">
        <is>
          <t>Dorin_RLA_230_460_3ph_60Hz.xlsx</t>
        </is>
      </c>
      <c r="AC273" t="inlineStr">
        <is>
          <t>DORIN_H_60Hz_3ph</t>
        </is>
      </c>
    </row>
    <row r="274">
      <c r="A274" t="inlineStr">
        <is>
          <t>DORIN</t>
        </is>
      </c>
      <c r="B274" t="inlineStr">
        <is>
          <t>H6000CC</t>
        </is>
      </c>
      <c r="D274" t="inlineStr">
        <is>
          <t>Reciprocating Semi-hermetic</t>
        </is>
      </c>
      <c r="E274" s="2" t="n">
        <v>3</v>
      </c>
      <c r="F274" s="2" t="n">
        <v>60</v>
      </c>
      <c r="G274" s="2" t="n">
        <v>230</v>
      </c>
      <c r="H274" t="inlineStr">
        <is>
          <t>208-230</t>
        </is>
      </c>
      <c r="I274" s="2" t="n">
        <v>208</v>
      </c>
      <c r="J274" s="2" t="n">
        <v>230</v>
      </c>
      <c r="K274" t="inlineStr">
        <is>
          <t>Delta</t>
        </is>
      </c>
      <c r="L274" s="3" t="n"/>
      <c r="M274" s="3" t="n">
        <v>249.4</v>
      </c>
      <c r="N274" s="3" t="n"/>
      <c r="O274" s="3" t="n"/>
      <c r="P274" s="3">
        <f>IF(L274&lt;&gt;"",L274/1.4,"")</f>
        <v/>
      </c>
      <c r="Q274" s="3">
        <f>IF(L274&lt;&gt;"",L274/1.56,"")</f>
        <v/>
      </c>
      <c r="R274" s="3">
        <f>IF(M274&lt;&gt;"",M274/1.4,"")</f>
        <v/>
      </c>
      <c r="S274" s="3">
        <f>IF(M274&lt;&gt;"",M274/1.56,"")</f>
        <v/>
      </c>
      <c r="T274" s="3">
        <f>IF(N274&lt;&gt;"",N274,IF(O274&lt;&gt;"",O274,IF(L274&lt;&gt;"",L274/1.56,IF(M274&lt;&gt;"",M274/1.56,""))))</f>
        <v/>
      </c>
      <c r="U274" s="3" t="n"/>
      <c r="V274" s="3" t="n"/>
      <c r="W274" s="3" t="n">
        <v>1130.7</v>
      </c>
      <c r="X274" s="4" t="n">
        <v>82.90000000000001</v>
      </c>
      <c r="Y274" s="5" t="n"/>
      <c r="Z274" s="4">
        <f>IF(L274&lt;&gt;"",SQRT(3)*G274*L274/1000,"")</f>
        <v/>
      </c>
      <c r="AA274" t="inlineStr">
        <is>
          <t>Displacement_CFH=7805.5</t>
        </is>
      </c>
      <c r="AB274" t="inlineStr">
        <is>
          <t>Dorin_RLA_230_460_3ph_60Hz.xlsx</t>
        </is>
      </c>
      <c r="AC274" t="inlineStr">
        <is>
          <t>DORIN_H_60Hz_3ph</t>
        </is>
      </c>
    </row>
    <row r="275">
      <c r="A275" t="inlineStr">
        <is>
          <t>DORIN</t>
        </is>
      </c>
      <c r="B275" t="inlineStr">
        <is>
          <t>H6000CC</t>
        </is>
      </c>
      <c r="D275" t="inlineStr">
        <is>
          <t>Reciprocating Semi-hermetic</t>
        </is>
      </c>
      <c r="E275" s="2" t="n">
        <v>3</v>
      </c>
      <c r="F275" s="2" t="n">
        <v>60</v>
      </c>
      <c r="G275" s="2" t="n">
        <v>460</v>
      </c>
      <c r="H275" t="inlineStr">
        <is>
          <t>440-480</t>
        </is>
      </c>
      <c r="I275" s="2" t="n">
        <v>440</v>
      </c>
      <c r="J275" s="2" t="n">
        <v>480</v>
      </c>
      <c r="K275" t="inlineStr">
        <is>
          <t>Wye</t>
        </is>
      </c>
      <c r="L275" s="3" t="n"/>
      <c r="M275" s="3" t="n">
        <v>120</v>
      </c>
      <c r="N275" s="3" t="n"/>
      <c r="O275" s="3" t="n"/>
      <c r="P275" s="3">
        <f>IF(L275&lt;&gt;"",L275/1.4,"")</f>
        <v/>
      </c>
      <c r="Q275" s="3">
        <f>IF(L275&lt;&gt;"",L275/1.56,"")</f>
        <v/>
      </c>
      <c r="R275" s="3">
        <f>IF(M275&lt;&gt;"",M275/1.4,"")</f>
        <v/>
      </c>
      <c r="S275" s="3">
        <f>IF(M275&lt;&gt;"",M275/1.56,"")</f>
        <v/>
      </c>
      <c r="T275" s="3">
        <f>IF(N275&lt;&gt;"",N275,IF(O275&lt;&gt;"",O275,IF(L275&lt;&gt;"",L275/1.56,IF(M275&lt;&gt;"",M275/1.56,""))))</f>
        <v/>
      </c>
      <c r="U275" s="3" t="n"/>
      <c r="V275" s="3" t="n"/>
      <c r="W275" s="3" t="n">
        <v>544</v>
      </c>
      <c r="X275" s="4" t="n">
        <v>82.90000000000001</v>
      </c>
      <c r="Y275" s="5" t="n"/>
      <c r="Z275" s="4">
        <f>IF(L275&lt;&gt;"",SQRT(3)*G275*L275/1000,"")</f>
        <v/>
      </c>
      <c r="AA275" t="inlineStr">
        <is>
          <t>Displacement_CFH=7805.5</t>
        </is>
      </c>
      <c r="AB275" t="inlineStr">
        <is>
          <t>Dorin_RLA_230_460_3ph_60Hz.xlsx</t>
        </is>
      </c>
      <c r="AC275" t="inlineStr">
        <is>
          <t>DORIN_H_60Hz_3ph</t>
        </is>
      </c>
    </row>
    <row r="276">
      <c r="A276" t="inlineStr">
        <is>
          <t>DORIN</t>
        </is>
      </c>
      <c r="B276" t="inlineStr">
        <is>
          <t>H6000CS</t>
        </is>
      </c>
      <c r="D276" t="inlineStr">
        <is>
          <t>Reciprocating Semi-hermetic</t>
        </is>
      </c>
      <c r="E276" s="2" t="n">
        <v>3</v>
      </c>
      <c r="F276" s="2" t="n">
        <v>60</v>
      </c>
      <c r="G276" s="2" t="n">
        <v>230</v>
      </c>
      <c r="H276" t="inlineStr">
        <is>
          <t>208-230</t>
        </is>
      </c>
      <c r="I276" s="2" t="n">
        <v>208</v>
      </c>
      <c r="J276" s="2" t="n">
        <v>230</v>
      </c>
      <c r="K276" t="inlineStr">
        <is>
          <t>Delta</t>
        </is>
      </c>
      <c r="L276" s="3" t="n"/>
      <c r="M276" s="3" t="n">
        <v>218.2</v>
      </c>
      <c r="N276" s="3" t="n"/>
      <c r="O276" s="3" t="n"/>
      <c r="P276" s="3">
        <f>IF(L276&lt;&gt;"",L276/1.4,"")</f>
        <v/>
      </c>
      <c r="Q276" s="3">
        <f>IF(L276&lt;&gt;"",L276/1.56,"")</f>
        <v/>
      </c>
      <c r="R276" s="3">
        <f>IF(M276&lt;&gt;"",M276/1.4,"")</f>
        <v/>
      </c>
      <c r="S276" s="3">
        <f>IF(M276&lt;&gt;"",M276/1.56,"")</f>
        <v/>
      </c>
      <c r="T276" s="3">
        <f>IF(N276&lt;&gt;"",N276,IF(O276&lt;&gt;"",O276,IF(L276&lt;&gt;"",L276/1.56,IF(M276&lt;&gt;"",M276/1.56,""))))</f>
        <v/>
      </c>
      <c r="U276" s="3" t="n"/>
      <c r="V276" s="3" t="n"/>
      <c r="W276" s="3" t="n">
        <v>945.7</v>
      </c>
      <c r="X276" s="4" t="n">
        <v>72.2</v>
      </c>
      <c r="Y276" s="5" t="n"/>
      <c r="Z276" s="4">
        <f>IF(L276&lt;&gt;"",SQRT(3)*G276*L276/1000,"")</f>
        <v/>
      </c>
      <c r="AA276" t="inlineStr">
        <is>
          <t>Displacement_CFH=8469.6</t>
        </is>
      </c>
      <c r="AB276" t="inlineStr">
        <is>
          <t>Dorin_RLA_230_460_3ph_60Hz.xlsx</t>
        </is>
      </c>
      <c r="AC276" t="inlineStr">
        <is>
          <t>DORIN_H_60Hz_3ph</t>
        </is>
      </c>
    </row>
    <row r="277">
      <c r="A277" t="inlineStr">
        <is>
          <t>DORIN</t>
        </is>
      </c>
      <c r="B277" t="inlineStr">
        <is>
          <t>H6000CS</t>
        </is>
      </c>
      <c r="D277" t="inlineStr">
        <is>
          <t>Reciprocating Semi-hermetic</t>
        </is>
      </c>
      <c r="E277" s="2" t="n">
        <v>3</v>
      </c>
      <c r="F277" s="2" t="n">
        <v>60</v>
      </c>
      <c r="G277" s="2" t="n">
        <v>460</v>
      </c>
      <c r="H277" t="inlineStr">
        <is>
          <t>440-480</t>
        </is>
      </c>
      <c r="I277" s="2" t="n">
        <v>440</v>
      </c>
      <c r="J277" s="2" t="n">
        <v>480</v>
      </c>
      <c r="K277" t="inlineStr">
        <is>
          <t>Wye</t>
        </is>
      </c>
      <c r="L277" s="3" t="n"/>
      <c r="M277" s="3" t="n">
        <v>105</v>
      </c>
      <c r="N277" s="3" t="n"/>
      <c r="O277" s="3" t="n"/>
      <c r="P277" s="3">
        <f>IF(L277&lt;&gt;"",L277/1.4,"")</f>
        <v/>
      </c>
      <c r="Q277" s="3">
        <f>IF(L277&lt;&gt;"",L277/1.56,"")</f>
        <v/>
      </c>
      <c r="R277" s="3">
        <f>IF(M277&lt;&gt;"",M277/1.4,"")</f>
        <v/>
      </c>
      <c r="S277" s="3">
        <f>IF(M277&lt;&gt;"",M277/1.56,"")</f>
        <v/>
      </c>
      <c r="T277" s="3">
        <f>IF(N277&lt;&gt;"",N277,IF(O277&lt;&gt;"",O277,IF(L277&lt;&gt;"",L277/1.56,IF(M277&lt;&gt;"",M277/1.56,""))))</f>
        <v/>
      </c>
      <c r="U277" s="3" t="n"/>
      <c r="V277" s="3" t="n"/>
      <c r="W277" s="3" t="n">
        <v>455</v>
      </c>
      <c r="X277" s="4" t="n">
        <v>72.2</v>
      </c>
      <c r="Y277" s="5" t="n"/>
      <c r="Z277" s="4">
        <f>IF(L277&lt;&gt;"",SQRT(3)*G277*L277/1000,"")</f>
        <v/>
      </c>
      <c r="AA277" t="inlineStr">
        <is>
          <t>Displacement_CFH=8469.6</t>
        </is>
      </c>
      <c r="AB277" t="inlineStr">
        <is>
          <t>Dorin_RLA_230_460_3ph_60Hz.xlsx</t>
        </is>
      </c>
      <c r="AC277" t="inlineStr">
        <is>
          <t>DORIN_H_60Hz_3ph</t>
        </is>
      </c>
    </row>
    <row r="278">
      <c r="A278" t="inlineStr">
        <is>
          <t>DORIN</t>
        </is>
      </c>
      <c r="B278" t="inlineStr">
        <is>
          <t>H7500CC</t>
        </is>
      </c>
      <c r="D278" t="inlineStr">
        <is>
          <t>Reciprocating Semi-hermetic</t>
        </is>
      </c>
      <c r="E278" s="2" t="n">
        <v>3</v>
      </c>
      <c r="F278" s="2" t="n">
        <v>60</v>
      </c>
      <c r="G278" s="2" t="n">
        <v>230</v>
      </c>
      <c r="H278" t="inlineStr">
        <is>
          <t>208-230</t>
        </is>
      </c>
      <c r="I278" s="2" t="n">
        <v>208</v>
      </c>
      <c r="J278" s="2" t="n">
        <v>230</v>
      </c>
      <c r="K278" t="inlineStr">
        <is>
          <t>Delta</t>
        </is>
      </c>
      <c r="L278" s="3" t="n"/>
      <c r="M278" s="3" t="n">
        <v>307.6</v>
      </c>
      <c r="N278" s="3" t="n"/>
      <c r="O278" s="3" t="n"/>
      <c r="P278" s="3">
        <f>IF(L278&lt;&gt;"",L278/1.4,"")</f>
        <v/>
      </c>
      <c r="Q278" s="3">
        <f>IF(L278&lt;&gt;"",L278/1.56,"")</f>
        <v/>
      </c>
      <c r="R278" s="3">
        <f>IF(M278&lt;&gt;"",M278/1.4,"")</f>
        <v/>
      </c>
      <c r="S278" s="3">
        <f>IF(M278&lt;&gt;"",M278/1.56,"")</f>
        <v/>
      </c>
      <c r="T278" s="3">
        <f>IF(N278&lt;&gt;"",N278,IF(O278&lt;&gt;"",O278,IF(L278&lt;&gt;"",L278/1.56,IF(M278&lt;&gt;"",M278/1.56,""))))</f>
        <v/>
      </c>
      <c r="U278" s="3" t="n"/>
      <c r="V278" s="3" t="n"/>
      <c r="W278" s="3" t="n">
        <v>1213.8</v>
      </c>
      <c r="X278" s="4" t="n">
        <v>103</v>
      </c>
      <c r="Y278" s="5" t="n"/>
      <c r="Z278" s="4">
        <f>IF(L278&lt;&gt;"",SQRT(3)*G278*L278/1000,"")</f>
        <v/>
      </c>
      <c r="AA278" t="inlineStr">
        <is>
          <t>Displacement_CFH=8469.6</t>
        </is>
      </c>
      <c r="AB278" t="inlineStr">
        <is>
          <t>Dorin_RLA_230_460_3ph_60Hz.xlsx</t>
        </is>
      </c>
      <c r="AC278" t="inlineStr">
        <is>
          <t>DORIN_H_60Hz_3ph</t>
        </is>
      </c>
    </row>
    <row r="279">
      <c r="A279" t="inlineStr">
        <is>
          <t>DORIN</t>
        </is>
      </c>
      <c r="B279" t="inlineStr">
        <is>
          <t>H7500CC</t>
        </is>
      </c>
      <c r="D279" t="inlineStr">
        <is>
          <t>Reciprocating Semi-hermetic</t>
        </is>
      </c>
      <c r="E279" s="2" t="n">
        <v>3</v>
      </c>
      <c r="F279" s="2" t="n">
        <v>60</v>
      </c>
      <c r="G279" s="2" t="n">
        <v>460</v>
      </c>
      <c r="H279" t="inlineStr">
        <is>
          <t>440-480</t>
        </is>
      </c>
      <c r="I279" s="2" t="n">
        <v>440</v>
      </c>
      <c r="J279" s="2" t="n">
        <v>480</v>
      </c>
      <c r="K279" t="inlineStr">
        <is>
          <t>Wye</t>
        </is>
      </c>
      <c r="L279" s="3" t="n"/>
      <c r="M279" s="3" t="n">
        <v>148</v>
      </c>
      <c r="N279" s="3" t="n"/>
      <c r="O279" s="3" t="n"/>
      <c r="P279" s="3">
        <f>IF(L279&lt;&gt;"",L279/1.4,"")</f>
        <v/>
      </c>
      <c r="Q279" s="3">
        <f>IF(L279&lt;&gt;"",L279/1.56,"")</f>
        <v/>
      </c>
      <c r="R279" s="3">
        <f>IF(M279&lt;&gt;"",M279/1.4,"")</f>
        <v/>
      </c>
      <c r="S279" s="3">
        <f>IF(M279&lt;&gt;"",M279/1.56,"")</f>
        <v/>
      </c>
      <c r="T279" s="3">
        <f>IF(N279&lt;&gt;"",N279,IF(O279&lt;&gt;"",O279,IF(L279&lt;&gt;"",L279/1.56,IF(M279&lt;&gt;"",M279/1.56,""))))</f>
        <v/>
      </c>
      <c r="U279" s="3" t="n"/>
      <c r="V279" s="3" t="n"/>
      <c r="W279" s="3" t="n">
        <v>584</v>
      </c>
      <c r="X279" s="4" t="n">
        <v>103</v>
      </c>
      <c r="Y279" s="5" t="n"/>
      <c r="Z279" s="4">
        <f>IF(L279&lt;&gt;"",SQRT(3)*G279*L279/1000,"")</f>
        <v/>
      </c>
      <c r="AA279" t="inlineStr">
        <is>
          <t>Displacement_CFH=8469.6</t>
        </is>
      </c>
      <c r="AB279" t="inlineStr">
        <is>
          <t>Dorin_RLA_230_460_3ph_60Hz.xlsx</t>
        </is>
      </c>
      <c r="AC279" t="inlineStr">
        <is>
          <t>DORIN_H_60Hz_3ph</t>
        </is>
      </c>
    </row>
    <row r="280">
      <c r="A280" t="inlineStr">
        <is>
          <t>DORIN</t>
        </is>
      </c>
      <c r="B280" t="inlineStr">
        <is>
          <t>H7501CS</t>
        </is>
      </c>
      <c r="D280" t="inlineStr">
        <is>
          <t>Reciprocating Semi-hermetic</t>
        </is>
      </c>
      <c r="E280" s="2" t="n">
        <v>3</v>
      </c>
      <c r="F280" s="2" t="n">
        <v>60</v>
      </c>
      <c r="G280" s="2" t="n">
        <v>230</v>
      </c>
      <c r="H280" t="inlineStr">
        <is>
          <t>208-230</t>
        </is>
      </c>
      <c r="I280" s="2" t="n">
        <v>208</v>
      </c>
      <c r="J280" s="2" t="n">
        <v>230</v>
      </c>
      <c r="K280" t="inlineStr">
        <is>
          <t>Delta</t>
        </is>
      </c>
      <c r="L280" s="3" t="n"/>
      <c r="M280" s="3" t="n">
        <v>249.4</v>
      </c>
      <c r="N280" s="3" t="n"/>
      <c r="O280" s="3" t="n"/>
      <c r="P280" s="3">
        <f>IF(L280&lt;&gt;"",L280/1.4,"")</f>
        <v/>
      </c>
      <c r="Q280" s="3">
        <f>IF(L280&lt;&gt;"",L280/1.56,"")</f>
        <v/>
      </c>
      <c r="R280" s="3">
        <f>IF(M280&lt;&gt;"",M280/1.4,"")</f>
        <v/>
      </c>
      <c r="S280" s="3">
        <f>IF(M280&lt;&gt;"",M280/1.56,"")</f>
        <v/>
      </c>
      <c r="T280" s="3">
        <f>IF(N280&lt;&gt;"",N280,IF(O280&lt;&gt;"",O280,IF(L280&lt;&gt;"",L280/1.56,IF(M280&lt;&gt;"",M280/1.56,""))))</f>
        <v/>
      </c>
      <c r="U280" s="3" t="n"/>
      <c r="V280" s="3" t="n"/>
      <c r="W280" s="3" t="n">
        <v>1130.7</v>
      </c>
      <c r="X280" s="4" t="n">
        <v>82.90000000000001</v>
      </c>
      <c r="Y280" s="5" t="n"/>
      <c r="Z280" s="4">
        <f>IF(L280&lt;&gt;"",SQRT(3)*G280*L280/1000,"")</f>
        <v/>
      </c>
      <c r="AA280" t="inlineStr">
        <is>
          <t>Displacement_CFH=9397.3</t>
        </is>
      </c>
      <c r="AB280" t="inlineStr">
        <is>
          <t>Dorin_RLA_230_460_3ph_60Hz.xlsx</t>
        </is>
      </c>
      <c r="AC280" t="inlineStr">
        <is>
          <t>DORIN_H_60Hz_3ph</t>
        </is>
      </c>
    </row>
    <row r="281">
      <c r="A281" t="inlineStr">
        <is>
          <t>DORIN</t>
        </is>
      </c>
      <c r="B281" t="inlineStr">
        <is>
          <t>H7501CS</t>
        </is>
      </c>
      <c r="D281" t="inlineStr">
        <is>
          <t>Reciprocating Semi-hermetic</t>
        </is>
      </c>
      <c r="E281" s="2" t="n">
        <v>3</v>
      </c>
      <c r="F281" s="2" t="n">
        <v>60</v>
      </c>
      <c r="G281" s="2" t="n">
        <v>460</v>
      </c>
      <c r="H281" t="inlineStr">
        <is>
          <t>440-480</t>
        </is>
      </c>
      <c r="I281" s="2" t="n">
        <v>440</v>
      </c>
      <c r="J281" s="2" t="n">
        <v>480</v>
      </c>
      <c r="K281" t="inlineStr">
        <is>
          <t>Wye</t>
        </is>
      </c>
      <c r="L281" s="3" t="n"/>
      <c r="M281" s="3" t="n">
        <v>120</v>
      </c>
      <c r="N281" s="3" t="n"/>
      <c r="O281" s="3" t="n"/>
      <c r="P281" s="3">
        <f>IF(L281&lt;&gt;"",L281/1.4,"")</f>
        <v/>
      </c>
      <c r="Q281" s="3">
        <f>IF(L281&lt;&gt;"",L281/1.56,"")</f>
        <v/>
      </c>
      <c r="R281" s="3">
        <f>IF(M281&lt;&gt;"",M281/1.4,"")</f>
        <v/>
      </c>
      <c r="S281" s="3">
        <f>IF(M281&lt;&gt;"",M281/1.56,"")</f>
        <v/>
      </c>
      <c r="T281" s="3">
        <f>IF(N281&lt;&gt;"",N281,IF(O281&lt;&gt;"",O281,IF(L281&lt;&gt;"",L281/1.56,IF(M281&lt;&gt;"",M281/1.56,""))))</f>
        <v/>
      </c>
      <c r="U281" s="3" t="n"/>
      <c r="V281" s="3" t="n"/>
      <c r="W281" s="3" t="n">
        <v>544</v>
      </c>
      <c r="X281" s="4" t="n">
        <v>82.90000000000001</v>
      </c>
      <c r="Y281" s="5" t="n"/>
      <c r="Z281" s="4">
        <f>IF(L281&lt;&gt;"",SQRT(3)*G281*L281/1000,"")</f>
        <v/>
      </c>
      <c r="AA281" t="inlineStr">
        <is>
          <t>Displacement_CFH=9397.3</t>
        </is>
      </c>
      <c r="AB281" t="inlineStr">
        <is>
          <t>Dorin_RLA_230_460_3ph_60Hz.xlsx</t>
        </is>
      </c>
      <c r="AC281" t="inlineStr">
        <is>
          <t>DORIN_H_60Hz_3ph</t>
        </is>
      </c>
    </row>
    <row r="282">
      <c r="A282" t="inlineStr">
        <is>
          <t>DORIN</t>
        </is>
      </c>
      <c r="B282" t="inlineStr">
        <is>
          <t>H8001CC</t>
        </is>
      </c>
      <c r="D282" t="inlineStr">
        <is>
          <t>Reciprocating Semi-hermetic</t>
        </is>
      </c>
      <c r="E282" s="2" t="n">
        <v>3</v>
      </c>
      <c r="F282" s="2" t="n">
        <v>60</v>
      </c>
      <c r="G282" s="2" t="n">
        <v>230</v>
      </c>
      <c r="H282" t="inlineStr">
        <is>
          <t>208-230</t>
        </is>
      </c>
      <c r="I282" s="2" t="n">
        <v>208</v>
      </c>
      <c r="J282" s="2" t="n">
        <v>230</v>
      </c>
      <c r="K282" t="inlineStr">
        <is>
          <t>Delta</t>
        </is>
      </c>
      <c r="L282" s="3" t="n"/>
      <c r="M282" s="3" t="n">
        <v>307.6</v>
      </c>
      <c r="N282" s="3" t="n"/>
      <c r="O282" s="3" t="n"/>
      <c r="P282" s="3">
        <f>IF(L282&lt;&gt;"",L282/1.4,"")</f>
        <v/>
      </c>
      <c r="Q282" s="3">
        <f>IF(L282&lt;&gt;"",L282/1.56,"")</f>
        <v/>
      </c>
      <c r="R282" s="3">
        <f>IF(M282&lt;&gt;"",M282/1.4,"")</f>
        <v/>
      </c>
      <c r="S282" s="3">
        <f>IF(M282&lt;&gt;"",M282/1.56,"")</f>
        <v/>
      </c>
      <c r="T282" s="3">
        <f>IF(N282&lt;&gt;"",N282,IF(O282&lt;&gt;"",O282,IF(L282&lt;&gt;"",L282/1.56,IF(M282&lt;&gt;"",M282/1.56,""))))</f>
        <v/>
      </c>
      <c r="U282" s="3" t="n"/>
      <c r="V282" s="3" t="n"/>
      <c r="W282" s="3" t="n">
        <v>1213.8</v>
      </c>
      <c r="X282" s="4" t="n">
        <v>103</v>
      </c>
      <c r="Y282" s="5" t="n"/>
      <c r="Z282" s="4">
        <f>IF(L282&lt;&gt;"",SQRT(3)*G282*L282/1000,"")</f>
        <v/>
      </c>
      <c r="AA282" t="inlineStr">
        <is>
          <t>Displacement_CFH=9397.3</t>
        </is>
      </c>
      <c r="AB282" t="inlineStr">
        <is>
          <t>Dorin_RLA_230_460_3ph_60Hz.xlsx</t>
        </is>
      </c>
      <c r="AC282" t="inlineStr">
        <is>
          <t>DORIN_H_60Hz_3ph</t>
        </is>
      </c>
    </row>
    <row r="283">
      <c r="A283" t="inlineStr">
        <is>
          <t>DORIN</t>
        </is>
      </c>
      <c r="B283" t="inlineStr">
        <is>
          <t>H8001CC</t>
        </is>
      </c>
      <c r="D283" t="inlineStr">
        <is>
          <t>Reciprocating Semi-hermetic</t>
        </is>
      </c>
      <c r="E283" s="2" t="n">
        <v>3</v>
      </c>
      <c r="F283" s="2" t="n">
        <v>60</v>
      </c>
      <c r="G283" s="2" t="n">
        <v>460</v>
      </c>
      <c r="H283" t="inlineStr">
        <is>
          <t>440-480</t>
        </is>
      </c>
      <c r="I283" s="2" t="n">
        <v>440</v>
      </c>
      <c r="J283" s="2" t="n">
        <v>480</v>
      </c>
      <c r="K283" t="inlineStr">
        <is>
          <t>Wye</t>
        </is>
      </c>
      <c r="L283" s="3" t="n"/>
      <c r="M283" s="3" t="n">
        <v>148</v>
      </c>
      <c r="N283" s="3" t="n"/>
      <c r="O283" s="3" t="n"/>
      <c r="P283" s="3">
        <f>IF(L283&lt;&gt;"",L283/1.4,"")</f>
        <v/>
      </c>
      <c r="Q283" s="3">
        <f>IF(L283&lt;&gt;"",L283/1.56,"")</f>
        <v/>
      </c>
      <c r="R283" s="3">
        <f>IF(M283&lt;&gt;"",M283/1.4,"")</f>
        <v/>
      </c>
      <c r="S283" s="3">
        <f>IF(M283&lt;&gt;"",M283/1.56,"")</f>
        <v/>
      </c>
      <c r="T283" s="3">
        <f>IF(N283&lt;&gt;"",N283,IF(O283&lt;&gt;"",O283,IF(L283&lt;&gt;"",L283/1.56,IF(M283&lt;&gt;"",M283/1.56,""))))</f>
        <v/>
      </c>
      <c r="U283" s="3" t="n"/>
      <c r="V283" s="3" t="n"/>
      <c r="W283" s="3" t="n">
        <v>584</v>
      </c>
      <c r="X283" s="4" t="n">
        <v>103</v>
      </c>
      <c r="Y283" s="5" t="n"/>
      <c r="Z283" s="4">
        <f>IF(L283&lt;&gt;"",SQRT(3)*G283*L283/1000,"")</f>
        <v/>
      </c>
      <c r="AA283" t="inlineStr">
        <is>
          <t>Displacement_CFH=9397.3</t>
        </is>
      </c>
      <c r="AB283" t="inlineStr">
        <is>
          <t>Dorin_RLA_230_460_3ph_60Hz.xlsx</t>
        </is>
      </c>
      <c r="AC283" t="inlineStr">
        <is>
          <t>DORIN_H_60Hz_3ph</t>
        </is>
      </c>
    </row>
    <row r="284">
      <c r="A284" t="inlineStr">
        <is>
          <t>DORIN</t>
        </is>
      </c>
      <c r="B284" t="inlineStr">
        <is>
          <t>H8000CS</t>
        </is>
      </c>
      <c r="D284" t="inlineStr">
        <is>
          <t>Reciprocating Semi-hermetic</t>
        </is>
      </c>
      <c r="E284" s="2" t="n">
        <v>3</v>
      </c>
      <c r="F284" s="2" t="n">
        <v>60</v>
      </c>
      <c r="G284" s="2" t="n">
        <v>230</v>
      </c>
      <c r="H284" t="inlineStr">
        <is>
          <t>208-230</t>
        </is>
      </c>
      <c r="I284" s="2" t="n">
        <v>208</v>
      </c>
      <c r="J284" s="2" t="n">
        <v>230</v>
      </c>
      <c r="K284" t="inlineStr">
        <is>
          <t>Delta</t>
        </is>
      </c>
      <c r="L284" s="3" t="n"/>
      <c r="M284" s="3" t="n">
        <v>249.4</v>
      </c>
      <c r="N284" s="3" t="n"/>
      <c r="O284" s="3" t="n"/>
      <c r="P284" s="3">
        <f>IF(L284&lt;&gt;"",L284/1.4,"")</f>
        <v/>
      </c>
      <c r="Q284" s="3">
        <f>IF(L284&lt;&gt;"",L284/1.56,"")</f>
        <v/>
      </c>
      <c r="R284" s="3">
        <f>IF(M284&lt;&gt;"",M284/1.4,"")</f>
        <v/>
      </c>
      <c r="S284" s="3">
        <f>IF(M284&lt;&gt;"",M284/1.56,"")</f>
        <v/>
      </c>
      <c r="T284" s="3">
        <f>IF(N284&lt;&gt;"",N284,IF(O284&lt;&gt;"",O284,IF(L284&lt;&gt;"",L284/1.56,IF(M284&lt;&gt;"",M284/1.56,""))))</f>
        <v/>
      </c>
      <c r="U284" s="3" t="n"/>
      <c r="V284" s="3" t="n"/>
      <c r="W284" s="3" t="n">
        <v>1130.7</v>
      </c>
      <c r="X284" s="4" t="n">
        <v>82.90000000000001</v>
      </c>
      <c r="Y284" s="5" t="n"/>
      <c r="Z284" s="4">
        <f>IF(L284&lt;&gt;"",SQRT(3)*G284*L284/1000,"")</f>
        <v/>
      </c>
      <c r="AA284" t="inlineStr">
        <is>
          <t>Displacement_CFH=10373.2</t>
        </is>
      </c>
      <c r="AB284" t="inlineStr">
        <is>
          <t>Dorin_RLA_230_460_3ph_60Hz.xlsx</t>
        </is>
      </c>
      <c r="AC284" t="inlineStr">
        <is>
          <t>DORIN_H_60Hz_3ph</t>
        </is>
      </c>
    </row>
    <row r="285">
      <c r="A285" t="inlineStr">
        <is>
          <t>DORIN</t>
        </is>
      </c>
      <c r="B285" t="inlineStr">
        <is>
          <t>H8000CS</t>
        </is>
      </c>
      <c r="D285" t="inlineStr">
        <is>
          <t>Reciprocating Semi-hermetic</t>
        </is>
      </c>
      <c r="E285" s="2" t="n">
        <v>3</v>
      </c>
      <c r="F285" s="2" t="n">
        <v>60</v>
      </c>
      <c r="G285" s="2" t="n">
        <v>460</v>
      </c>
      <c r="H285" t="inlineStr">
        <is>
          <t>440-480</t>
        </is>
      </c>
      <c r="I285" s="2" t="n">
        <v>440</v>
      </c>
      <c r="J285" s="2" t="n">
        <v>480</v>
      </c>
      <c r="K285" t="inlineStr">
        <is>
          <t>Wye</t>
        </is>
      </c>
      <c r="L285" s="3" t="n"/>
      <c r="M285" s="3" t="n">
        <v>120</v>
      </c>
      <c r="N285" s="3" t="n"/>
      <c r="O285" s="3" t="n"/>
      <c r="P285" s="3">
        <f>IF(L285&lt;&gt;"",L285/1.4,"")</f>
        <v/>
      </c>
      <c r="Q285" s="3">
        <f>IF(L285&lt;&gt;"",L285/1.56,"")</f>
        <v/>
      </c>
      <c r="R285" s="3">
        <f>IF(M285&lt;&gt;"",M285/1.4,"")</f>
        <v/>
      </c>
      <c r="S285" s="3">
        <f>IF(M285&lt;&gt;"",M285/1.56,"")</f>
        <v/>
      </c>
      <c r="T285" s="3">
        <f>IF(N285&lt;&gt;"",N285,IF(O285&lt;&gt;"",O285,IF(L285&lt;&gt;"",L285/1.56,IF(M285&lt;&gt;"",M285/1.56,""))))</f>
        <v/>
      </c>
      <c r="U285" s="3" t="n"/>
      <c r="V285" s="3" t="n"/>
      <c r="W285" s="3" t="n">
        <v>544</v>
      </c>
      <c r="X285" s="4" t="n">
        <v>82.90000000000001</v>
      </c>
      <c r="Y285" s="5" t="n"/>
      <c r="Z285" s="4">
        <f>IF(L285&lt;&gt;"",SQRT(3)*G285*L285/1000,"")</f>
        <v/>
      </c>
      <c r="AA285" t="inlineStr">
        <is>
          <t>Displacement_CFH=10373.2</t>
        </is>
      </c>
      <c r="AB285" t="inlineStr">
        <is>
          <t>Dorin_RLA_230_460_3ph_60Hz.xlsx</t>
        </is>
      </c>
      <c r="AC285" t="inlineStr">
        <is>
          <t>DORIN_H_60Hz_3ph</t>
        </is>
      </c>
    </row>
    <row r="286">
      <c r="A286" t="inlineStr">
        <is>
          <t>DORIN</t>
        </is>
      </c>
      <c r="B286" t="inlineStr">
        <is>
          <t>H9000CC</t>
        </is>
      </c>
      <c r="D286" t="inlineStr">
        <is>
          <t>Reciprocating Semi-hermetic</t>
        </is>
      </c>
      <c r="E286" s="2" t="n">
        <v>3</v>
      </c>
      <c r="F286" s="2" t="n">
        <v>60</v>
      </c>
      <c r="G286" s="2" t="n">
        <v>230</v>
      </c>
      <c r="H286" t="inlineStr">
        <is>
          <t>208-230</t>
        </is>
      </c>
      <c r="I286" s="2" t="n">
        <v>208</v>
      </c>
      <c r="J286" s="2" t="n">
        <v>230</v>
      </c>
      <c r="K286" t="inlineStr">
        <is>
          <t>Delta</t>
        </is>
      </c>
      <c r="L286" s="3" t="n"/>
      <c r="M286" s="3" t="n">
        <v>307.6</v>
      </c>
      <c r="N286" s="3" t="n"/>
      <c r="O286" s="3" t="n"/>
      <c r="P286" s="3">
        <f>IF(L286&lt;&gt;"",L286/1.4,"")</f>
        <v/>
      </c>
      <c r="Q286" s="3">
        <f>IF(L286&lt;&gt;"",L286/1.56,"")</f>
        <v/>
      </c>
      <c r="R286" s="3">
        <f>IF(M286&lt;&gt;"",M286/1.4,"")</f>
        <v/>
      </c>
      <c r="S286" s="3">
        <f>IF(M286&lt;&gt;"",M286/1.56,"")</f>
        <v/>
      </c>
      <c r="T286" s="3">
        <f>IF(N286&lt;&gt;"",N286,IF(O286&lt;&gt;"",O286,IF(L286&lt;&gt;"",L286/1.56,IF(M286&lt;&gt;"",M286/1.56,""))))</f>
        <v/>
      </c>
      <c r="U286" s="3" t="n"/>
      <c r="V286" s="3" t="n"/>
      <c r="W286" s="3" t="n">
        <v>1213.8</v>
      </c>
      <c r="X286" s="4" t="n">
        <v>103</v>
      </c>
      <c r="Y286" s="5" t="n"/>
      <c r="Z286" s="4">
        <f>IF(L286&lt;&gt;"",SQRT(3)*G286*L286/1000,"")</f>
        <v/>
      </c>
      <c r="AA286" t="inlineStr">
        <is>
          <t>Displacement_CFH=10373.2</t>
        </is>
      </c>
      <c r="AB286" t="inlineStr">
        <is>
          <t>Dorin_RLA_230_460_3ph_60Hz.xlsx</t>
        </is>
      </c>
      <c r="AC286" t="inlineStr">
        <is>
          <t>DORIN_H_60Hz_3ph</t>
        </is>
      </c>
    </row>
    <row r="287">
      <c r="A287" t="inlineStr">
        <is>
          <t>DORIN</t>
        </is>
      </c>
      <c r="B287" t="inlineStr">
        <is>
          <t>H9000CC</t>
        </is>
      </c>
      <c r="D287" t="inlineStr">
        <is>
          <t>Reciprocating Semi-hermetic</t>
        </is>
      </c>
      <c r="E287" s="2" t="n">
        <v>3</v>
      </c>
      <c r="F287" s="2" t="n">
        <v>60</v>
      </c>
      <c r="G287" s="2" t="n">
        <v>460</v>
      </c>
      <c r="H287" t="inlineStr">
        <is>
          <t>440-480</t>
        </is>
      </c>
      <c r="I287" s="2" t="n">
        <v>440</v>
      </c>
      <c r="J287" s="2" t="n">
        <v>480</v>
      </c>
      <c r="K287" t="inlineStr">
        <is>
          <t>Wye</t>
        </is>
      </c>
      <c r="L287" s="3" t="n"/>
      <c r="M287" s="3" t="n">
        <v>148</v>
      </c>
      <c r="N287" s="3" t="n"/>
      <c r="O287" s="3" t="n"/>
      <c r="P287" s="3">
        <f>IF(L287&lt;&gt;"",L287/1.4,"")</f>
        <v/>
      </c>
      <c r="Q287" s="3">
        <f>IF(L287&lt;&gt;"",L287/1.56,"")</f>
        <v/>
      </c>
      <c r="R287" s="3">
        <f>IF(M287&lt;&gt;"",M287/1.4,"")</f>
        <v/>
      </c>
      <c r="S287" s="3">
        <f>IF(M287&lt;&gt;"",M287/1.56,"")</f>
        <v/>
      </c>
      <c r="T287" s="3">
        <f>IF(N287&lt;&gt;"",N287,IF(O287&lt;&gt;"",O287,IF(L287&lt;&gt;"",L287/1.56,IF(M287&lt;&gt;"",M287/1.56,""))))</f>
        <v/>
      </c>
      <c r="U287" s="3" t="n"/>
      <c r="V287" s="3" t="n"/>
      <c r="W287" s="3" t="n">
        <v>584</v>
      </c>
      <c r="X287" s="4" t="n">
        <v>103</v>
      </c>
      <c r="Y287" s="5" t="n"/>
      <c r="Z287" s="4">
        <f>IF(L287&lt;&gt;"",SQRT(3)*G287*L287/1000,"")</f>
        <v/>
      </c>
      <c r="AA287" t="inlineStr">
        <is>
          <t>Displacement_CFH=10373.2</t>
        </is>
      </c>
      <c r="AB287" t="inlineStr">
        <is>
          <t>Dorin_RLA_230_460_3ph_60Hz.xlsx</t>
        </is>
      </c>
      <c r="AC287" t="inlineStr">
        <is>
          <t>DORIN_H_60Hz_3ph</t>
        </is>
      </c>
    </row>
    <row r="288">
      <c r="A288" t="inlineStr">
        <is>
          <t>COPELAND</t>
        </is>
      </c>
      <c r="B288" t="inlineStr">
        <is>
          <t>2DA3-0750-FSC</t>
        </is>
      </c>
      <c r="D288" t="inlineStr">
        <is>
          <t>Reciprocating Semi-hermetic</t>
        </is>
      </c>
      <c r="E288" s="2" t="n">
        <v>3</v>
      </c>
      <c r="F288" s="2" t="n">
        <v>60</v>
      </c>
      <c r="G288" s="2" t="n">
        <v>230</v>
      </c>
      <c r="H288" t="inlineStr">
        <is>
          <t>230</t>
        </is>
      </c>
      <c r="I288" s="2" t="n">
        <v>230</v>
      </c>
      <c r="J288" s="2" t="n">
        <v>230</v>
      </c>
      <c r="L288" s="3" t="n"/>
      <c r="M288" s="3" t="n"/>
      <c r="N288" s="3" t="n"/>
      <c r="O288" s="3" t="n"/>
      <c r="P288" s="3">
        <f>IF(L288&lt;&gt;"",L288/1.4,"")</f>
        <v/>
      </c>
      <c r="Q288" s="3">
        <f>IF(L288&lt;&gt;"",L288/1.56,"")</f>
        <v/>
      </c>
      <c r="R288" s="3">
        <f>IF(M288&lt;&gt;"",M288/1.4,"")</f>
        <v/>
      </c>
      <c r="S288" s="3">
        <f>IF(M288&lt;&gt;"",M288/1.56,"")</f>
        <v/>
      </c>
      <c r="T288" s="3">
        <f>IF(N288&lt;&gt;"",N288,IF(O288&lt;&gt;"",O288,IF(L288&lt;&gt;"",L288/1.56,IF(M288&lt;&gt;"",M288/1.56,""))))</f>
        <v/>
      </c>
      <c r="U288" s="3" t="n">
        <v>130</v>
      </c>
      <c r="V288" s="3" t="n">
        <v>85</v>
      </c>
      <c r="W288" s="3" t="n"/>
      <c r="X288" s="4" t="n"/>
      <c r="Y288" s="5" t="n">
        <v>0.41</v>
      </c>
      <c r="Z288" s="4">
        <f>IF(L288&lt;&gt;"",SQRT(3)*G288*L288/1000,"")</f>
        <v/>
      </c>
      <c r="AA288" t="inlineStr">
        <is>
          <t>Source=Copeland 2D/3D/4D/4R/6D/8D/9R compressors (pdf) p1; PWS_RLA=16.3</t>
        </is>
      </c>
      <c r="AB288" t="inlineStr">
        <is>
          <t>Copeland_RLA_230_460_3ph_60Hz.xlsx</t>
        </is>
      </c>
      <c r="AC288" t="inlineStr">
        <is>
          <t>Recip_2D-9R</t>
        </is>
      </c>
    </row>
    <row r="289">
      <c r="A289" t="inlineStr">
        <is>
          <t>COPELAND</t>
        </is>
      </c>
      <c r="B289" t="inlineStr">
        <is>
          <t>2DA8-0750-FSC</t>
        </is>
      </c>
      <c r="D289" t="inlineStr">
        <is>
          <t>Reciprocating Semi-hermetic</t>
        </is>
      </c>
      <c r="E289" s="2" t="n">
        <v>3</v>
      </c>
      <c r="F289" s="2" t="n">
        <v>60</v>
      </c>
      <c r="G289" s="2" t="n">
        <v>230</v>
      </c>
      <c r="H289" t="inlineStr">
        <is>
          <t>230</t>
        </is>
      </c>
      <c r="I289" s="2" t="n">
        <v>230</v>
      </c>
      <c r="J289" s="2" t="n">
        <v>230</v>
      </c>
      <c r="L289" s="3" t="n"/>
      <c r="M289" s="3" t="n"/>
      <c r="N289" s="3" t="n"/>
      <c r="O289" s="3" t="n"/>
      <c r="P289" s="3">
        <f>IF(L289&lt;&gt;"",L289/1.4,"")</f>
        <v/>
      </c>
      <c r="Q289" s="3">
        <f>IF(L289&lt;&gt;"",L289/1.56,"")</f>
        <v/>
      </c>
      <c r="R289" s="3">
        <f>IF(M289&lt;&gt;"",M289/1.4,"")</f>
        <v/>
      </c>
      <c r="S289" s="3">
        <f>IF(M289&lt;&gt;"",M289/1.56,"")</f>
        <v/>
      </c>
      <c r="T289" s="3">
        <f>IF(N289&lt;&gt;"",N289,IF(O289&lt;&gt;"",O289,IF(L289&lt;&gt;"",L289/1.56,IF(M289&lt;&gt;"",M289/1.56,""))))</f>
        <v/>
      </c>
      <c r="U289" s="3" t="n">
        <v>130</v>
      </c>
      <c r="V289" s="3" t="n">
        <v>85</v>
      </c>
      <c r="W289" s="3" t="n"/>
      <c r="X289" s="4" t="n"/>
      <c r="Y289" s="5" t="n">
        <v>0.41</v>
      </c>
      <c r="Z289" s="4">
        <f>IF(L289&lt;&gt;"",SQRT(3)*G289*L289/1000,"")</f>
        <v/>
      </c>
      <c r="AA289" t="inlineStr">
        <is>
          <t>Source=Copeland 2D/3D/4D/4R/6D/8D/9R compressors (pdf) p1; PWS_RLA=16.3</t>
        </is>
      </c>
      <c r="AB289" t="inlineStr">
        <is>
          <t>Copeland_RLA_230_460_3ph_60Hz.xlsx</t>
        </is>
      </c>
      <c r="AC289" t="inlineStr">
        <is>
          <t>Recip_2D-9R</t>
        </is>
      </c>
    </row>
    <row r="290">
      <c r="A290" t="inlineStr">
        <is>
          <t>COPELAND</t>
        </is>
      </c>
      <c r="B290" t="inlineStr">
        <is>
          <t>4DA1-1000-FSD</t>
        </is>
      </c>
      <c r="D290" t="inlineStr">
        <is>
          <t>Reciprocating Semi-hermetic</t>
        </is>
      </c>
      <c r="E290" s="2" t="n">
        <v>3</v>
      </c>
      <c r="F290" s="2" t="n">
        <v>60</v>
      </c>
      <c r="G290" s="2" t="n">
        <v>460</v>
      </c>
      <c r="H290" t="inlineStr">
        <is>
          <t>460</t>
        </is>
      </c>
      <c r="I290" s="2" t="n">
        <v>460</v>
      </c>
      <c r="J290" s="2" t="n">
        <v>460</v>
      </c>
      <c r="L290" s="3" t="n"/>
      <c r="M290" s="3" t="n"/>
      <c r="N290" s="3" t="n">
        <v>25.7</v>
      </c>
      <c r="O290" s="3" t="n"/>
      <c r="P290" s="3">
        <f>IF(L290&lt;&gt;"",L290/1.4,"")</f>
        <v/>
      </c>
      <c r="Q290" s="3">
        <f>IF(L290&lt;&gt;"",L290/1.56,"")</f>
        <v/>
      </c>
      <c r="R290" s="3">
        <f>IF(M290&lt;&gt;"",M290/1.4,"")</f>
        <v/>
      </c>
      <c r="S290" s="3">
        <f>IF(M290&lt;&gt;"",M290/1.56,"")</f>
        <v/>
      </c>
      <c r="T290" s="3">
        <f>IF(N290&lt;&gt;"",N290,IF(O290&lt;&gt;"",O290,IF(L290&lt;&gt;"",L290/1.56,IF(M290&lt;&gt;"",M290/1.56,""))))</f>
        <v/>
      </c>
      <c r="U290" s="3" t="n">
        <v>110</v>
      </c>
      <c r="V290" s="3" t="n">
        <v>66</v>
      </c>
      <c r="W290" s="3" t="n"/>
      <c r="X290" s="4" t="n"/>
      <c r="Y290" s="5" t="n">
        <v>1.02</v>
      </c>
      <c r="Z290" s="4">
        <f>IF(L290&lt;&gt;"",SQRT(3)*G290*L290/1000,"")</f>
        <v/>
      </c>
      <c r="AA290" t="inlineStr">
        <is>
          <t>Source=Copeland 2D/3D/4D/4R/6D/8D/9R compressors (pdf) p3; PWS_RLA=12.9</t>
        </is>
      </c>
      <c r="AB290" t="inlineStr">
        <is>
          <t>Copeland_RLA_230_460_3ph_60Hz.xlsx</t>
        </is>
      </c>
      <c r="AC290" t="inlineStr">
        <is>
          <t>Recip_2D-9R</t>
        </is>
      </c>
    </row>
    <row r="291">
      <c r="A291" t="inlineStr">
        <is>
          <t>COPELAND</t>
        </is>
      </c>
      <c r="B291" t="inlineStr">
        <is>
          <t>4DA1-1000-TSK</t>
        </is>
      </c>
      <c r="D291" t="inlineStr">
        <is>
          <t>Reciprocating Semi-hermetic</t>
        </is>
      </c>
      <c r="E291" s="2" t="n">
        <v>3</v>
      </c>
      <c r="F291" s="2" t="n">
        <v>60</v>
      </c>
      <c r="G291" s="2" t="n">
        <v>230</v>
      </c>
      <c r="H291" t="inlineStr">
        <is>
          <t>208/230</t>
        </is>
      </c>
      <c r="I291" s="2" t="n">
        <v>208</v>
      </c>
      <c r="J291" s="2" t="n">
        <v>230</v>
      </c>
      <c r="L291" s="3" t="n"/>
      <c r="M291" s="3" t="n"/>
      <c r="N291" s="3" t="n">
        <v>53.6</v>
      </c>
      <c r="O291" s="3" t="n"/>
      <c r="P291" s="3">
        <f>IF(L291&lt;&gt;"",L291/1.4,"")</f>
        <v/>
      </c>
      <c r="Q291" s="3">
        <f>IF(L291&lt;&gt;"",L291/1.56,"")</f>
        <v/>
      </c>
      <c r="R291" s="3">
        <f>IF(M291&lt;&gt;"",M291/1.4,"")</f>
        <v/>
      </c>
      <c r="S291" s="3">
        <f>IF(M291&lt;&gt;"",M291/1.56,"")</f>
        <v/>
      </c>
      <c r="T291" s="3">
        <f>IF(N291&lt;&gt;"",N291,IF(O291&lt;&gt;"",O291,IF(L291&lt;&gt;"",L291/1.56,IF(M291&lt;&gt;"",M291/1.56,""))))</f>
        <v/>
      </c>
      <c r="U291" s="3" t="n">
        <v>240</v>
      </c>
      <c r="V291" s="3" t="n">
        <v>140</v>
      </c>
      <c r="W291" s="3" t="n"/>
      <c r="X291" s="4" t="n"/>
      <c r="Y291" s="5" t="n">
        <v>0.259</v>
      </c>
      <c r="Z291" s="4">
        <f>IF(L291&lt;&gt;"",SQRT(3)*G291*L291/1000,"")</f>
        <v/>
      </c>
      <c r="AA291" t="inlineStr">
        <is>
          <t>Source=Copeland 2D/3D/4D/4R/6D/8D/9R compressors (pdf) p3; PWS_RLA=26.8</t>
        </is>
      </c>
      <c r="AB291" t="inlineStr">
        <is>
          <t>Copeland_RLA_230_460_3ph_60Hz.xlsx</t>
        </is>
      </c>
      <c r="AC291" t="inlineStr">
        <is>
          <t>Recip_2D-9R</t>
        </is>
      </c>
    </row>
    <row r="292">
      <c r="A292" t="inlineStr">
        <is>
          <t>COPELAND</t>
        </is>
      </c>
      <c r="B292" t="inlineStr">
        <is>
          <t>4DA1-1000-TSK</t>
        </is>
      </c>
      <c r="D292" t="inlineStr">
        <is>
          <t>Reciprocating Semi-hermetic</t>
        </is>
      </c>
      <c r="E292" s="2" t="n">
        <v>3</v>
      </c>
      <c r="F292" s="2" t="n">
        <v>60</v>
      </c>
      <c r="G292" s="2" t="n">
        <v>460</v>
      </c>
      <c r="H292" t="inlineStr">
        <is>
          <t>460</t>
        </is>
      </c>
      <c r="I292" s="2" t="n">
        <v>460</v>
      </c>
      <c r="J292" s="2" t="n">
        <v>460</v>
      </c>
      <c r="L292" s="3" t="n"/>
      <c r="M292" s="3" t="n"/>
      <c r="N292" s="3" t="n">
        <v>26.8</v>
      </c>
      <c r="O292" s="3" t="n"/>
      <c r="P292" s="3">
        <f>IF(L292&lt;&gt;"",L292/1.4,"")</f>
        <v/>
      </c>
      <c r="Q292" s="3">
        <f>IF(L292&lt;&gt;"",L292/1.56,"")</f>
        <v/>
      </c>
      <c r="R292" s="3">
        <f>IF(M292&lt;&gt;"",M292/1.4,"")</f>
        <v/>
      </c>
      <c r="S292" s="3">
        <f>IF(M292&lt;&gt;"",M292/1.56,"")</f>
        <v/>
      </c>
      <c r="T292" s="3">
        <f>IF(N292&lt;&gt;"",N292,IF(O292&lt;&gt;"",O292,IF(L292&lt;&gt;"",L292/1.56,IF(M292&lt;&gt;"",M292/1.56,""))))</f>
        <v/>
      </c>
      <c r="U292" s="3" t="n">
        <v>120</v>
      </c>
      <c r="V292" s="3" t="n"/>
      <c r="W292" s="3" t="n"/>
      <c r="X292" s="4" t="n"/>
      <c r="Y292" s="5" t="n">
        <v>1.036</v>
      </c>
      <c r="Z292" s="4">
        <f>IF(L292&lt;&gt;"",SQRT(3)*G292*L292/1000,"")</f>
        <v/>
      </c>
      <c r="AA292" t="inlineStr">
        <is>
          <t>Source=Copeland 2D/3D/4D/4R/6D/8D/9R compressors (pdf) p3</t>
        </is>
      </c>
      <c r="AB292" t="inlineStr">
        <is>
          <t>Copeland_RLA_230_460_3ph_60Hz.xlsx</t>
        </is>
      </c>
      <c r="AC292" t="inlineStr">
        <is>
          <t>Recip_2D-9R</t>
        </is>
      </c>
    </row>
    <row r="293">
      <c r="A293" t="inlineStr">
        <is>
          <t>COPELAND</t>
        </is>
      </c>
      <c r="B293" t="inlineStr">
        <is>
          <t>4DA1-2000-FSD</t>
        </is>
      </c>
      <c r="D293" t="inlineStr">
        <is>
          <t>Reciprocating Semi-hermetic</t>
        </is>
      </c>
      <c r="E293" s="2" t="n">
        <v>3</v>
      </c>
      <c r="F293" s="2" t="n">
        <v>60</v>
      </c>
      <c r="G293" s="2" t="n">
        <v>460</v>
      </c>
      <c r="H293" t="inlineStr">
        <is>
          <t>460</t>
        </is>
      </c>
      <c r="I293" s="2" t="n">
        <v>460</v>
      </c>
      <c r="J293" s="2" t="n">
        <v>460</v>
      </c>
      <c r="L293" s="3" t="n"/>
      <c r="M293" s="3" t="n"/>
      <c r="N293" s="3" t="n">
        <v>32.1</v>
      </c>
      <c r="O293" s="3" t="n"/>
      <c r="P293" s="3">
        <f>IF(L293&lt;&gt;"",L293/1.4,"")</f>
        <v/>
      </c>
      <c r="Q293" s="3">
        <f>IF(L293&lt;&gt;"",L293/1.56,"")</f>
        <v/>
      </c>
      <c r="R293" s="3">
        <f>IF(M293&lt;&gt;"",M293/1.4,"")</f>
        <v/>
      </c>
      <c r="S293" s="3">
        <f>IF(M293&lt;&gt;"",M293/1.56,"")</f>
        <v/>
      </c>
      <c r="T293" s="3">
        <f>IF(N293&lt;&gt;"",N293,IF(O293&lt;&gt;"",O293,IF(L293&lt;&gt;"",L293/1.56,IF(M293&lt;&gt;"",M293/1.56,""))))</f>
        <v/>
      </c>
      <c r="U293" s="3" t="n">
        <v>140</v>
      </c>
      <c r="V293" s="3" t="n">
        <v>84</v>
      </c>
      <c r="W293" s="3" t="n"/>
      <c r="X293" s="4" t="n"/>
      <c r="Y293" s="5" t="n">
        <v>0.757</v>
      </c>
      <c r="Z293" s="4">
        <f>IF(L293&lt;&gt;"",SQRT(3)*G293*L293/1000,"")</f>
        <v/>
      </c>
      <c r="AA293" t="inlineStr">
        <is>
          <t>Source=Copeland 2D/3D/4D/4R/6D/8D/9R compressors (pdf) p3; PWS_RLA=16.1</t>
        </is>
      </c>
      <c r="AB293" t="inlineStr">
        <is>
          <t>Copeland_RLA_230_460_3ph_60Hz.xlsx</t>
        </is>
      </c>
      <c r="AC293" t="inlineStr">
        <is>
          <t>Recip_2D-9R</t>
        </is>
      </c>
    </row>
    <row r="294">
      <c r="A294" t="inlineStr">
        <is>
          <t>COPELAND</t>
        </is>
      </c>
      <c r="B294" t="inlineStr">
        <is>
          <t>4DA1-2000-TSK</t>
        </is>
      </c>
      <c r="D294" t="inlineStr">
        <is>
          <t>Reciprocating Semi-hermetic</t>
        </is>
      </c>
      <c r="E294" s="2" t="n">
        <v>3</v>
      </c>
      <c r="F294" s="2" t="n">
        <v>60</v>
      </c>
      <c r="G294" s="2" t="n">
        <v>230</v>
      </c>
      <c r="H294" t="inlineStr">
        <is>
          <t>208/230</t>
        </is>
      </c>
      <c r="I294" s="2" t="n">
        <v>208</v>
      </c>
      <c r="J294" s="2" t="n">
        <v>230</v>
      </c>
      <c r="L294" s="3" t="n"/>
      <c r="M294" s="3" t="n"/>
      <c r="N294" s="3" t="n">
        <v>70</v>
      </c>
      <c r="O294" s="3" t="n"/>
      <c r="P294" s="3">
        <f>IF(L294&lt;&gt;"",L294/1.4,"")</f>
        <v/>
      </c>
      <c r="Q294" s="3">
        <f>IF(L294&lt;&gt;"",L294/1.56,"")</f>
        <v/>
      </c>
      <c r="R294" s="3">
        <f>IF(M294&lt;&gt;"",M294/1.4,"")</f>
        <v/>
      </c>
      <c r="S294" s="3">
        <f>IF(M294&lt;&gt;"",M294/1.56,"")</f>
        <v/>
      </c>
      <c r="T294" s="3">
        <f>IF(N294&lt;&gt;"",N294,IF(O294&lt;&gt;"",O294,IF(L294&lt;&gt;"",L294/1.56,IF(M294&lt;&gt;"",M294/1.56,""))))</f>
        <v/>
      </c>
      <c r="U294" s="3" t="n">
        <v>308</v>
      </c>
      <c r="V294" s="3" t="n">
        <v>188</v>
      </c>
      <c r="W294" s="3" t="n"/>
      <c r="X294" s="4" t="n"/>
      <c r="Y294" s="5" t="n">
        <v>0.174</v>
      </c>
      <c r="Z294" s="4">
        <f>IF(L294&lt;&gt;"",SQRT(3)*G294*L294/1000,"")</f>
        <v/>
      </c>
      <c r="AA294" t="inlineStr">
        <is>
          <t>Source=Copeland 2D/3D/4D/4R/6D/8D/9R compressors (pdf) p3; PWS_RLA=35.0</t>
        </is>
      </c>
      <c r="AB294" t="inlineStr">
        <is>
          <t>Copeland_RLA_230_460_3ph_60Hz.xlsx</t>
        </is>
      </c>
      <c r="AC294" t="inlineStr">
        <is>
          <t>Recip_2D-9R</t>
        </is>
      </c>
    </row>
    <row r="295">
      <c r="A295" t="inlineStr">
        <is>
          <t>COPELAND</t>
        </is>
      </c>
      <c r="B295" t="inlineStr">
        <is>
          <t>4DA1-2000-TSK</t>
        </is>
      </c>
      <c r="D295" t="inlineStr">
        <is>
          <t>Reciprocating Semi-hermetic</t>
        </is>
      </c>
      <c r="E295" s="2" t="n">
        <v>3</v>
      </c>
      <c r="F295" s="2" t="n">
        <v>60</v>
      </c>
      <c r="G295" s="2" t="n">
        <v>460</v>
      </c>
      <c r="H295" t="inlineStr">
        <is>
          <t>460</t>
        </is>
      </c>
      <c r="I295" s="2" t="n">
        <v>460</v>
      </c>
      <c r="J295" s="2" t="n">
        <v>460</v>
      </c>
      <c r="L295" s="3" t="n"/>
      <c r="M295" s="3" t="n"/>
      <c r="N295" s="3" t="n">
        <v>35</v>
      </c>
      <c r="O295" s="3" t="n"/>
      <c r="P295" s="3">
        <f>IF(L295&lt;&gt;"",L295/1.4,"")</f>
        <v/>
      </c>
      <c r="Q295" s="3">
        <f>IF(L295&lt;&gt;"",L295/1.56,"")</f>
        <v/>
      </c>
      <c r="R295" s="3">
        <f>IF(M295&lt;&gt;"",M295/1.4,"")</f>
        <v/>
      </c>
      <c r="S295" s="3">
        <f>IF(M295&lt;&gt;"",M295/1.56,"")</f>
        <v/>
      </c>
      <c r="T295" s="3">
        <f>IF(N295&lt;&gt;"",N295,IF(O295&lt;&gt;"",O295,IF(L295&lt;&gt;"",L295/1.56,IF(M295&lt;&gt;"",M295/1.56,""))))</f>
        <v/>
      </c>
      <c r="U295" s="3" t="n">
        <v>154</v>
      </c>
      <c r="V295" s="3" t="n"/>
      <c r="W295" s="3" t="n"/>
      <c r="X295" s="4" t="n"/>
      <c r="Y295" s="5" t="n">
        <v>0.696</v>
      </c>
      <c r="Z295" s="4">
        <f>IF(L295&lt;&gt;"",SQRT(3)*G295*L295/1000,"")</f>
        <v/>
      </c>
      <c r="AA295" t="inlineStr">
        <is>
          <t>Source=Copeland 2D/3D/4D/4R/6D/8D/9R compressors (pdf) p3</t>
        </is>
      </c>
      <c r="AB295" t="inlineStr">
        <is>
          <t>Copeland_RLA_230_460_3ph_60Hz.xlsx</t>
        </is>
      </c>
      <c r="AC295" t="inlineStr">
        <is>
          <t>Recip_2D-9R</t>
        </is>
      </c>
    </row>
    <row r="296">
      <c r="A296" t="inlineStr">
        <is>
          <t>COPELAND</t>
        </is>
      </c>
      <c r="B296" t="inlineStr">
        <is>
          <t>4DA1-2000-TXK</t>
        </is>
      </c>
      <c r="D296" t="inlineStr">
        <is>
          <t>Reciprocating Semi-hermetic</t>
        </is>
      </c>
      <c r="E296" s="2" t="n">
        <v>3</v>
      </c>
      <c r="F296" s="2" t="n">
        <v>60</v>
      </c>
      <c r="G296" s="2" t="n">
        <v>230</v>
      </c>
      <c r="H296" t="inlineStr">
        <is>
          <t>208/230</t>
        </is>
      </c>
      <c r="I296" s="2" t="n">
        <v>208</v>
      </c>
      <c r="J296" s="2" t="n">
        <v>230</v>
      </c>
      <c r="L296" s="3" t="n"/>
      <c r="M296" s="3" t="n"/>
      <c r="N296" s="3" t="n"/>
      <c r="O296" s="3" t="n"/>
      <c r="P296" s="3">
        <f>IF(L296&lt;&gt;"",L296/1.4,"")</f>
        <v/>
      </c>
      <c r="Q296" s="3">
        <f>IF(L296&lt;&gt;"",L296/1.56,"")</f>
        <v/>
      </c>
      <c r="R296" s="3">
        <f>IF(M296&lt;&gt;"",M296/1.4,"")</f>
        <v/>
      </c>
      <c r="S296" s="3">
        <f>IF(M296&lt;&gt;"",M296/1.56,"")</f>
        <v/>
      </c>
      <c r="T296" s="3">
        <f>IF(N296&lt;&gt;"",N296,IF(O296&lt;&gt;"",O296,IF(L296&lt;&gt;"",L296/1.56,IF(M296&lt;&gt;"",M296/1.56,""))))</f>
        <v/>
      </c>
      <c r="U296" s="3" t="n">
        <v>308</v>
      </c>
      <c r="V296" s="3" t="n">
        <v>188</v>
      </c>
      <c r="W296" s="3" t="n"/>
      <c r="X296" s="4" t="n"/>
      <c r="Y296" s="5" t="n">
        <v>0.174</v>
      </c>
      <c r="Z296" s="4">
        <f>IF(L296&lt;&gt;"",SQRT(3)*G296*L296/1000,"")</f>
        <v/>
      </c>
      <c r="AA296" t="inlineStr">
        <is>
          <t>Source=Copeland 2D/3D/4D/4R/6D/8D/9R compressors (pdf) p3; PWS_RLA=35.0</t>
        </is>
      </c>
      <c r="AB296" t="inlineStr">
        <is>
          <t>Copeland_RLA_230_460_3ph_60Hz.xlsx</t>
        </is>
      </c>
      <c r="AC296" t="inlineStr">
        <is>
          <t>Recip_2D-9R</t>
        </is>
      </c>
    </row>
    <row r="297">
      <c r="A297" t="inlineStr">
        <is>
          <t>COPELAND</t>
        </is>
      </c>
      <c r="B297" t="inlineStr">
        <is>
          <t>4DA1-2000-TXK</t>
        </is>
      </c>
      <c r="D297" t="inlineStr">
        <is>
          <t>Reciprocating Semi-hermetic</t>
        </is>
      </c>
      <c r="E297" s="2" t="n">
        <v>3</v>
      </c>
      <c r="F297" s="2" t="n">
        <v>60</v>
      </c>
      <c r="G297" s="2" t="n">
        <v>460</v>
      </c>
      <c r="H297" t="inlineStr">
        <is>
          <t>460</t>
        </is>
      </c>
      <c r="I297" s="2" t="n">
        <v>460</v>
      </c>
      <c r="J297" s="2" t="n">
        <v>460</v>
      </c>
      <c r="L297" s="3" t="n"/>
      <c r="M297" s="3" t="n"/>
      <c r="N297" s="3" t="n"/>
      <c r="O297" s="3" t="n"/>
      <c r="P297" s="3">
        <f>IF(L297&lt;&gt;"",L297/1.4,"")</f>
        <v/>
      </c>
      <c r="Q297" s="3">
        <f>IF(L297&lt;&gt;"",L297/1.56,"")</f>
        <v/>
      </c>
      <c r="R297" s="3">
        <f>IF(M297&lt;&gt;"",M297/1.4,"")</f>
        <v/>
      </c>
      <c r="S297" s="3">
        <f>IF(M297&lt;&gt;"",M297/1.56,"")</f>
        <v/>
      </c>
      <c r="T297" s="3">
        <f>IF(N297&lt;&gt;"",N297,IF(O297&lt;&gt;"",O297,IF(L297&lt;&gt;"",L297/1.56,IF(M297&lt;&gt;"",M297/1.56,""))))</f>
        <v/>
      </c>
      <c r="U297" s="3" t="n">
        <v>154</v>
      </c>
      <c r="V297" s="3" t="n"/>
      <c r="W297" s="3" t="n"/>
      <c r="X297" s="4" t="n"/>
      <c r="Y297" s="5" t="n">
        <v>0.696</v>
      </c>
      <c r="Z297" s="4">
        <f>IF(L297&lt;&gt;"",SQRT(3)*G297*L297/1000,"")</f>
        <v/>
      </c>
      <c r="AA297" t="inlineStr">
        <is>
          <t>Source=Copeland 2D/3D/4D/4R/6D/8D/9R compressors (pdf) p3</t>
        </is>
      </c>
      <c r="AB297" t="inlineStr">
        <is>
          <t>Copeland_RLA_230_460_3ph_60Hz.xlsx</t>
        </is>
      </c>
      <c r="AC297" t="inlineStr">
        <is>
          <t>Recip_2D-9R</t>
        </is>
      </c>
    </row>
    <row r="298">
      <c r="A298" t="inlineStr">
        <is>
          <t>COPELAND</t>
        </is>
      </c>
      <c r="B298" t="inlineStr">
        <is>
          <t>4DA1A1000-FSD</t>
        </is>
      </c>
      <c r="D298" t="inlineStr">
        <is>
          <t>Reciprocating Semi-hermetic</t>
        </is>
      </c>
      <c r="E298" s="2" t="n">
        <v>3</v>
      </c>
      <c r="F298" s="2" t="n">
        <v>60</v>
      </c>
      <c r="G298" s="2" t="n">
        <v>460</v>
      </c>
      <c r="H298" t="inlineStr">
        <is>
          <t>460</t>
        </is>
      </c>
      <c r="I298" s="2" t="n">
        <v>460</v>
      </c>
      <c r="J298" s="2" t="n">
        <v>460</v>
      </c>
      <c r="L298" s="3" t="n"/>
      <c r="M298" s="3" t="n"/>
      <c r="N298" s="3" t="n">
        <v>25.7</v>
      </c>
      <c r="O298" s="3" t="n"/>
      <c r="P298" s="3">
        <f>IF(L298&lt;&gt;"",L298/1.4,"")</f>
        <v/>
      </c>
      <c r="Q298" s="3">
        <f>IF(L298&lt;&gt;"",L298/1.56,"")</f>
        <v/>
      </c>
      <c r="R298" s="3">
        <f>IF(M298&lt;&gt;"",M298/1.4,"")</f>
        <v/>
      </c>
      <c r="S298" s="3">
        <f>IF(M298&lt;&gt;"",M298/1.56,"")</f>
        <v/>
      </c>
      <c r="T298" s="3">
        <f>IF(N298&lt;&gt;"",N298,IF(O298&lt;&gt;"",O298,IF(L298&lt;&gt;"",L298/1.56,IF(M298&lt;&gt;"",M298/1.56,""))))</f>
        <v/>
      </c>
      <c r="U298" s="3" t="n">
        <v>110</v>
      </c>
      <c r="V298" s="3" t="n">
        <v>66</v>
      </c>
      <c r="W298" s="3" t="n"/>
      <c r="X298" s="4" t="n"/>
      <c r="Y298" s="5" t="n">
        <v>1.02</v>
      </c>
      <c r="Z298" s="4">
        <f>IF(L298&lt;&gt;"",SQRT(3)*G298*L298/1000,"")</f>
        <v/>
      </c>
      <c r="AA298" t="inlineStr">
        <is>
          <t>Source=Copeland 2D/3D/4D/4R/6D/8D/9R compressors (pdf) p3; PWS_RLA=12.9</t>
        </is>
      </c>
      <c r="AB298" t="inlineStr">
        <is>
          <t>Copeland_RLA_230_460_3ph_60Hz.xlsx</t>
        </is>
      </c>
      <c r="AC298" t="inlineStr">
        <is>
          <t>Recip_2D-9R</t>
        </is>
      </c>
    </row>
    <row r="299">
      <c r="A299" t="inlineStr">
        <is>
          <t>COPELAND</t>
        </is>
      </c>
      <c r="B299" t="inlineStr">
        <is>
          <t>4DA1A1000-TSK</t>
        </is>
      </c>
      <c r="D299" t="inlineStr">
        <is>
          <t>Reciprocating Semi-hermetic</t>
        </is>
      </c>
      <c r="E299" s="2" t="n">
        <v>3</v>
      </c>
      <c r="F299" s="2" t="n">
        <v>60</v>
      </c>
      <c r="G299" s="2" t="n">
        <v>230</v>
      </c>
      <c r="H299" t="inlineStr">
        <is>
          <t>208/230</t>
        </is>
      </c>
      <c r="I299" s="2" t="n">
        <v>208</v>
      </c>
      <c r="J299" s="2" t="n">
        <v>230</v>
      </c>
      <c r="L299" s="3" t="n"/>
      <c r="M299" s="3" t="n"/>
      <c r="N299" s="3" t="n">
        <v>53.6</v>
      </c>
      <c r="O299" s="3" t="n"/>
      <c r="P299" s="3">
        <f>IF(L299&lt;&gt;"",L299/1.4,"")</f>
        <v/>
      </c>
      <c r="Q299" s="3">
        <f>IF(L299&lt;&gt;"",L299/1.56,"")</f>
        <v/>
      </c>
      <c r="R299" s="3">
        <f>IF(M299&lt;&gt;"",M299/1.4,"")</f>
        <v/>
      </c>
      <c r="S299" s="3">
        <f>IF(M299&lt;&gt;"",M299/1.56,"")</f>
        <v/>
      </c>
      <c r="T299" s="3">
        <f>IF(N299&lt;&gt;"",N299,IF(O299&lt;&gt;"",O299,IF(L299&lt;&gt;"",L299/1.56,IF(M299&lt;&gt;"",M299/1.56,""))))</f>
        <v/>
      </c>
      <c r="U299" s="3" t="n">
        <v>240</v>
      </c>
      <c r="V299" s="3" t="n">
        <v>140</v>
      </c>
      <c r="W299" s="3" t="n"/>
      <c r="X299" s="4" t="n"/>
      <c r="Y299" s="5" t="n">
        <v>0.259</v>
      </c>
      <c r="Z299" s="4">
        <f>IF(L299&lt;&gt;"",SQRT(3)*G299*L299/1000,"")</f>
        <v/>
      </c>
      <c r="AA299" t="inlineStr">
        <is>
          <t>Source=Copeland 2D/3D/4D/4R/6D/8D/9R compressors (pdf) p4; PWS_RLA=26.8</t>
        </is>
      </c>
      <c r="AB299" t="inlineStr">
        <is>
          <t>Copeland_RLA_230_460_3ph_60Hz.xlsx</t>
        </is>
      </c>
      <c r="AC299" t="inlineStr">
        <is>
          <t>Recip_2D-9R</t>
        </is>
      </c>
    </row>
    <row r="300">
      <c r="A300" t="inlineStr">
        <is>
          <t>COPELAND</t>
        </is>
      </c>
      <c r="B300" t="inlineStr">
        <is>
          <t>4DA1A1000-TSK</t>
        </is>
      </c>
      <c r="D300" t="inlineStr">
        <is>
          <t>Reciprocating Semi-hermetic</t>
        </is>
      </c>
      <c r="E300" s="2" t="n">
        <v>3</v>
      </c>
      <c r="F300" s="2" t="n">
        <v>60</v>
      </c>
      <c r="G300" s="2" t="n">
        <v>460</v>
      </c>
      <c r="H300" t="inlineStr">
        <is>
          <t>460</t>
        </is>
      </c>
      <c r="I300" s="2" t="n">
        <v>460</v>
      </c>
      <c r="J300" s="2" t="n">
        <v>460</v>
      </c>
      <c r="L300" s="3" t="n"/>
      <c r="M300" s="3" t="n"/>
      <c r="N300" s="3" t="n">
        <v>26.8</v>
      </c>
      <c r="O300" s="3" t="n"/>
      <c r="P300" s="3">
        <f>IF(L300&lt;&gt;"",L300/1.4,"")</f>
        <v/>
      </c>
      <c r="Q300" s="3">
        <f>IF(L300&lt;&gt;"",L300/1.56,"")</f>
        <v/>
      </c>
      <c r="R300" s="3">
        <f>IF(M300&lt;&gt;"",M300/1.4,"")</f>
        <v/>
      </c>
      <c r="S300" s="3">
        <f>IF(M300&lt;&gt;"",M300/1.56,"")</f>
        <v/>
      </c>
      <c r="T300" s="3">
        <f>IF(N300&lt;&gt;"",N300,IF(O300&lt;&gt;"",O300,IF(L300&lt;&gt;"",L300/1.56,IF(M300&lt;&gt;"",M300/1.56,""))))</f>
        <v/>
      </c>
      <c r="U300" s="3" t="n">
        <v>120</v>
      </c>
      <c r="V300" s="3" t="n"/>
      <c r="W300" s="3" t="n"/>
      <c r="X300" s="4" t="n"/>
      <c r="Y300" s="5" t="n">
        <v>1.036</v>
      </c>
      <c r="Z300" s="4">
        <f>IF(L300&lt;&gt;"",SQRT(3)*G300*L300/1000,"")</f>
        <v/>
      </c>
      <c r="AA300" t="inlineStr">
        <is>
          <t>Source=Copeland 2D/3D/4D/4R/6D/8D/9R compressors (pdf) p4</t>
        </is>
      </c>
      <c r="AB300" t="inlineStr">
        <is>
          <t>Copeland_RLA_230_460_3ph_60Hz.xlsx</t>
        </is>
      </c>
      <c r="AC300" t="inlineStr">
        <is>
          <t>Recip_2D-9R</t>
        </is>
      </c>
    </row>
    <row r="301">
      <c r="A301" t="inlineStr">
        <is>
          <t>COPELAND</t>
        </is>
      </c>
      <c r="B301" t="inlineStr">
        <is>
          <t>4DA1A2000-FSD</t>
        </is>
      </c>
      <c r="D301" t="inlineStr">
        <is>
          <t>Reciprocating Semi-hermetic</t>
        </is>
      </c>
      <c r="E301" s="2" t="n">
        <v>3</v>
      </c>
      <c r="F301" s="2" t="n">
        <v>60</v>
      </c>
      <c r="G301" s="2" t="n">
        <v>460</v>
      </c>
      <c r="H301" t="inlineStr">
        <is>
          <t>460</t>
        </is>
      </c>
      <c r="I301" s="2" t="n">
        <v>460</v>
      </c>
      <c r="J301" s="2" t="n">
        <v>460</v>
      </c>
      <c r="L301" s="3" t="n"/>
      <c r="M301" s="3" t="n"/>
      <c r="N301" s="3" t="n">
        <v>32.1</v>
      </c>
      <c r="O301" s="3" t="n"/>
      <c r="P301" s="3">
        <f>IF(L301&lt;&gt;"",L301/1.4,"")</f>
        <v/>
      </c>
      <c r="Q301" s="3">
        <f>IF(L301&lt;&gt;"",L301/1.56,"")</f>
        <v/>
      </c>
      <c r="R301" s="3">
        <f>IF(M301&lt;&gt;"",M301/1.4,"")</f>
        <v/>
      </c>
      <c r="S301" s="3">
        <f>IF(M301&lt;&gt;"",M301/1.56,"")</f>
        <v/>
      </c>
      <c r="T301" s="3">
        <f>IF(N301&lt;&gt;"",N301,IF(O301&lt;&gt;"",O301,IF(L301&lt;&gt;"",L301/1.56,IF(M301&lt;&gt;"",M301/1.56,""))))</f>
        <v/>
      </c>
      <c r="U301" s="3" t="n">
        <v>140</v>
      </c>
      <c r="V301" s="3" t="n">
        <v>84</v>
      </c>
      <c r="W301" s="3" t="n"/>
      <c r="X301" s="4" t="n"/>
      <c r="Y301" s="5" t="n">
        <v>0.757</v>
      </c>
      <c r="Z301" s="4">
        <f>IF(L301&lt;&gt;"",SQRT(3)*G301*L301/1000,"")</f>
        <v/>
      </c>
      <c r="AA301" t="inlineStr">
        <is>
          <t>Source=Copeland 2D/3D/4D/4R/6D/8D/9R compressors (pdf) p4; PWS_RLA=16.1</t>
        </is>
      </c>
      <c r="AB301" t="inlineStr">
        <is>
          <t>Copeland_RLA_230_460_3ph_60Hz.xlsx</t>
        </is>
      </c>
      <c r="AC301" t="inlineStr">
        <is>
          <t>Recip_2D-9R</t>
        </is>
      </c>
    </row>
    <row r="302">
      <c r="A302" t="inlineStr">
        <is>
          <t>COPELAND</t>
        </is>
      </c>
      <c r="B302" t="inlineStr">
        <is>
          <t>4DA1A2000-TSK</t>
        </is>
      </c>
      <c r="D302" t="inlineStr">
        <is>
          <t>Reciprocating Semi-hermetic</t>
        </is>
      </c>
      <c r="E302" s="2" t="n">
        <v>3</v>
      </c>
      <c r="F302" s="2" t="n">
        <v>60</v>
      </c>
      <c r="G302" s="2" t="n">
        <v>230</v>
      </c>
      <c r="H302" t="inlineStr">
        <is>
          <t>208/230</t>
        </is>
      </c>
      <c r="I302" s="2" t="n">
        <v>208</v>
      </c>
      <c r="J302" s="2" t="n">
        <v>230</v>
      </c>
      <c r="L302" s="3" t="n"/>
      <c r="M302" s="3" t="n"/>
      <c r="N302" s="3" t="n">
        <v>70</v>
      </c>
      <c r="O302" s="3" t="n"/>
      <c r="P302" s="3">
        <f>IF(L302&lt;&gt;"",L302/1.4,"")</f>
        <v/>
      </c>
      <c r="Q302" s="3">
        <f>IF(L302&lt;&gt;"",L302/1.56,"")</f>
        <v/>
      </c>
      <c r="R302" s="3">
        <f>IF(M302&lt;&gt;"",M302/1.4,"")</f>
        <v/>
      </c>
      <c r="S302" s="3">
        <f>IF(M302&lt;&gt;"",M302/1.56,"")</f>
        <v/>
      </c>
      <c r="T302" s="3">
        <f>IF(N302&lt;&gt;"",N302,IF(O302&lt;&gt;"",O302,IF(L302&lt;&gt;"",L302/1.56,IF(M302&lt;&gt;"",M302/1.56,""))))</f>
        <v/>
      </c>
      <c r="U302" s="3" t="n">
        <v>308</v>
      </c>
      <c r="V302" s="3" t="n">
        <v>188</v>
      </c>
      <c r="W302" s="3" t="n"/>
      <c r="X302" s="4" t="n"/>
      <c r="Y302" s="5" t="n">
        <v>0.174</v>
      </c>
      <c r="Z302" s="4">
        <f>IF(L302&lt;&gt;"",SQRT(3)*G302*L302/1000,"")</f>
        <v/>
      </c>
      <c r="AA302" t="inlineStr">
        <is>
          <t>Source=Copeland 2D/3D/4D/4R/6D/8D/9R compressors (pdf) p4; PWS_RLA=35.0</t>
        </is>
      </c>
      <c r="AB302" t="inlineStr">
        <is>
          <t>Copeland_RLA_230_460_3ph_60Hz.xlsx</t>
        </is>
      </c>
      <c r="AC302" t="inlineStr">
        <is>
          <t>Recip_2D-9R</t>
        </is>
      </c>
    </row>
    <row r="303">
      <c r="A303" t="inlineStr">
        <is>
          <t>COPELAND</t>
        </is>
      </c>
      <c r="B303" t="inlineStr">
        <is>
          <t>4DA1A2000-TSK</t>
        </is>
      </c>
      <c r="D303" t="inlineStr">
        <is>
          <t>Reciprocating Semi-hermetic</t>
        </is>
      </c>
      <c r="E303" s="2" t="n">
        <v>3</v>
      </c>
      <c r="F303" s="2" t="n">
        <v>60</v>
      </c>
      <c r="G303" s="2" t="n">
        <v>460</v>
      </c>
      <c r="H303" t="inlineStr">
        <is>
          <t>460</t>
        </is>
      </c>
      <c r="I303" s="2" t="n">
        <v>460</v>
      </c>
      <c r="J303" s="2" t="n">
        <v>460</v>
      </c>
      <c r="L303" s="3" t="n"/>
      <c r="M303" s="3" t="n"/>
      <c r="N303" s="3" t="n">
        <v>35</v>
      </c>
      <c r="O303" s="3" t="n"/>
      <c r="P303" s="3">
        <f>IF(L303&lt;&gt;"",L303/1.4,"")</f>
        <v/>
      </c>
      <c r="Q303" s="3">
        <f>IF(L303&lt;&gt;"",L303/1.56,"")</f>
        <v/>
      </c>
      <c r="R303" s="3">
        <f>IF(M303&lt;&gt;"",M303/1.4,"")</f>
        <v/>
      </c>
      <c r="S303" s="3">
        <f>IF(M303&lt;&gt;"",M303/1.56,"")</f>
        <v/>
      </c>
      <c r="T303" s="3">
        <f>IF(N303&lt;&gt;"",N303,IF(O303&lt;&gt;"",O303,IF(L303&lt;&gt;"",L303/1.56,IF(M303&lt;&gt;"",M303/1.56,""))))</f>
        <v/>
      </c>
      <c r="U303" s="3" t="n">
        <v>154</v>
      </c>
      <c r="V303" s="3" t="n"/>
      <c r="W303" s="3" t="n"/>
      <c r="X303" s="4" t="n"/>
      <c r="Y303" s="5" t="n">
        <v>0.696</v>
      </c>
      <c r="Z303" s="4">
        <f>IF(L303&lt;&gt;"",SQRT(3)*G303*L303/1000,"")</f>
        <v/>
      </c>
      <c r="AA303" t="inlineStr">
        <is>
          <t>Source=Copeland 2D/3D/4D/4R/6D/8D/9R compressors (pdf) p4</t>
        </is>
      </c>
      <c r="AB303" t="inlineStr">
        <is>
          <t>Copeland_RLA_230_460_3ph_60Hz.xlsx</t>
        </is>
      </c>
      <c r="AC303" t="inlineStr">
        <is>
          <t>Recip_2D-9R</t>
        </is>
      </c>
    </row>
    <row r="304">
      <c r="A304" t="inlineStr">
        <is>
          <t>COPELAND</t>
        </is>
      </c>
      <c r="B304" t="inlineStr">
        <is>
          <t>4DA1A2000-TXK</t>
        </is>
      </c>
      <c r="D304" t="inlineStr">
        <is>
          <t>Reciprocating Semi-hermetic</t>
        </is>
      </c>
      <c r="E304" s="2" t="n">
        <v>3</v>
      </c>
      <c r="F304" s="2" t="n">
        <v>60</v>
      </c>
      <c r="G304" s="2" t="n">
        <v>230</v>
      </c>
      <c r="H304" t="inlineStr">
        <is>
          <t>208/230</t>
        </is>
      </c>
      <c r="I304" s="2" t="n">
        <v>208</v>
      </c>
      <c r="J304" s="2" t="n">
        <v>230</v>
      </c>
      <c r="L304" s="3" t="n"/>
      <c r="M304" s="3" t="n"/>
      <c r="N304" s="3" t="n"/>
      <c r="O304" s="3" t="n"/>
      <c r="P304" s="3">
        <f>IF(L304&lt;&gt;"",L304/1.4,"")</f>
        <v/>
      </c>
      <c r="Q304" s="3">
        <f>IF(L304&lt;&gt;"",L304/1.56,"")</f>
        <v/>
      </c>
      <c r="R304" s="3">
        <f>IF(M304&lt;&gt;"",M304/1.4,"")</f>
        <v/>
      </c>
      <c r="S304" s="3">
        <f>IF(M304&lt;&gt;"",M304/1.56,"")</f>
        <v/>
      </c>
      <c r="T304" s="3">
        <f>IF(N304&lt;&gt;"",N304,IF(O304&lt;&gt;"",O304,IF(L304&lt;&gt;"",L304/1.56,IF(M304&lt;&gt;"",M304/1.56,""))))</f>
        <v/>
      </c>
      <c r="U304" s="3" t="n">
        <v>308</v>
      </c>
      <c r="V304" s="3" t="n">
        <v>188</v>
      </c>
      <c r="W304" s="3" t="n"/>
      <c r="X304" s="4" t="n"/>
      <c r="Y304" s="5" t="n">
        <v>0.174</v>
      </c>
      <c r="Z304" s="4">
        <f>IF(L304&lt;&gt;"",SQRT(3)*G304*L304/1000,"")</f>
        <v/>
      </c>
      <c r="AA304" t="inlineStr">
        <is>
          <t>Source=Copeland 2D/3D/4D/4R/6D/8D/9R compressors (pdf) p4; PWS_RLA=35.0</t>
        </is>
      </c>
      <c r="AB304" t="inlineStr">
        <is>
          <t>Copeland_RLA_230_460_3ph_60Hz.xlsx</t>
        </is>
      </c>
      <c r="AC304" t="inlineStr">
        <is>
          <t>Recip_2D-9R</t>
        </is>
      </c>
    </row>
    <row r="305">
      <c r="A305" t="inlineStr">
        <is>
          <t>COPELAND</t>
        </is>
      </c>
      <c r="B305" t="inlineStr">
        <is>
          <t>4DA1A2000-TXK</t>
        </is>
      </c>
      <c r="D305" t="inlineStr">
        <is>
          <t>Reciprocating Semi-hermetic</t>
        </is>
      </c>
      <c r="E305" s="2" t="n">
        <v>3</v>
      </c>
      <c r="F305" s="2" t="n">
        <v>60</v>
      </c>
      <c r="G305" s="2" t="n">
        <v>460</v>
      </c>
      <c r="H305" t="inlineStr">
        <is>
          <t>460</t>
        </is>
      </c>
      <c r="I305" s="2" t="n">
        <v>460</v>
      </c>
      <c r="J305" s="2" t="n">
        <v>460</v>
      </c>
      <c r="L305" s="3" t="n"/>
      <c r="M305" s="3" t="n"/>
      <c r="N305" s="3" t="n"/>
      <c r="O305" s="3" t="n"/>
      <c r="P305" s="3">
        <f>IF(L305&lt;&gt;"",L305/1.4,"")</f>
        <v/>
      </c>
      <c r="Q305" s="3">
        <f>IF(L305&lt;&gt;"",L305/1.56,"")</f>
        <v/>
      </c>
      <c r="R305" s="3">
        <f>IF(M305&lt;&gt;"",M305/1.4,"")</f>
        <v/>
      </c>
      <c r="S305" s="3">
        <f>IF(M305&lt;&gt;"",M305/1.56,"")</f>
        <v/>
      </c>
      <c r="T305" s="3">
        <f>IF(N305&lt;&gt;"",N305,IF(O305&lt;&gt;"",O305,IF(L305&lt;&gt;"",L305/1.56,IF(M305&lt;&gt;"",M305/1.56,""))))</f>
        <v/>
      </c>
      <c r="U305" s="3" t="n">
        <v>154</v>
      </c>
      <c r="V305" s="3" t="n"/>
      <c r="W305" s="3" t="n"/>
      <c r="X305" s="4" t="n"/>
      <c r="Y305" s="5" t="n">
        <v>0.696</v>
      </c>
      <c r="Z305" s="4">
        <f>IF(L305&lt;&gt;"",SQRT(3)*G305*L305/1000,"")</f>
        <v/>
      </c>
      <c r="AA305" t="inlineStr">
        <is>
          <t>Source=Copeland 2D/3D/4D/4R/6D/8D/9R compressors (pdf) p4</t>
        </is>
      </c>
      <c r="AB305" t="inlineStr">
        <is>
          <t>Copeland_RLA_230_460_3ph_60Hz.xlsx</t>
        </is>
      </c>
      <c r="AC305" t="inlineStr">
        <is>
          <t>Recip_2D-9R</t>
        </is>
      </c>
    </row>
    <row r="306">
      <c r="A306" t="inlineStr">
        <is>
          <t>COPELAND</t>
        </is>
      </c>
      <c r="B306" t="inlineStr">
        <is>
          <t>4DA1R18M0-TSK</t>
        </is>
      </c>
      <c r="D306" t="inlineStr">
        <is>
          <t>Reciprocating Semi-hermetic</t>
        </is>
      </c>
      <c r="E306" s="2" t="n">
        <v>3</v>
      </c>
      <c r="F306" s="2" t="n">
        <v>60</v>
      </c>
      <c r="G306" s="2" t="n">
        <v>230</v>
      </c>
      <c r="H306" t="inlineStr">
        <is>
          <t>208/230</t>
        </is>
      </c>
      <c r="I306" s="2" t="n">
        <v>208</v>
      </c>
      <c r="J306" s="2" t="n">
        <v>230</v>
      </c>
      <c r="L306" s="3" t="n"/>
      <c r="M306" s="3" t="n"/>
      <c r="N306" s="3" t="n">
        <v>70</v>
      </c>
      <c r="O306" s="3" t="n"/>
      <c r="P306" s="3">
        <f>IF(L306&lt;&gt;"",L306/1.4,"")</f>
        <v/>
      </c>
      <c r="Q306" s="3">
        <f>IF(L306&lt;&gt;"",L306/1.56,"")</f>
        <v/>
      </c>
      <c r="R306" s="3">
        <f>IF(M306&lt;&gt;"",M306/1.4,"")</f>
        <v/>
      </c>
      <c r="S306" s="3">
        <f>IF(M306&lt;&gt;"",M306/1.56,"")</f>
        <v/>
      </c>
      <c r="T306" s="3">
        <f>IF(N306&lt;&gt;"",N306,IF(O306&lt;&gt;"",O306,IF(L306&lt;&gt;"",L306/1.56,IF(M306&lt;&gt;"",M306/1.56,""))))</f>
        <v/>
      </c>
      <c r="U306" s="3" t="n">
        <v>308</v>
      </c>
      <c r="V306" s="3" t="n">
        <v>188</v>
      </c>
      <c r="W306" s="3" t="n"/>
      <c r="X306" s="4" t="n"/>
      <c r="Y306" s="5" t="n">
        <v>0.174</v>
      </c>
      <c r="Z306" s="4">
        <f>IF(L306&lt;&gt;"",SQRT(3)*G306*L306/1000,"")</f>
        <v/>
      </c>
      <c r="AA306" t="inlineStr">
        <is>
          <t>Source=Copeland 2D/3D/4D/4R/6D/8D/9R compressors (pdf) p4; PWS_RLA=35.0</t>
        </is>
      </c>
      <c r="AB306" t="inlineStr">
        <is>
          <t>Copeland_RLA_230_460_3ph_60Hz.xlsx</t>
        </is>
      </c>
      <c r="AC306" t="inlineStr">
        <is>
          <t>Recip_2D-9R</t>
        </is>
      </c>
    </row>
    <row r="307">
      <c r="A307" t="inlineStr">
        <is>
          <t>COPELAND</t>
        </is>
      </c>
      <c r="B307" t="inlineStr">
        <is>
          <t>4DA1R18M0-TSK</t>
        </is>
      </c>
      <c r="D307" t="inlineStr">
        <is>
          <t>Reciprocating Semi-hermetic</t>
        </is>
      </c>
      <c r="E307" s="2" t="n">
        <v>3</v>
      </c>
      <c r="F307" s="2" t="n">
        <v>60</v>
      </c>
      <c r="G307" s="2" t="n">
        <v>460</v>
      </c>
      <c r="H307" t="inlineStr">
        <is>
          <t>460</t>
        </is>
      </c>
      <c r="I307" s="2" t="n">
        <v>460</v>
      </c>
      <c r="J307" s="2" t="n">
        <v>460</v>
      </c>
      <c r="L307" s="3" t="n"/>
      <c r="M307" s="3" t="n"/>
      <c r="N307" s="3" t="n">
        <v>35</v>
      </c>
      <c r="O307" s="3" t="n"/>
      <c r="P307" s="3">
        <f>IF(L307&lt;&gt;"",L307/1.4,"")</f>
        <v/>
      </c>
      <c r="Q307" s="3">
        <f>IF(L307&lt;&gt;"",L307/1.56,"")</f>
        <v/>
      </c>
      <c r="R307" s="3">
        <f>IF(M307&lt;&gt;"",M307/1.4,"")</f>
        <v/>
      </c>
      <c r="S307" s="3">
        <f>IF(M307&lt;&gt;"",M307/1.56,"")</f>
        <v/>
      </c>
      <c r="T307" s="3">
        <f>IF(N307&lt;&gt;"",N307,IF(O307&lt;&gt;"",O307,IF(L307&lt;&gt;"",L307/1.56,IF(M307&lt;&gt;"",M307/1.56,""))))</f>
        <v/>
      </c>
      <c r="U307" s="3" t="n">
        <v>154</v>
      </c>
      <c r="V307" s="3" t="n"/>
      <c r="W307" s="3" t="n"/>
      <c r="X307" s="4" t="n"/>
      <c r="Y307" s="5" t="n">
        <v>0.696</v>
      </c>
      <c r="Z307" s="4">
        <f>IF(L307&lt;&gt;"",SQRT(3)*G307*L307/1000,"")</f>
        <v/>
      </c>
      <c r="AA307" t="inlineStr">
        <is>
          <t>Source=Copeland 2D/3D/4D/4R/6D/8D/9R compressors (pdf) p4</t>
        </is>
      </c>
      <c r="AB307" t="inlineStr">
        <is>
          <t>Copeland_RLA_230_460_3ph_60Hz.xlsx</t>
        </is>
      </c>
      <c r="AC307" t="inlineStr">
        <is>
          <t>Recip_2D-9R</t>
        </is>
      </c>
    </row>
    <row r="308">
      <c r="A308" t="inlineStr">
        <is>
          <t>COPELAND</t>
        </is>
      </c>
      <c r="B308" t="inlineStr">
        <is>
          <t>4DA2-2000-TSK</t>
        </is>
      </c>
      <c r="D308" t="inlineStr">
        <is>
          <t>Reciprocating Semi-hermetic</t>
        </is>
      </c>
      <c r="E308" s="2" t="n">
        <v>3</v>
      </c>
      <c r="F308" s="2" t="n">
        <v>60</v>
      </c>
      <c r="G308" s="2" t="n">
        <v>230</v>
      </c>
      <c r="H308" t="inlineStr">
        <is>
          <t>208/230</t>
        </is>
      </c>
      <c r="I308" s="2" t="n">
        <v>208</v>
      </c>
      <c r="J308" s="2" t="n">
        <v>230</v>
      </c>
      <c r="L308" s="3" t="n"/>
      <c r="M308" s="3" t="n"/>
      <c r="N308" s="3" t="n">
        <v>70</v>
      </c>
      <c r="O308" s="3" t="n"/>
      <c r="P308" s="3">
        <f>IF(L308&lt;&gt;"",L308/1.4,"")</f>
        <v/>
      </c>
      <c r="Q308" s="3">
        <f>IF(L308&lt;&gt;"",L308/1.56,"")</f>
        <v/>
      </c>
      <c r="R308" s="3">
        <f>IF(M308&lt;&gt;"",M308/1.4,"")</f>
        <v/>
      </c>
      <c r="S308" s="3">
        <f>IF(M308&lt;&gt;"",M308/1.56,"")</f>
        <v/>
      </c>
      <c r="T308" s="3">
        <f>IF(N308&lt;&gt;"",N308,IF(O308&lt;&gt;"",O308,IF(L308&lt;&gt;"",L308/1.56,IF(M308&lt;&gt;"",M308/1.56,""))))</f>
        <v/>
      </c>
      <c r="U308" s="3" t="n">
        <v>308</v>
      </c>
      <c r="V308" s="3" t="n">
        <v>188</v>
      </c>
      <c r="W308" s="3" t="n"/>
      <c r="X308" s="4" t="n"/>
      <c r="Y308" s="5" t="n">
        <v>0.174</v>
      </c>
      <c r="Z308" s="4">
        <f>IF(L308&lt;&gt;"",SQRT(3)*G308*L308/1000,"")</f>
        <v/>
      </c>
      <c r="AA308" t="inlineStr">
        <is>
          <t>Source=Copeland 2D/3D/4D/4R/6D/8D/9R compressors (pdf) p4; PWS_RLA=35.0</t>
        </is>
      </c>
      <c r="AB308" t="inlineStr">
        <is>
          <t>Copeland_RLA_230_460_3ph_60Hz.xlsx</t>
        </is>
      </c>
      <c r="AC308" t="inlineStr">
        <is>
          <t>Recip_2D-9R</t>
        </is>
      </c>
    </row>
    <row r="309">
      <c r="A309" t="inlineStr">
        <is>
          <t>COPELAND</t>
        </is>
      </c>
      <c r="B309" t="inlineStr">
        <is>
          <t>4DA2-2000-TSK</t>
        </is>
      </c>
      <c r="D309" t="inlineStr">
        <is>
          <t>Reciprocating Semi-hermetic</t>
        </is>
      </c>
      <c r="E309" s="2" t="n">
        <v>3</v>
      </c>
      <c r="F309" s="2" t="n">
        <v>60</v>
      </c>
      <c r="G309" s="2" t="n">
        <v>460</v>
      </c>
      <c r="H309" t="inlineStr">
        <is>
          <t>460</t>
        </is>
      </c>
      <c r="I309" s="2" t="n">
        <v>460</v>
      </c>
      <c r="J309" s="2" t="n">
        <v>460</v>
      </c>
      <c r="L309" s="3" t="n"/>
      <c r="M309" s="3" t="n"/>
      <c r="N309" s="3" t="n">
        <v>35</v>
      </c>
      <c r="O309" s="3" t="n"/>
      <c r="P309" s="3">
        <f>IF(L309&lt;&gt;"",L309/1.4,"")</f>
        <v/>
      </c>
      <c r="Q309" s="3">
        <f>IF(L309&lt;&gt;"",L309/1.56,"")</f>
        <v/>
      </c>
      <c r="R309" s="3">
        <f>IF(M309&lt;&gt;"",M309/1.4,"")</f>
        <v/>
      </c>
      <c r="S309" s="3">
        <f>IF(M309&lt;&gt;"",M309/1.56,"")</f>
        <v/>
      </c>
      <c r="T309" s="3">
        <f>IF(N309&lt;&gt;"",N309,IF(O309&lt;&gt;"",O309,IF(L309&lt;&gt;"",L309/1.56,IF(M309&lt;&gt;"",M309/1.56,""))))</f>
        <v/>
      </c>
      <c r="U309" s="3" t="n">
        <v>154</v>
      </c>
      <c r="V309" s="3" t="n"/>
      <c r="W309" s="3" t="n"/>
      <c r="X309" s="4" t="n"/>
      <c r="Y309" s="5" t="n">
        <v>0.696</v>
      </c>
      <c r="Z309" s="4">
        <f>IF(L309&lt;&gt;"",SQRT(3)*G309*L309/1000,"")</f>
        <v/>
      </c>
      <c r="AA309" t="inlineStr">
        <is>
          <t>Source=Copeland 2D/3D/4D/4R/6D/8D/9R compressors (pdf) p4</t>
        </is>
      </c>
      <c r="AB309" t="inlineStr">
        <is>
          <t>Copeland_RLA_230_460_3ph_60Hz.xlsx</t>
        </is>
      </c>
      <c r="AC309" t="inlineStr">
        <is>
          <t>Recip_2D-9R</t>
        </is>
      </c>
    </row>
    <row r="310">
      <c r="A310" t="inlineStr">
        <is>
          <t>COPELAND</t>
        </is>
      </c>
      <c r="B310" t="inlineStr">
        <is>
          <t>4DA3A1000-FSD</t>
        </is>
      </c>
      <c r="D310" t="inlineStr">
        <is>
          <t>Reciprocating Semi-hermetic</t>
        </is>
      </c>
      <c r="E310" s="2" t="n">
        <v>3</v>
      </c>
      <c r="F310" s="2" t="n">
        <v>60</v>
      </c>
      <c r="G310" s="2" t="n">
        <v>460</v>
      </c>
      <c r="H310" t="inlineStr">
        <is>
          <t>460</t>
        </is>
      </c>
      <c r="I310" s="2" t="n">
        <v>460</v>
      </c>
      <c r="J310" s="2" t="n">
        <v>460</v>
      </c>
      <c r="L310" s="3" t="n"/>
      <c r="M310" s="3" t="n"/>
      <c r="N310" s="3" t="n">
        <v>20</v>
      </c>
      <c r="O310" s="3" t="n"/>
      <c r="P310" s="3">
        <f>IF(L310&lt;&gt;"",L310/1.4,"")</f>
        <v/>
      </c>
      <c r="Q310" s="3">
        <f>IF(L310&lt;&gt;"",L310/1.56,"")</f>
        <v/>
      </c>
      <c r="R310" s="3">
        <f>IF(M310&lt;&gt;"",M310/1.4,"")</f>
        <v/>
      </c>
      <c r="S310" s="3">
        <f>IF(M310&lt;&gt;"",M310/1.56,"")</f>
        <v/>
      </c>
      <c r="T310" s="3">
        <f>IF(N310&lt;&gt;"",N310,IF(O310&lt;&gt;"",O310,IF(L310&lt;&gt;"",L310/1.56,IF(M310&lt;&gt;"",M310/1.56,""))))</f>
        <v/>
      </c>
      <c r="U310" s="3" t="n">
        <v>115</v>
      </c>
      <c r="V310" s="3" t="n">
        <v>70</v>
      </c>
      <c r="W310" s="3" t="n"/>
      <c r="X310" s="4" t="n"/>
      <c r="Y310" s="5" t="n">
        <v>1.012</v>
      </c>
      <c r="Z310" s="4">
        <f>IF(L310&lt;&gt;"",SQRT(3)*G310*L310/1000,"")</f>
        <v/>
      </c>
      <c r="AA310" t="inlineStr">
        <is>
          <t>Source=Copeland 2D/3D/4D/4R/6D/8D/9R compressors (pdf) p4; PWS_RLA=10.0</t>
        </is>
      </c>
      <c r="AB310" t="inlineStr">
        <is>
          <t>Copeland_RLA_230_460_3ph_60Hz.xlsx</t>
        </is>
      </c>
      <c r="AC310" t="inlineStr">
        <is>
          <t>Recip_2D-9R</t>
        </is>
      </c>
    </row>
    <row r="311">
      <c r="A311" t="inlineStr">
        <is>
          <t>COPELAND</t>
        </is>
      </c>
      <c r="B311" t="inlineStr">
        <is>
          <t>4DA3A1000-TSK</t>
        </is>
      </c>
      <c r="D311" t="inlineStr">
        <is>
          <t>Reciprocating Semi-hermetic</t>
        </is>
      </c>
      <c r="E311" s="2" t="n">
        <v>3</v>
      </c>
      <c r="F311" s="2" t="n">
        <v>60</v>
      </c>
      <c r="G311" s="2" t="n">
        <v>230</v>
      </c>
      <c r="H311" t="inlineStr">
        <is>
          <t>208/230</t>
        </is>
      </c>
      <c r="I311" s="2" t="n">
        <v>208</v>
      </c>
      <c r="J311" s="2" t="n">
        <v>230</v>
      </c>
      <c r="L311" s="3" t="n"/>
      <c r="M311" s="3" t="n"/>
      <c r="N311" s="3" t="n">
        <v>42</v>
      </c>
      <c r="O311" s="3" t="n"/>
      <c r="P311" s="3">
        <f>IF(L311&lt;&gt;"",L311/1.4,"")</f>
        <v/>
      </c>
      <c r="Q311" s="3">
        <f>IF(L311&lt;&gt;"",L311/1.56,"")</f>
        <v/>
      </c>
      <c r="R311" s="3">
        <f>IF(M311&lt;&gt;"",M311/1.4,"")</f>
        <v/>
      </c>
      <c r="S311" s="3">
        <f>IF(M311&lt;&gt;"",M311/1.56,"")</f>
        <v/>
      </c>
      <c r="T311" s="3">
        <f>IF(N311&lt;&gt;"",N311,IF(O311&lt;&gt;"",O311,IF(L311&lt;&gt;"",L311/1.56,IF(M311&lt;&gt;"",M311/1.56,""))))</f>
        <v/>
      </c>
      <c r="U311" s="3" t="n">
        <v>240</v>
      </c>
      <c r="V311" s="3" t="n">
        <v>140</v>
      </c>
      <c r="W311" s="3" t="n"/>
      <c r="X311" s="4" t="n"/>
      <c r="Y311" s="5" t="n">
        <v>0.259</v>
      </c>
      <c r="Z311" s="4">
        <f>IF(L311&lt;&gt;"",SQRT(3)*G311*L311/1000,"")</f>
        <v/>
      </c>
      <c r="AA311" t="inlineStr">
        <is>
          <t>Source=Copeland 2D/3D/4D/4R/6D/8D/9R compressors (pdf) p4; PWS_RLA=21.0</t>
        </is>
      </c>
      <c r="AB311" t="inlineStr">
        <is>
          <t>Copeland_RLA_230_460_3ph_60Hz.xlsx</t>
        </is>
      </c>
      <c r="AC311" t="inlineStr">
        <is>
          <t>Recip_2D-9R</t>
        </is>
      </c>
    </row>
    <row r="312">
      <c r="A312" t="inlineStr">
        <is>
          <t>COPELAND</t>
        </is>
      </c>
      <c r="B312" t="inlineStr">
        <is>
          <t>4DA3A1000-TSK</t>
        </is>
      </c>
      <c r="D312" t="inlineStr">
        <is>
          <t>Reciprocating Semi-hermetic</t>
        </is>
      </c>
      <c r="E312" s="2" t="n">
        <v>3</v>
      </c>
      <c r="F312" s="2" t="n">
        <v>60</v>
      </c>
      <c r="G312" s="2" t="n">
        <v>460</v>
      </c>
      <c r="H312" t="inlineStr">
        <is>
          <t>460</t>
        </is>
      </c>
      <c r="I312" s="2" t="n">
        <v>460</v>
      </c>
      <c r="J312" s="2" t="n">
        <v>460</v>
      </c>
      <c r="L312" s="3" t="n"/>
      <c r="M312" s="3" t="n"/>
      <c r="N312" s="3" t="n">
        <v>21</v>
      </c>
      <c r="O312" s="3" t="n"/>
      <c r="P312" s="3">
        <f>IF(L312&lt;&gt;"",L312/1.4,"")</f>
        <v/>
      </c>
      <c r="Q312" s="3">
        <f>IF(L312&lt;&gt;"",L312/1.56,"")</f>
        <v/>
      </c>
      <c r="R312" s="3">
        <f>IF(M312&lt;&gt;"",M312/1.4,"")</f>
        <v/>
      </c>
      <c r="S312" s="3">
        <f>IF(M312&lt;&gt;"",M312/1.56,"")</f>
        <v/>
      </c>
      <c r="T312" s="3">
        <f>IF(N312&lt;&gt;"",N312,IF(O312&lt;&gt;"",O312,IF(L312&lt;&gt;"",L312/1.56,IF(M312&lt;&gt;"",M312/1.56,""))))</f>
        <v/>
      </c>
      <c r="U312" s="3" t="n">
        <v>120</v>
      </c>
      <c r="V312" s="3" t="n"/>
      <c r="W312" s="3" t="n"/>
      <c r="X312" s="4" t="n"/>
      <c r="Y312" s="5" t="n">
        <v>1.036</v>
      </c>
      <c r="Z312" s="4">
        <f>IF(L312&lt;&gt;"",SQRT(3)*G312*L312/1000,"")</f>
        <v/>
      </c>
      <c r="AA312" t="inlineStr">
        <is>
          <t>Source=Copeland 2D/3D/4D/4R/6D/8D/9R compressors (pdf) p4</t>
        </is>
      </c>
      <c r="AB312" t="inlineStr">
        <is>
          <t>Copeland_RLA_230_460_3ph_60Hz.xlsx</t>
        </is>
      </c>
      <c r="AC312" t="inlineStr">
        <is>
          <t>Recip_2D-9R</t>
        </is>
      </c>
    </row>
    <row r="313">
      <c r="A313" t="inlineStr">
        <is>
          <t>COPELAND</t>
        </is>
      </c>
      <c r="B313" t="inlineStr">
        <is>
          <t>4DA3A100E-FSD</t>
        </is>
      </c>
      <c r="D313" t="inlineStr">
        <is>
          <t>Reciprocating Semi-hermetic</t>
        </is>
      </c>
      <c r="E313" s="2" t="n">
        <v>3</v>
      </c>
      <c r="F313" s="2" t="n">
        <v>60</v>
      </c>
      <c r="G313" s="2" t="n">
        <v>460</v>
      </c>
      <c r="H313" t="inlineStr">
        <is>
          <t>460</t>
        </is>
      </c>
      <c r="I313" s="2" t="n">
        <v>460</v>
      </c>
      <c r="J313" s="2" t="n">
        <v>460</v>
      </c>
      <c r="L313" s="3" t="n"/>
      <c r="M313" s="3" t="n"/>
      <c r="N313" s="3" t="n">
        <v>20</v>
      </c>
      <c r="O313" s="3" t="n"/>
      <c r="P313" s="3">
        <f>IF(L313&lt;&gt;"",L313/1.4,"")</f>
        <v/>
      </c>
      <c r="Q313" s="3">
        <f>IF(L313&lt;&gt;"",L313/1.56,"")</f>
        <v/>
      </c>
      <c r="R313" s="3">
        <f>IF(M313&lt;&gt;"",M313/1.4,"")</f>
        <v/>
      </c>
      <c r="S313" s="3">
        <f>IF(M313&lt;&gt;"",M313/1.56,"")</f>
        <v/>
      </c>
      <c r="T313" s="3">
        <f>IF(N313&lt;&gt;"",N313,IF(O313&lt;&gt;"",O313,IF(L313&lt;&gt;"",L313/1.56,IF(M313&lt;&gt;"",M313/1.56,""))))</f>
        <v/>
      </c>
      <c r="U313" s="3" t="n">
        <v>115</v>
      </c>
      <c r="V313" s="3" t="n">
        <v>70</v>
      </c>
      <c r="W313" s="3" t="n"/>
      <c r="X313" s="4" t="n"/>
      <c r="Y313" s="5" t="n">
        <v>1.012</v>
      </c>
      <c r="Z313" s="4">
        <f>IF(L313&lt;&gt;"",SQRT(3)*G313*L313/1000,"")</f>
        <v/>
      </c>
      <c r="AA313" t="inlineStr">
        <is>
          <t>Source=Copeland 2D/3D/4D/4R/6D/8D/9R compressors (pdf) p4; PWS_RLA=10.0</t>
        </is>
      </c>
      <c r="AB313" t="inlineStr">
        <is>
          <t>Copeland_RLA_230_460_3ph_60Hz.xlsx</t>
        </is>
      </c>
      <c r="AC313" t="inlineStr">
        <is>
          <t>Recip_2D-9R</t>
        </is>
      </c>
    </row>
    <row r="314">
      <c r="A314" t="inlineStr">
        <is>
          <t>COPELAND</t>
        </is>
      </c>
      <c r="B314" t="inlineStr">
        <is>
          <t>4DA3A100E-TSK</t>
        </is>
      </c>
      <c r="D314" t="inlineStr">
        <is>
          <t>Reciprocating Semi-hermetic</t>
        </is>
      </c>
      <c r="E314" s="2" t="n">
        <v>3</v>
      </c>
      <c r="F314" s="2" t="n">
        <v>60</v>
      </c>
      <c r="G314" s="2" t="n">
        <v>230</v>
      </c>
      <c r="H314" t="inlineStr">
        <is>
          <t>208/230</t>
        </is>
      </c>
      <c r="I314" s="2" t="n">
        <v>208</v>
      </c>
      <c r="J314" s="2" t="n">
        <v>230</v>
      </c>
      <c r="L314" s="3" t="n"/>
      <c r="M314" s="3" t="n"/>
      <c r="N314" s="3" t="n">
        <v>42</v>
      </c>
      <c r="O314" s="3" t="n"/>
      <c r="P314" s="3">
        <f>IF(L314&lt;&gt;"",L314/1.4,"")</f>
        <v/>
      </c>
      <c r="Q314" s="3">
        <f>IF(L314&lt;&gt;"",L314/1.56,"")</f>
        <v/>
      </c>
      <c r="R314" s="3">
        <f>IF(M314&lt;&gt;"",M314/1.4,"")</f>
        <v/>
      </c>
      <c r="S314" s="3">
        <f>IF(M314&lt;&gt;"",M314/1.56,"")</f>
        <v/>
      </c>
      <c r="T314" s="3">
        <f>IF(N314&lt;&gt;"",N314,IF(O314&lt;&gt;"",O314,IF(L314&lt;&gt;"",L314/1.56,IF(M314&lt;&gt;"",M314/1.56,""))))</f>
        <v/>
      </c>
      <c r="U314" s="3" t="n">
        <v>240</v>
      </c>
      <c r="V314" s="3" t="n">
        <v>140</v>
      </c>
      <c r="W314" s="3" t="n"/>
      <c r="X314" s="4" t="n"/>
      <c r="Y314" s="5" t="n">
        <v>0.259</v>
      </c>
      <c r="Z314" s="4">
        <f>IF(L314&lt;&gt;"",SQRT(3)*G314*L314/1000,"")</f>
        <v/>
      </c>
      <c r="AA314" t="inlineStr">
        <is>
          <t>Source=Copeland 2D/3D/4D/4R/6D/8D/9R compressors (pdf) p4; PWS_RLA=21.0</t>
        </is>
      </c>
      <c r="AB314" t="inlineStr">
        <is>
          <t>Copeland_RLA_230_460_3ph_60Hz.xlsx</t>
        </is>
      </c>
      <c r="AC314" t="inlineStr">
        <is>
          <t>Recip_2D-9R</t>
        </is>
      </c>
    </row>
    <row r="315">
      <c r="A315" t="inlineStr">
        <is>
          <t>COPELAND</t>
        </is>
      </c>
      <c r="B315" t="inlineStr">
        <is>
          <t>4DA3A100E-TSK</t>
        </is>
      </c>
      <c r="D315" t="inlineStr">
        <is>
          <t>Reciprocating Semi-hermetic</t>
        </is>
      </c>
      <c r="E315" s="2" t="n">
        <v>3</v>
      </c>
      <c r="F315" s="2" t="n">
        <v>60</v>
      </c>
      <c r="G315" s="2" t="n">
        <v>460</v>
      </c>
      <c r="H315" t="inlineStr">
        <is>
          <t>460</t>
        </is>
      </c>
      <c r="I315" s="2" t="n">
        <v>460</v>
      </c>
      <c r="J315" s="2" t="n">
        <v>460</v>
      </c>
      <c r="L315" s="3" t="n"/>
      <c r="M315" s="3" t="n"/>
      <c r="N315" s="3" t="n">
        <v>21</v>
      </c>
      <c r="O315" s="3" t="n"/>
      <c r="P315" s="3">
        <f>IF(L315&lt;&gt;"",L315/1.4,"")</f>
        <v/>
      </c>
      <c r="Q315" s="3">
        <f>IF(L315&lt;&gt;"",L315/1.56,"")</f>
        <v/>
      </c>
      <c r="R315" s="3">
        <f>IF(M315&lt;&gt;"",M315/1.4,"")</f>
        <v/>
      </c>
      <c r="S315" s="3">
        <f>IF(M315&lt;&gt;"",M315/1.56,"")</f>
        <v/>
      </c>
      <c r="T315" s="3">
        <f>IF(N315&lt;&gt;"",N315,IF(O315&lt;&gt;"",O315,IF(L315&lt;&gt;"",L315/1.56,IF(M315&lt;&gt;"",M315/1.56,""))))</f>
        <v/>
      </c>
      <c r="U315" s="3" t="n">
        <v>120</v>
      </c>
      <c r="V315" s="3" t="n"/>
      <c r="W315" s="3" t="n"/>
      <c r="X315" s="4" t="n"/>
      <c r="Y315" s="5" t="n">
        <v>1.036</v>
      </c>
      <c r="Z315" s="4">
        <f>IF(L315&lt;&gt;"",SQRT(3)*G315*L315/1000,"")</f>
        <v/>
      </c>
      <c r="AA315" t="inlineStr">
        <is>
          <t>Source=Copeland 2D/3D/4D/4R/6D/8D/9R compressors (pdf) p4</t>
        </is>
      </c>
      <c r="AB315" t="inlineStr">
        <is>
          <t>Copeland_RLA_230_460_3ph_60Hz.xlsx</t>
        </is>
      </c>
      <c r="AC315" t="inlineStr">
        <is>
          <t>Recip_2D-9R</t>
        </is>
      </c>
    </row>
    <row r="316">
      <c r="A316" t="inlineStr">
        <is>
          <t>COPELAND</t>
        </is>
      </c>
      <c r="B316" t="inlineStr">
        <is>
          <t>4DA3A100L-FSD</t>
        </is>
      </c>
      <c r="D316" t="inlineStr">
        <is>
          <t>Reciprocating Semi-hermetic</t>
        </is>
      </c>
      <c r="E316" s="2" t="n">
        <v>3</v>
      </c>
      <c r="F316" s="2" t="n">
        <v>60</v>
      </c>
      <c r="G316" s="2" t="n">
        <v>460</v>
      </c>
      <c r="H316" t="inlineStr">
        <is>
          <t>460</t>
        </is>
      </c>
      <c r="I316" s="2" t="n">
        <v>460</v>
      </c>
      <c r="J316" s="2" t="n">
        <v>460</v>
      </c>
      <c r="L316" s="3" t="n"/>
      <c r="M316" s="3" t="n"/>
      <c r="N316" s="3" t="n">
        <v>20</v>
      </c>
      <c r="O316" s="3" t="n"/>
      <c r="P316" s="3">
        <f>IF(L316&lt;&gt;"",L316/1.4,"")</f>
        <v/>
      </c>
      <c r="Q316" s="3">
        <f>IF(L316&lt;&gt;"",L316/1.56,"")</f>
        <v/>
      </c>
      <c r="R316" s="3">
        <f>IF(M316&lt;&gt;"",M316/1.4,"")</f>
        <v/>
      </c>
      <c r="S316" s="3">
        <f>IF(M316&lt;&gt;"",M316/1.56,"")</f>
        <v/>
      </c>
      <c r="T316" s="3">
        <f>IF(N316&lt;&gt;"",N316,IF(O316&lt;&gt;"",O316,IF(L316&lt;&gt;"",L316/1.56,IF(M316&lt;&gt;"",M316/1.56,""))))</f>
        <v/>
      </c>
      <c r="U316" s="3" t="n">
        <v>115</v>
      </c>
      <c r="V316" s="3" t="n">
        <v>70</v>
      </c>
      <c r="W316" s="3" t="n"/>
      <c r="X316" s="4" t="n"/>
      <c r="Y316" s="5" t="n">
        <v>1.012</v>
      </c>
      <c r="Z316" s="4">
        <f>IF(L316&lt;&gt;"",SQRT(3)*G316*L316/1000,"")</f>
        <v/>
      </c>
      <c r="AA316" t="inlineStr">
        <is>
          <t>Source=Copeland 2D/3D/4D/4R/6D/8D/9R compressors (pdf) p4; PWS_RLA=10.0</t>
        </is>
      </c>
      <c r="AB316" t="inlineStr">
        <is>
          <t>Copeland_RLA_230_460_3ph_60Hz.xlsx</t>
        </is>
      </c>
      <c r="AC316" t="inlineStr">
        <is>
          <t>Recip_2D-9R</t>
        </is>
      </c>
    </row>
    <row r="317">
      <c r="A317" t="inlineStr">
        <is>
          <t>COPELAND</t>
        </is>
      </c>
      <c r="B317" t="inlineStr">
        <is>
          <t>4DA3A100L-TSK</t>
        </is>
      </c>
      <c r="D317" t="inlineStr">
        <is>
          <t>Reciprocating Semi-hermetic</t>
        </is>
      </c>
      <c r="E317" s="2" t="n">
        <v>3</v>
      </c>
      <c r="F317" s="2" t="n">
        <v>60</v>
      </c>
      <c r="G317" s="2" t="n">
        <v>230</v>
      </c>
      <c r="H317" t="inlineStr">
        <is>
          <t>208/230</t>
        </is>
      </c>
      <c r="I317" s="2" t="n">
        <v>208</v>
      </c>
      <c r="J317" s="2" t="n">
        <v>230</v>
      </c>
      <c r="L317" s="3" t="n"/>
      <c r="M317" s="3" t="n"/>
      <c r="N317" s="3" t="n">
        <v>42</v>
      </c>
      <c r="O317" s="3" t="n"/>
      <c r="P317" s="3">
        <f>IF(L317&lt;&gt;"",L317/1.4,"")</f>
        <v/>
      </c>
      <c r="Q317" s="3">
        <f>IF(L317&lt;&gt;"",L317/1.56,"")</f>
        <v/>
      </c>
      <c r="R317" s="3">
        <f>IF(M317&lt;&gt;"",M317/1.4,"")</f>
        <v/>
      </c>
      <c r="S317" s="3">
        <f>IF(M317&lt;&gt;"",M317/1.56,"")</f>
        <v/>
      </c>
      <c r="T317" s="3">
        <f>IF(N317&lt;&gt;"",N317,IF(O317&lt;&gt;"",O317,IF(L317&lt;&gt;"",L317/1.56,IF(M317&lt;&gt;"",M317/1.56,""))))</f>
        <v/>
      </c>
      <c r="U317" s="3" t="n">
        <v>240</v>
      </c>
      <c r="V317" s="3" t="n">
        <v>140</v>
      </c>
      <c r="W317" s="3" t="n"/>
      <c r="X317" s="4" t="n"/>
      <c r="Y317" s="5" t="n">
        <v>0.259</v>
      </c>
      <c r="Z317" s="4">
        <f>IF(L317&lt;&gt;"",SQRT(3)*G317*L317/1000,"")</f>
        <v/>
      </c>
      <c r="AA317" t="inlineStr">
        <is>
          <t>Source=Copeland 2D/3D/4D/4R/6D/8D/9R compressors (pdf) p4; PWS_RLA=21.0</t>
        </is>
      </c>
      <c r="AB317" t="inlineStr">
        <is>
          <t>Copeland_RLA_230_460_3ph_60Hz.xlsx</t>
        </is>
      </c>
      <c r="AC317" t="inlineStr">
        <is>
          <t>Recip_2D-9R</t>
        </is>
      </c>
    </row>
    <row r="318">
      <c r="A318" t="inlineStr">
        <is>
          <t>COPELAND</t>
        </is>
      </c>
      <c r="B318" t="inlineStr">
        <is>
          <t>4DA3A100L-TSK</t>
        </is>
      </c>
      <c r="D318" t="inlineStr">
        <is>
          <t>Reciprocating Semi-hermetic</t>
        </is>
      </c>
      <c r="E318" s="2" t="n">
        <v>3</v>
      </c>
      <c r="F318" s="2" t="n">
        <v>60</v>
      </c>
      <c r="G318" s="2" t="n">
        <v>460</v>
      </c>
      <c r="H318" t="inlineStr">
        <is>
          <t>460</t>
        </is>
      </c>
      <c r="I318" s="2" t="n">
        <v>460</v>
      </c>
      <c r="J318" s="2" t="n">
        <v>460</v>
      </c>
      <c r="L318" s="3" t="n"/>
      <c r="M318" s="3" t="n"/>
      <c r="N318" s="3" t="n">
        <v>21</v>
      </c>
      <c r="O318" s="3" t="n"/>
      <c r="P318" s="3">
        <f>IF(L318&lt;&gt;"",L318/1.4,"")</f>
        <v/>
      </c>
      <c r="Q318" s="3">
        <f>IF(L318&lt;&gt;"",L318/1.56,"")</f>
        <v/>
      </c>
      <c r="R318" s="3">
        <f>IF(M318&lt;&gt;"",M318/1.4,"")</f>
        <v/>
      </c>
      <c r="S318" s="3">
        <f>IF(M318&lt;&gt;"",M318/1.56,"")</f>
        <v/>
      </c>
      <c r="T318" s="3">
        <f>IF(N318&lt;&gt;"",N318,IF(O318&lt;&gt;"",O318,IF(L318&lt;&gt;"",L318/1.56,IF(M318&lt;&gt;"",M318/1.56,""))))</f>
        <v/>
      </c>
      <c r="U318" s="3" t="n">
        <v>120</v>
      </c>
      <c r="V318" s="3" t="n"/>
      <c r="W318" s="3" t="n"/>
      <c r="X318" s="4" t="n"/>
      <c r="Y318" s="5" t="n">
        <v>1.036</v>
      </c>
      <c r="Z318" s="4">
        <f>IF(L318&lt;&gt;"",SQRT(3)*G318*L318/1000,"")</f>
        <v/>
      </c>
      <c r="AA318" t="inlineStr">
        <is>
          <t>Source=Copeland 2D/3D/4D/4R/6D/8D/9R compressors (pdf) p5</t>
        </is>
      </c>
      <c r="AB318" t="inlineStr">
        <is>
          <t>Copeland_RLA_230_460_3ph_60Hz.xlsx</t>
        </is>
      </c>
      <c r="AC318" t="inlineStr">
        <is>
          <t>Recip_2D-9R</t>
        </is>
      </c>
    </row>
    <row r="319">
      <c r="A319" t="inlineStr">
        <is>
          <t>COPELAND</t>
        </is>
      </c>
      <c r="B319" t="inlineStr">
        <is>
          <t>4DA3A1010-TSK</t>
        </is>
      </c>
      <c r="D319" t="inlineStr">
        <is>
          <t>Reciprocating Semi-hermetic</t>
        </is>
      </c>
      <c r="E319" s="2" t="n">
        <v>3</v>
      </c>
      <c r="F319" s="2" t="n">
        <v>60</v>
      </c>
      <c r="G319" s="2" t="n">
        <v>230</v>
      </c>
      <c r="H319" t="inlineStr">
        <is>
          <t>208/230</t>
        </is>
      </c>
      <c r="I319" s="2" t="n">
        <v>208</v>
      </c>
      <c r="J319" s="2" t="n">
        <v>230</v>
      </c>
      <c r="L319" s="3" t="n"/>
      <c r="M319" s="3" t="n"/>
      <c r="N319" s="3" t="n">
        <v>42</v>
      </c>
      <c r="O319" s="3" t="n"/>
      <c r="P319" s="3">
        <f>IF(L319&lt;&gt;"",L319/1.4,"")</f>
        <v/>
      </c>
      <c r="Q319" s="3">
        <f>IF(L319&lt;&gt;"",L319/1.56,"")</f>
        <v/>
      </c>
      <c r="R319" s="3">
        <f>IF(M319&lt;&gt;"",M319/1.4,"")</f>
        <v/>
      </c>
      <c r="S319" s="3">
        <f>IF(M319&lt;&gt;"",M319/1.56,"")</f>
        <v/>
      </c>
      <c r="T319" s="3">
        <f>IF(N319&lt;&gt;"",N319,IF(O319&lt;&gt;"",O319,IF(L319&lt;&gt;"",L319/1.56,IF(M319&lt;&gt;"",M319/1.56,""))))</f>
        <v/>
      </c>
      <c r="U319" s="3" t="n">
        <v>220</v>
      </c>
      <c r="V319" s="3" t="n">
        <v>134</v>
      </c>
      <c r="W319" s="3" t="n"/>
      <c r="X319" s="4" t="n"/>
      <c r="Y319" s="5" t="n">
        <v>0.244</v>
      </c>
      <c r="Z319" s="4">
        <f>IF(L319&lt;&gt;"",SQRT(3)*G319*L319/1000,"")</f>
        <v/>
      </c>
      <c r="AA319" t="inlineStr">
        <is>
          <t>Source=Copeland 2D/3D/4D/4R/6D/8D/9R compressors (pdf) p5; PWS_RLA=22.6</t>
        </is>
      </c>
      <c r="AB319" t="inlineStr">
        <is>
          <t>Copeland_RLA_230_460_3ph_60Hz.xlsx</t>
        </is>
      </c>
      <c r="AC319" t="inlineStr">
        <is>
          <t>Recip_2D-9R</t>
        </is>
      </c>
    </row>
    <row r="320">
      <c r="A320" t="inlineStr">
        <is>
          <t>COPELAND</t>
        </is>
      </c>
      <c r="B320" t="inlineStr">
        <is>
          <t>4DA3A1010-TSK</t>
        </is>
      </c>
      <c r="D320" t="inlineStr">
        <is>
          <t>Reciprocating Semi-hermetic</t>
        </is>
      </c>
      <c r="E320" s="2" t="n">
        <v>3</v>
      </c>
      <c r="F320" s="2" t="n">
        <v>60</v>
      </c>
      <c r="G320" s="2" t="n">
        <v>460</v>
      </c>
      <c r="H320" t="inlineStr">
        <is>
          <t>460</t>
        </is>
      </c>
      <c r="I320" s="2" t="n">
        <v>460</v>
      </c>
      <c r="J320" s="2" t="n">
        <v>460</v>
      </c>
      <c r="L320" s="3" t="n"/>
      <c r="M320" s="3" t="n"/>
      <c r="N320" s="3" t="n">
        <v>21</v>
      </c>
      <c r="O320" s="3" t="n"/>
      <c r="P320" s="3">
        <f>IF(L320&lt;&gt;"",L320/1.4,"")</f>
        <v/>
      </c>
      <c r="Q320" s="3">
        <f>IF(L320&lt;&gt;"",L320/1.56,"")</f>
        <v/>
      </c>
      <c r="R320" s="3">
        <f>IF(M320&lt;&gt;"",M320/1.4,"")</f>
        <v/>
      </c>
      <c r="S320" s="3">
        <f>IF(M320&lt;&gt;"",M320/1.56,"")</f>
        <v/>
      </c>
      <c r="T320" s="3">
        <f>IF(N320&lt;&gt;"",N320,IF(O320&lt;&gt;"",O320,IF(L320&lt;&gt;"",L320/1.56,IF(M320&lt;&gt;"",M320/1.56,""))))</f>
        <v/>
      </c>
      <c r="U320" s="3" t="n">
        <v>110</v>
      </c>
      <c r="V320" s="3" t="n"/>
      <c r="W320" s="3" t="n"/>
      <c r="X320" s="4" t="n"/>
      <c r="Y320" s="5" t="n">
        <v>0.976</v>
      </c>
      <c r="Z320" s="4">
        <f>IF(L320&lt;&gt;"",SQRT(3)*G320*L320/1000,"")</f>
        <v/>
      </c>
      <c r="AA320" t="inlineStr">
        <is>
          <t>Source=Copeland 2D/3D/4D/4R/6D/8D/9R compressors (pdf) p5</t>
        </is>
      </c>
      <c r="AB320" t="inlineStr">
        <is>
          <t>Copeland_RLA_230_460_3ph_60Hz.xlsx</t>
        </is>
      </c>
      <c r="AC320" t="inlineStr">
        <is>
          <t>Recip_2D-9R</t>
        </is>
      </c>
    </row>
    <row r="321">
      <c r="A321" t="inlineStr">
        <is>
          <t>COPELAND</t>
        </is>
      </c>
      <c r="B321" t="inlineStr">
        <is>
          <t>4DA3A101E-TSK</t>
        </is>
      </c>
      <c r="D321" t="inlineStr">
        <is>
          <t>Reciprocating Semi-hermetic</t>
        </is>
      </c>
      <c r="E321" s="2" t="n">
        <v>3</v>
      </c>
      <c r="F321" s="2" t="n">
        <v>60</v>
      </c>
      <c r="G321" s="2" t="n">
        <v>230</v>
      </c>
      <c r="H321" t="inlineStr">
        <is>
          <t>208/230</t>
        </is>
      </c>
      <c r="I321" s="2" t="n">
        <v>208</v>
      </c>
      <c r="J321" s="2" t="n">
        <v>230</v>
      </c>
      <c r="L321" s="3" t="n"/>
      <c r="M321" s="3" t="n"/>
      <c r="N321" s="3" t="n">
        <v>45.6</v>
      </c>
      <c r="O321" s="3" t="n"/>
      <c r="P321" s="3">
        <f>IF(L321&lt;&gt;"",L321/1.4,"")</f>
        <v/>
      </c>
      <c r="Q321" s="3">
        <f>IF(L321&lt;&gt;"",L321/1.56,"")</f>
        <v/>
      </c>
      <c r="R321" s="3">
        <f>IF(M321&lt;&gt;"",M321/1.4,"")</f>
        <v/>
      </c>
      <c r="S321" s="3">
        <f>IF(M321&lt;&gt;"",M321/1.56,"")</f>
        <v/>
      </c>
      <c r="T321" s="3">
        <f>IF(N321&lt;&gt;"",N321,IF(O321&lt;&gt;"",O321,IF(L321&lt;&gt;"",L321/1.56,IF(M321&lt;&gt;"",M321/1.56,""))))</f>
        <v/>
      </c>
      <c r="U321" s="3" t="n">
        <v>220</v>
      </c>
      <c r="V321" s="3" t="n">
        <v>134</v>
      </c>
      <c r="W321" s="3" t="n"/>
      <c r="X321" s="4" t="n"/>
      <c r="Y321" s="5" t="n">
        <v>0.244</v>
      </c>
      <c r="Z321" s="4">
        <f>IF(L321&lt;&gt;"",SQRT(3)*G321*L321/1000,"")</f>
        <v/>
      </c>
      <c r="AA321" t="inlineStr">
        <is>
          <t>Source=Copeland 2D/3D/4D/4R/6D/8D/9R compressors (pdf) p5; PWS_RLA=22.6</t>
        </is>
      </c>
      <c r="AB321" t="inlineStr">
        <is>
          <t>Copeland_RLA_230_460_3ph_60Hz.xlsx</t>
        </is>
      </c>
      <c r="AC321" t="inlineStr">
        <is>
          <t>Recip_2D-9R</t>
        </is>
      </c>
    </row>
    <row r="322">
      <c r="A322" t="inlineStr">
        <is>
          <t>COPELAND</t>
        </is>
      </c>
      <c r="B322" t="inlineStr">
        <is>
          <t>4DA3A101E-TSK</t>
        </is>
      </c>
      <c r="D322" t="inlineStr">
        <is>
          <t>Reciprocating Semi-hermetic</t>
        </is>
      </c>
      <c r="E322" s="2" t="n">
        <v>3</v>
      </c>
      <c r="F322" s="2" t="n">
        <v>60</v>
      </c>
      <c r="G322" s="2" t="n">
        <v>460</v>
      </c>
      <c r="H322" t="inlineStr">
        <is>
          <t>460</t>
        </is>
      </c>
      <c r="I322" s="2" t="n">
        <v>460</v>
      </c>
      <c r="J322" s="2" t="n">
        <v>460</v>
      </c>
      <c r="L322" s="3" t="n"/>
      <c r="M322" s="3" t="n"/>
      <c r="N322" s="3" t="n">
        <v>22.8</v>
      </c>
      <c r="O322" s="3" t="n"/>
      <c r="P322" s="3">
        <f>IF(L322&lt;&gt;"",L322/1.4,"")</f>
        <v/>
      </c>
      <c r="Q322" s="3">
        <f>IF(L322&lt;&gt;"",L322/1.56,"")</f>
        <v/>
      </c>
      <c r="R322" s="3">
        <f>IF(M322&lt;&gt;"",M322/1.4,"")</f>
        <v/>
      </c>
      <c r="S322" s="3">
        <f>IF(M322&lt;&gt;"",M322/1.56,"")</f>
        <v/>
      </c>
      <c r="T322" s="3">
        <f>IF(N322&lt;&gt;"",N322,IF(O322&lt;&gt;"",O322,IF(L322&lt;&gt;"",L322/1.56,IF(M322&lt;&gt;"",M322/1.56,""))))</f>
        <v/>
      </c>
      <c r="U322" s="3" t="n">
        <v>110</v>
      </c>
      <c r="V322" s="3" t="n"/>
      <c r="W322" s="3" t="n"/>
      <c r="X322" s="4" t="n"/>
      <c r="Y322" s="5" t="n">
        <v>0.976</v>
      </c>
      <c r="Z322" s="4">
        <f>IF(L322&lt;&gt;"",SQRT(3)*G322*L322/1000,"")</f>
        <v/>
      </c>
      <c r="AA322" t="inlineStr">
        <is>
          <t>Source=Copeland 2D/3D/4D/4R/6D/8D/9R compressors (pdf) p5</t>
        </is>
      </c>
      <c r="AB322" t="inlineStr">
        <is>
          <t>Copeland_RLA_230_460_3ph_60Hz.xlsx</t>
        </is>
      </c>
      <c r="AC322" t="inlineStr">
        <is>
          <t>Recip_2D-9R</t>
        </is>
      </c>
    </row>
    <row r="323">
      <c r="A323" t="inlineStr">
        <is>
          <t>COPELAND</t>
        </is>
      </c>
      <c r="B323" t="inlineStr">
        <is>
          <t>4DA3A101L-TSK</t>
        </is>
      </c>
      <c r="D323" t="inlineStr">
        <is>
          <t>Reciprocating Semi-hermetic</t>
        </is>
      </c>
      <c r="E323" s="2" t="n">
        <v>3</v>
      </c>
      <c r="F323" s="2" t="n">
        <v>60</v>
      </c>
      <c r="G323" s="2" t="n">
        <v>230</v>
      </c>
      <c r="H323" t="inlineStr">
        <is>
          <t>208/230</t>
        </is>
      </c>
      <c r="I323" s="2" t="n">
        <v>208</v>
      </c>
      <c r="J323" s="2" t="n">
        <v>230</v>
      </c>
      <c r="L323" s="3" t="n"/>
      <c r="M323" s="3" t="n"/>
      <c r="N323" s="3" t="n">
        <v>45.6</v>
      </c>
      <c r="O323" s="3" t="n"/>
      <c r="P323" s="3">
        <f>IF(L323&lt;&gt;"",L323/1.4,"")</f>
        <v/>
      </c>
      <c r="Q323" s="3">
        <f>IF(L323&lt;&gt;"",L323/1.56,"")</f>
        <v/>
      </c>
      <c r="R323" s="3">
        <f>IF(M323&lt;&gt;"",M323/1.4,"")</f>
        <v/>
      </c>
      <c r="S323" s="3">
        <f>IF(M323&lt;&gt;"",M323/1.56,"")</f>
        <v/>
      </c>
      <c r="T323" s="3">
        <f>IF(N323&lt;&gt;"",N323,IF(O323&lt;&gt;"",O323,IF(L323&lt;&gt;"",L323/1.56,IF(M323&lt;&gt;"",M323/1.56,""))))</f>
        <v/>
      </c>
      <c r="U323" s="3" t="n">
        <v>220</v>
      </c>
      <c r="V323" s="3" t="n">
        <v>134</v>
      </c>
      <c r="W323" s="3" t="n"/>
      <c r="X323" s="4" t="n"/>
      <c r="Y323" s="5" t="n">
        <v>0.244</v>
      </c>
      <c r="Z323" s="4">
        <f>IF(L323&lt;&gt;"",SQRT(3)*G323*L323/1000,"")</f>
        <v/>
      </c>
      <c r="AA323" t="inlineStr">
        <is>
          <t>Source=Copeland 2D/3D/4D/4R/6D/8D/9R compressors (pdf) p5; PWS_RLA=22.6</t>
        </is>
      </c>
      <c r="AB323" t="inlineStr">
        <is>
          <t>Copeland_RLA_230_460_3ph_60Hz.xlsx</t>
        </is>
      </c>
      <c r="AC323" t="inlineStr">
        <is>
          <t>Recip_2D-9R</t>
        </is>
      </c>
    </row>
    <row r="324">
      <c r="A324" t="inlineStr">
        <is>
          <t>COPELAND</t>
        </is>
      </c>
      <c r="B324" t="inlineStr">
        <is>
          <t>4DA3A101L-TSK</t>
        </is>
      </c>
      <c r="D324" t="inlineStr">
        <is>
          <t>Reciprocating Semi-hermetic</t>
        </is>
      </c>
      <c r="E324" s="2" t="n">
        <v>3</v>
      </c>
      <c r="F324" s="2" t="n">
        <v>60</v>
      </c>
      <c r="G324" s="2" t="n">
        <v>460</v>
      </c>
      <c r="H324" t="inlineStr">
        <is>
          <t>460</t>
        </is>
      </c>
      <c r="I324" s="2" t="n">
        <v>460</v>
      </c>
      <c r="J324" s="2" t="n">
        <v>460</v>
      </c>
      <c r="L324" s="3" t="n"/>
      <c r="M324" s="3" t="n"/>
      <c r="N324" s="3" t="n">
        <v>22.8</v>
      </c>
      <c r="O324" s="3" t="n"/>
      <c r="P324" s="3">
        <f>IF(L324&lt;&gt;"",L324/1.4,"")</f>
        <v/>
      </c>
      <c r="Q324" s="3">
        <f>IF(L324&lt;&gt;"",L324/1.56,"")</f>
        <v/>
      </c>
      <c r="R324" s="3">
        <f>IF(M324&lt;&gt;"",M324/1.4,"")</f>
        <v/>
      </c>
      <c r="S324" s="3">
        <f>IF(M324&lt;&gt;"",M324/1.56,"")</f>
        <v/>
      </c>
      <c r="T324" s="3">
        <f>IF(N324&lt;&gt;"",N324,IF(O324&lt;&gt;"",O324,IF(L324&lt;&gt;"",L324/1.56,IF(M324&lt;&gt;"",M324/1.56,""))))</f>
        <v/>
      </c>
      <c r="U324" s="3" t="n">
        <v>110</v>
      </c>
      <c r="V324" s="3" t="n"/>
      <c r="W324" s="3" t="n"/>
      <c r="X324" s="4" t="n"/>
      <c r="Y324" s="5" t="n">
        <v>0.976</v>
      </c>
      <c r="Z324" s="4">
        <f>IF(L324&lt;&gt;"",SQRT(3)*G324*L324/1000,"")</f>
        <v/>
      </c>
      <c r="AA324" t="inlineStr">
        <is>
          <t>Source=Copeland 2D/3D/4D/4R/6D/8D/9R compressors (pdf) p5</t>
        </is>
      </c>
      <c r="AB324" t="inlineStr">
        <is>
          <t>Copeland_RLA_230_460_3ph_60Hz.xlsx</t>
        </is>
      </c>
      <c r="AC324" t="inlineStr">
        <is>
          <t>Recip_2D-9R</t>
        </is>
      </c>
    </row>
    <row r="325">
      <c r="A325" t="inlineStr">
        <is>
          <t>COPELAND</t>
        </is>
      </c>
      <c r="B325" t="inlineStr">
        <is>
          <t>4DA3A2000-FSD</t>
        </is>
      </c>
      <c r="D325" t="inlineStr">
        <is>
          <t>Reciprocating Semi-hermetic</t>
        </is>
      </c>
      <c r="E325" s="2" t="n">
        <v>3</v>
      </c>
      <c r="F325" s="2" t="n">
        <v>60</v>
      </c>
      <c r="G325" s="2" t="n">
        <v>460</v>
      </c>
      <c r="H325" t="inlineStr">
        <is>
          <t>460</t>
        </is>
      </c>
      <c r="I325" s="2" t="n">
        <v>460</v>
      </c>
      <c r="J325" s="2" t="n">
        <v>460</v>
      </c>
      <c r="L325" s="3" t="n"/>
      <c r="M325" s="3" t="n"/>
      <c r="N325" s="3" t="n">
        <v>33.6</v>
      </c>
      <c r="O325" s="3" t="n"/>
      <c r="P325" s="3">
        <f>IF(L325&lt;&gt;"",L325/1.4,"")</f>
        <v/>
      </c>
      <c r="Q325" s="3">
        <f>IF(L325&lt;&gt;"",L325/1.56,"")</f>
        <v/>
      </c>
      <c r="R325" s="3">
        <f>IF(M325&lt;&gt;"",M325/1.4,"")</f>
        <v/>
      </c>
      <c r="S325" s="3">
        <f>IF(M325&lt;&gt;"",M325/1.56,"")</f>
        <v/>
      </c>
      <c r="T325" s="3">
        <f>IF(N325&lt;&gt;"",N325,IF(O325&lt;&gt;"",O325,IF(L325&lt;&gt;"",L325/1.56,IF(M325&lt;&gt;"",M325/1.56,""))))</f>
        <v/>
      </c>
      <c r="U325" s="3" t="n">
        <v>173</v>
      </c>
      <c r="V325" s="3" t="n">
        <v>104</v>
      </c>
      <c r="W325" s="3" t="n"/>
      <c r="X325" s="4" t="n"/>
      <c r="Y325" s="5" t="n">
        <v>0.603</v>
      </c>
      <c r="Z325" s="4">
        <f>IF(L325&lt;&gt;"",SQRT(3)*G325*L325/1000,"")</f>
        <v/>
      </c>
      <c r="AA325" t="inlineStr">
        <is>
          <t>Source=Copeland 2D/3D/4D/4R/6D/8D/9R compressors (pdf) p5; PWS_RLA=16.8</t>
        </is>
      </c>
      <c r="AB325" t="inlineStr">
        <is>
          <t>Copeland_RLA_230_460_3ph_60Hz.xlsx</t>
        </is>
      </c>
      <c r="AC325" t="inlineStr">
        <is>
          <t>Recip_2D-9R</t>
        </is>
      </c>
    </row>
    <row r="326">
      <c r="A326" t="inlineStr">
        <is>
          <t>COPELAND</t>
        </is>
      </c>
      <c r="B326" t="inlineStr">
        <is>
          <t>4DA3A2000-FXD</t>
        </is>
      </c>
      <c r="D326" t="inlineStr">
        <is>
          <t>Reciprocating Semi-hermetic</t>
        </is>
      </c>
      <c r="E326" s="2" t="n">
        <v>3</v>
      </c>
      <c r="F326" s="2" t="n">
        <v>60</v>
      </c>
      <c r="G326" s="2" t="n">
        <v>460</v>
      </c>
      <c r="H326" t="inlineStr">
        <is>
          <t>460</t>
        </is>
      </c>
      <c r="I326" s="2" t="n">
        <v>460</v>
      </c>
      <c r="J326" s="2" t="n">
        <v>460</v>
      </c>
      <c r="L326" s="3" t="n"/>
      <c r="M326" s="3" t="n"/>
      <c r="N326" s="3" t="n"/>
      <c r="O326" s="3" t="n"/>
      <c r="P326" s="3">
        <f>IF(L326&lt;&gt;"",L326/1.4,"")</f>
        <v/>
      </c>
      <c r="Q326" s="3">
        <f>IF(L326&lt;&gt;"",L326/1.56,"")</f>
        <v/>
      </c>
      <c r="R326" s="3">
        <f>IF(M326&lt;&gt;"",M326/1.4,"")</f>
        <v/>
      </c>
      <c r="S326" s="3">
        <f>IF(M326&lt;&gt;"",M326/1.56,"")</f>
        <v/>
      </c>
      <c r="T326" s="3">
        <f>IF(N326&lt;&gt;"",N326,IF(O326&lt;&gt;"",O326,IF(L326&lt;&gt;"",L326/1.56,IF(M326&lt;&gt;"",M326/1.56,""))))</f>
        <v/>
      </c>
      <c r="U326" s="3" t="n">
        <v>173</v>
      </c>
      <c r="V326" s="3" t="n">
        <v>104</v>
      </c>
      <c r="W326" s="3" t="n"/>
      <c r="X326" s="4" t="n"/>
      <c r="Y326" s="5" t="n">
        <v>0.603</v>
      </c>
      <c r="Z326" s="4">
        <f>IF(L326&lt;&gt;"",SQRT(3)*G326*L326/1000,"")</f>
        <v/>
      </c>
      <c r="AA326" t="inlineStr">
        <is>
          <t>Source=Copeland 2D/3D/4D/4R/6D/8D/9R compressors (pdf) p5</t>
        </is>
      </c>
      <c r="AB326" t="inlineStr">
        <is>
          <t>Copeland_RLA_230_460_3ph_60Hz.xlsx</t>
        </is>
      </c>
      <c r="AC326" t="inlineStr">
        <is>
          <t>Recip_2D-9R</t>
        </is>
      </c>
    </row>
    <row r="327">
      <c r="A327" t="inlineStr">
        <is>
          <t>COPELAND</t>
        </is>
      </c>
      <c r="B327" t="inlineStr">
        <is>
          <t>4DA3A2000-TSK</t>
        </is>
      </c>
      <c r="D327" t="inlineStr">
        <is>
          <t>Reciprocating Semi-hermetic</t>
        </is>
      </c>
      <c r="E327" s="2" t="n">
        <v>3</v>
      </c>
      <c r="F327" s="2" t="n">
        <v>60</v>
      </c>
      <c r="G327" s="2" t="n">
        <v>230</v>
      </c>
      <c r="H327" t="inlineStr">
        <is>
          <t>208/230</t>
        </is>
      </c>
      <c r="I327" s="2" t="n">
        <v>208</v>
      </c>
      <c r="J327" s="2" t="n">
        <v>230</v>
      </c>
      <c r="L327" s="3" t="n"/>
      <c r="M327" s="3" t="n"/>
      <c r="N327" s="3" t="n">
        <v>66.59999999999999</v>
      </c>
      <c r="O327" s="3" t="n"/>
      <c r="P327" s="3">
        <f>IF(L327&lt;&gt;"",L327/1.4,"")</f>
        <v/>
      </c>
      <c r="Q327" s="3">
        <f>IF(L327&lt;&gt;"",L327/1.56,"")</f>
        <v/>
      </c>
      <c r="R327" s="3">
        <f>IF(M327&lt;&gt;"",M327/1.4,"")</f>
        <v/>
      </c>
      <c r="S327" s="3">
        <f>IF(M327&lt;&gt;"",M327/1.56,"")</f>
        <v/>
      </c>
      <c r="T327" s="3">
        <f>IF(N327&lt;&gt;"",N327,IF(O327&lt;&gt;"",O327,IF(L327&lt;&gt;"",L327/1.56,IF(M327&lt;&gt;"",M327/1.56,""))))</f>
        <v/>
      </c>
      <c r="U327" s="3" t="n">
        <v>308</v>
      </c>
      <c r="V327" s="3" t="n">
        <v>188</v>
      </c>
      <c r="W327" s="3" t="n"/>
      <c r="X327" s="4" t="n"/>
      <c r="Y327" s="5" t="n">
        <v>0.174</v>
      </c>
      <c r="Z327" s="4">
        <f>IF(L327&lt;&gt;"",SQRT(3)*G327*L327/1000,"")</f>
        <v/>
      </c>
      <c r="AA327" t="inlineStr">
        <is>
          <t>Source=Copeland 2D/3D/4D/4R/6D/8D/9R compressors (pdf) p5; PWS_RLA=33.0</t>
        </is>
      </c>
      <c r="AB327" t="inlineStr">
        <is>
          <t>Copeland_RLA_230_460_3ph_60Hz.xlsx</t>
        </is>
      </c>
      <c r="AC327" t="inlineStr">
        <is>
          <t>Recip_2D-9R</t>
        </is>
      </c>
    </row>
    <row r="328">
      <c r="A328" t="inlineStr">
        <is>
          <t>COPELAND</t>
        </is>
      </c>
      <c r="B328" t="inlineStr">
        <is>
          <t>4DA3A2000-TSK</t>
        </is>
      </c>
      <c r="D328" t="inlineStr">
        <is>
          <t>Reciprocating Semi-hermetic</t>
        </is>
      </c>
      <c r="E328" s="2" t="n">
        <v>3</v>
      </c>
      <c r="F328" s="2" t="n">
        <v>60</v>
      </c>
      <c r="G328" s="2" t="n">
        <v>460</v>
      </c>
      <c r="H328" t="inlineStr">
        <is>
          <t>460</t>
        </is>
      </c>
      <c r="I328" s="2" t="n">
        <v>460</v>
      </c>
      <c r="J328" s="2" t="n">
        <v>460</v>
      </c>
      <c r="L328" s="3" t="n"/>
      <c r="M328" s="3" t="n"/>
      <c r="N328" s="3" t="n">
        <v>33.3</v>
      </c>
      <c r="O328" s="3" t="n"/>
      <c r="P328" s="3">
        <f>IF(L328&lt;&gt;"",L328/1.4,"")</f>
        <v/>
      </c>
      <c r="Q328" s="3">
        <f>IF(L328&lt;&gt;"",L328/1.56,"")</f>
        <v/>
      </c>
      <c r="R328" s="3">
        <f>IF(M328&lt;&gt;"",M328/1.4,"")</f>
        <v/>
      </c>
      <c r="S328" s="3">
        <f>IF(M328&lt;&gt;"",M328/1.56,"")</f>
        <v/>
      </c>
      <c r="T328" s="3">
        <f>IF(N328&lt;&gt;"",N328,IF(O328&lt;&gt;"",O328,IF(L328&lt;&gt;"",L328/1.56,IF(M328&lt;&gt;"",M328/1.56,""))))</f>
        <v/>
      </c>
      <c r="U328" s="3" t="n">
        <v>154</v>
      </c>
      <c r="V328" s="3" t="n"/>
      <c r="W328" s="3" t="n"/>
      <c r="X328" s="4" t="n"/>
      <c r="Y328" s="5" t="n">
        <v>0.696</v>
      </c>
      <c r="Z328" s="4">
        <f>IF(L328&lt;&gt;"",SQRT(3)*G328*L328/1000,"")</f>
        <v/>
      </c>
      <c r="AA328" t="inlineStr">
        <is>
          <t>Source=Copeland 2D/3D/4D/4R/6D/8D/9R compressors (pdf) p5</t>
        </is>
      </c>
      <c r="AB328" t="inlineStr">
        <is>
          <t>Copeland_RLA_230_460_3ph_60Hz.xlsx</t>
        </is>
      </c>
      <c r="AC328" t="inlineStr">
        <is>
          <t>Recip_2D-9R</t>
        </is>
      </c>
    </row>
    <row r="329">
      <c r="A329" t="inlineStr">
        <is>
          <t>COPELAND</t>
        </is>
      </c>
      <c r="B329" t="inlineStr">
        <is>
          <t>4DA3A2000-TXK</t>
        </is>
      </c>
      <c r="D329" t="inlineStr">
        <is>
          <t>Reciprocating Semi-hermetic</t>
        </is>
      </c>
      <c r="E329" s="2" t="n">
        <v>3</v>
      </c>
      <c r="F329" s="2" t="n">
        <v>60</v>
      </c>
      <c r="G329" s="2" t="n">
        <v>230</v>
      </c>
      <c r="H329" t="inlineStr">
        <is>
          <t>208/230</t>
        </is>
      </c>
      <c r="I329" s="2" t="n">
        <v>208</v>
      </c>
      <c r="J329" s="2" t="n">
        <v>230</v>
      </c>
      <c r="L329" s="3" t="n"/>
      <c r="M329" s="3" t="n"/>
      <c r="N329" s="3" t="n"/>
      <c r="O329" s="3" t="n"/>
      <c r="P329" s="3">
        <f>IF(L329&lt;&gt;"",L329/1.4,"")</f>
        <v/>
      </c>
      <c r="Q329" s="3">
        <f>IF(L329&lt;&gt;"",L329/1.56,"")</f>
        <v/>
      </c>
      <c r="R329" s="3">
        <f>IF(M329&lt;&gt;"",M329/1.4,"")</f>
        <v/>
      </c>
      <c r="S329" s="3">
        <f>IF(M329&lt;&gt;"",M329/1.56,"")</f>
        <v/>
      </c>
      <c r="T329" s="3">
        <f>IF(N329&lt;&gt;"",N329,IF(O329&lt;&gt;"",O329,IF(L329&lt;&gt;"",L329/1.56,IF(M329&lt;&gt;"",M329/1.56,""))))</f>
        <v/>
      </c>
      <c r="U329" s="3" t="n">
        <v>308</v>
      </c>
      <c r="V329" s="3" t="n">
        <v>188</v>
      </c>
      <c r="W329" s="3" t="n"/>
      <c r="X329" s="4" t="n"/>
      <c r="Y329" s="5" t="n">
        <v>0.174</v>
      </c>
      <c r="Z329" s="4">
        <f>IF(L329&lt;&gt;"",SQRT(3)*G329*L329/1000,"")</f>
        <v/>
      </c>
      <c r="AA329" t="inlineStr">
        <is>
          <t>Source=Copeland 2D/3D/4D/4R/6D/8D/9R compressors (pdf) p5; PWS_RLA=33.0</t>
        </is>
      </c>
      <c r="AB329" t="inlineStr">
        <is>
          <t>Copeland_RLA_230_460_3ph_60Hz.xlsx</t>
        </is>
      </c>
      <c r="AC329" t="inlineStr">
        <is>
          <t>Recip_2D-9R</t>
        </is>
      </c>
    </row>
    <row r="330">
      <c r="A330" t="inlineStr">
        <is>
          <t>COPELAND</t>
        </is>
      </c>
      <c r="B330" t="inlineStr">
        <is>
          <t>4DA3A2000-TXK</t>
        </is>
      </c>
      <c r="D330" t="inlineStr">
        <is>
          <t>Reciprocating Semi-hermetic</t>
        </is>
      </c>
      <c r="E330" s="2" t="n">
        <v>3</v>
      </c>
      <c r="F330" s="2" t="n">
        <v>60</v>
      </c>
      <c r="G330" s="2" t="n">
        <v>460</v>
      </c>
      <c r="H330" t="inlineStr">
        <is>
          <t>460</t>
        </is>
      </c>
      <c r="I330" s="2" t="n">
        <v>460</v>
      </c>
      <c r="J330" s="2" t="n">
        <v>460</v>
      </c>
      <c r="L330" s="3" t="n"/>
      <c r="M330" s="3" t="n"/>
      <c r="N330" s="3" t="n"/>
      <c r="O330" s="3" t="n"/>
      <c r="P330" s="3">
        <f>IF(L330&lt;&gt;"",L330/1.4,"")</f>
        <v/>
      </c>
      <c r="Q330" s="3">
        <f>IF(L330&lt;&gt;"",L330/1.56,"")</f>
        <v/>
      </c>
      <c r="R330" s="3">
        <f>IF(M330&lt;&gt;"",M330/1.4,"")</f>
        <v/>
      </c>
      <c r="S330" s="3">
        <f>IF(M330&lt;&gt;"",M330/1.56,"")</f>
        <v/>
      </c>
      <c r="T330" s="3">
        <f>IF(N330&lt;&gt;"",N330,IF(O330&lt;&gt;"",O330,IF(L330&lt;&gt;"",L330/1.56,IF(M330&lt;&gt;"",M330/1.56,""))))</f>
        <v/>
      </c>
      <c r="U330" s="3" t="n">
        <v>154</v>
      </c>
      <c r="V330" s="3" t="n"/>
      <c r="W330" s="3" t="n"/>
      <c r="X330" s="4" t="n"/>
      <c r="Y330" s="5" t="n">
        <v>0.696</v>
      </c>
      <c r="Z330" s="4">
        <f>IF(L330&lt;&gt;"",SQRT(3)*G330*L330/1000,"")</f>
        <v/>
      </c>
      <c r="AA330" t="inlineStr">
        <is>
          <t>Source=Copeland 2D/3D/4D/4R/6D/8D/9R compressors (pdf) p5</t>
        </is>
      </c>
      <c r="AB330" t="inlineStr">
        <is>
          <t>Copeland_RLA_230_460_3ph_60Hz.xlsx</t>
        </is>
      </c>
      <c r="AC330" t="inlineStr">
        <is>
          <t>Recip_2D-9R</t>
        </is>
      </c>
    </row>
    <row r="331">
      <c r="A331" t="inlineStr">
        <is>
          <t>COPELAND</t>
        </is>
      </c>
      <c r="B331" t="inlineStr">
        <is>
          <t>4DA3A200E-FSD</t>
        </is>
      </c>
      <c r="D331" t="inlineStr">
        <is>
          <t>Reciprocating Semi-hermetic</t>
        </is>
      </c>
      <c r="E331" s="2" t="n">
        <v>3</v>
      </c>
      <c r="F331" s="2" t="n">
        <v>60</v>
      </c>
      <c r="G331" s="2" t="n">
        <v>460</v>
      </c>
      <c r="H331" t="inlineStr">
        <is>
          <t>460</t>
        </is>
      </c>
      <c r="I331" s="2" t="n">
        <v>460</v>
      </c>
      <c r="J331" s="2" t="n">
        <v>460</v>
      </c>
      <c r="L331" s="3" t="n"/>
      <c r="M331" s="3" t="n"/>
      <c r="N331" s="3" t="n">
        <v>33.6</v>
      </c>
      <c r="O331" s="3" t="n"/>
      <c r="P331" s="3">
        <f>IF(L331&lt;&gt;"",L331/1.4,"")</f>
        <v/>
      </c>
      <c r="Q331" s="3">
        <f>IF(L331&lt;&gt;"",L331/1.56,"")</f>
        <v/>
      </c>
      <c r="R331" s="3">
        <f>IF(M331&lt;&gt;"",M331/1.4,"")</f>
        <v/>
      </c>
      <c r="S331" s="3">
        <f>IF(M331&lt;&gt;"",M331/1.56,"")</f>
        <v/>
      </c>
      <c r="T331" s="3">
        <f>IF(N331&lt;&gt;"",N331,IF(O331&lt;&gt;"",O331,IF(L331&lt;&gt;"",L331/1.56,IF(M331&lt;&gt;"",M331/1.56,""))))</f>
        <v/>
      </c>
      <c r="U331" s="3" t="n">
        <v>173</v>
      </c>
      <c r="V331" s="3" t="n">
        <v>104</v>
      </c>
      <c r="W331" s="3" t="n"/>
      <c r="X331" s="4" t="n"/>
      <c r="Y331" s="5" t="n">
        <v>0.603</v>
      </c>
      <c r="Z331" s="4">
        <f>IF(L331&lt;&gt;"",SQRT(3)*G331*L331/1000,"")</f>
        <v/>
      </c>
      <c r="AA331" t="inlineStr">
        <is>
          <t>Source=Copeland 2D/3D/4D/4R/6D/8D/9R compressors (pdf) p5; PWS_RLA=16.8</t>
        </is>
      </c>
      <c r="AB331" t="inlineStr">
        <is>
          <t>Copeland_RLA_230_460_3ph_60Hz.xlsx</t>
        </is>
      </c>
      <c r="AC331" t="inlineStr">
        <is>
          <t>Recip_2D-9R</t>
        </is>
      </c>
    </row>
    <row r="332">
      <c r="A332" t="inlineStr">
        <is>
          <t>COPELAND</t>
        </is>
      </c>
      <c r="B332" t="inlineStr">
        <is>
          <t>4DA3A200E-TSK</t>
        </is>
      </c>
      <c r="D332" t="inlineStr">
        <is>
          <t>Reciprocating Semi-hermetic</t>
        </is>
      </c>
      <c r="E332" s="2" t="n">
        <v>3</v>
      </c>
      <c r="F332" s="2" t="n">
        <v>60</v>
      </c>
      <c r="G332" s="2" t="n">
        <v>230</v>
      </c>
      <c r="H332" t="inlineStr">
        <is>
          <t>208/230</t>
        </is>
      </c>
      <c r="I332" s="2" t="n">
        <v>208</v>
      </c>
      <c r="J332" s="2" t="n">
        <v>230</v>
      </c>
      <c r="L332" s="3" t="n"/>
      <c r="M332" s="3" t="n"/>
      <c r="N332" s="3" t="n">
        <v>82.90000000000001</v>
      </c>
      <c r="O332" s="3" t="n"/>
      <c r="P332" s="3">
        <f>IF(L332&lt;&gt;"",L332/1.4,"")</f>
        <v/>
      </c>
      <c r="Q332" s="3">
        <f>IF(L332&lt;&gt;"",L332/1.56,"")</f>
        <v/>
      </c>
      <c r="R332" s="3">
        <f>IF(M332&lt;&gt;"",M332/1.4,"")</f>
        <v/>
      </c>
      <c r="S332" s="3">
        <f>IF(M332&lt;&gt;"",M332/1.56,"")</f>
        <v/>
      </c>
      <c r="T332" s="3">
        <f>IF(N332&lt;&gt;"",N332,IF(O332&lt;&gt;"",O332,IF(L332&lt;&gt;"",L332/1.56,IF(M332&lt;&gt;"",M332/1.56,""))))</f>
        <v/>
      </c>
      <c r="U332" s="3" t="n">
        <v>308</v>
      </c>
      <c r="V332" s="3" t="n">
        <v>188</v>
      </c>
      <c r="W332" s="3" t="n"/>
      <c r="X332" s="4" t="n"/>
      <c r="Y332" s="5" t="n">
        <v>0.174</v>
      </c>
      <c r="Z332" s="4">
        <f>IF(L332&lt;&gt;"",SQRT(3)*G332*L332/1000,"")</f>
        <v/>
      </c>
      <c r="AA332" t="inlineStr">
        <is>
          <t>Source=Copeland 2D/3D/4D/4R/6D/8D/9R compressors (pdf) p5; PWS_RLA=33.0</t>
        </is>
      </c>
      <c r="AB332" t="inlineStr">
        <is>
          <t>Copeland_RLA_230_460_3ph_60Hz.xlsx</t>
        </is>
      </c>
      <c r="AC332" t="inlineStr">
        <is>
          <t>Recip_2D-9R</t>
        </is>
      </c>
    </row>
    <row r="333">
      <c r="A333" t="inlineStr">
        <is>
          <t>COPELAND</t>
        </is>
      </c>
      <c r="B333" t="inlineStr">
        <is>
          <t>4DA3A200E-TSK</t>
        </is>
      </c>
      <c r="D333" t="inlineStr">
        <is>
          <t>Reciprocating Semi-hermetic</t>
        </is>
      </c>
      <c r="E333" s="2" t="n">
        <v>3</v>
      </c>
      <c r="F333" s="2" t="n">
        <v>60</v>
      </c>
      <c r="G333" s="2" t="n">
        <v>460</v>
      </c>
      <c r="H333" t="inlineStr">
        <is>
          <t>460</t>
        </is>
      </c>
      <c r="I333" s="2" t="n">
        <v>460</v>
      </c>
      <c r="J333" s="2" t="n">
        <v>460</v>
      </c>
      <c r="L333" s="3" t="n"/>
      <c r="M333" s="3" t="n"/>
      <c r="N333" s="3" t="n">
        <v>41.4</v>
      </c>
      <c r="O333" s="3" t="n"/>
      <c r="P333" s="3">
        <f>IF(L333&lt;&gt;"",L333/1.4,"")</f>
        <v/>
      </c>
      <c r="Q333" s="3">
        <f>IF(L333&lt;&gt;"",L333/1.56,"")</f>
        <v/>
      </c>
      <c r="R333" s="3">
        <f>IF(M333&lt;&gt;"",M333/1.4,"")</f>
        <v/>
      </c>
      <c r="S333" s="3">
        <f>IF(M333&lt;&gt;"",M333/1.56,"")</f>
        <v/>
      </c>
      <c r="T333" s="3">
        <f>IF(N333&lt;&gt;"",N333,IF(O333&lt;&gt;"",O333,IF(L333&lt;&gt;"",L333/1.56,IF(M333&lt;&gt;"",M333/1.56,""))))</f>
        <v/>
      </c>
      <c r="U333" s="3" t="n">
        <v>154</v>
      </c>
      <c r="V333" s="3" t="n"/>
      <c r="W333" s="3" t="n"/>
      <c r="X333" s="4" t="n"/>
      <c r="Y333" s="5" t="n">
        <v>0.696</v>
      </c>
      <c r="Z333" s="4">
        <f>IF(L333&lt;&gt;"",SQRT(3)*G333*L333/1000,"")</f>
        <v/>
      </c>
      <c r="AA333" t="inlineStr">
        <is>
          <t>Source=Copeland 2D/3D/4D/4R/6D/8D/9R compressors (pdf) p5</t>
        </is>
      </c>
      <c r="AB333" t="inlineStr">
        <is>
          <t>Copeland_RLA_230_460_3ph_60Hz.xlsx</t>
        </is>
      </c>
      <c r="AC333" t="inlineStr">
        <is>
          <t>Recip_2D-9R</t>
        </is>
      </c>
    </row>
    <row r="334">
      <c r="A334" t="inlineStr">
        <is>
          <t>COPELAND</t>
        </is>
      </c>
      <c r="B334" t="inlineStr">
        <is>
          <t>4DA3A200L-FSD</t>
        </is>
      </c>
      <c r="D334" t="inlineStr">
        <is>
          <t>Reciprocating Semi-hermetic</t>
        </is>
      </c>
      <c r="E334" s="2" t="n">
        <v>3</v>
      </c>
      <c r="F334" s="2" t="n">
        <v>60</v>
      </c>
      <c r="G334" s="2" t="n">
        <v>460</v>
      </c>
      <c r="H334" t="inlineStr">
        <is>
          <t>460</t>
        </is>
      </c>
      <c r="I334" s="2" t="n">
        <v>460</v>
      </c>
      <c r="J334" s="2" t="n">
        <v>460</v>
      </c>
      <c r="L334" s="3" t="n"/>
      <c r="M334" s="3" t="n"/>
      <c r="N334" s="3" t="n">
        <v>33.6</v>
      </c>
      <c r="O334" s="3" t="n"/>
      <c r="P334" s="3">
        <f>IF(L334&lt;&gt;"",L334/1.4,"")</f>
        <v/>
      </c>
      <c r="Q334" s="3">
        <f>IF(L334&lt;&gt;"",L334/1.56,"")</f>
        <v/>
      </c>
      <c r="R334" s="3">
        <f>IF(M334&lt;&gt;"",M334/1.4,"")</f>
        <v/>
      </c>
      <c r="S334" s="3">
        <f>IF(M334&lt;&gt;"",M334/1.56,"")</f>
        <v/>
      </c>
      <c r="T334" s="3">
        <f>IF(N334&lt;&gt;"",N334,IF(O334&lt;&gt;"",O334,IF(L334&lt;&gt;"",L334/1.56,IF(M334&lt;&gt;"",M334/1.56,""))))</f>
        <v/>
      </c>
      <c r="U334" s="3" t="n">
        <v>173</v>
      </c>
      <c r="V334" s="3" t="n">
        <v>104</v>
      </c>
      <c r="W334" s="3" t="n"/>
      <c r="X334" s="4" t="n"/>
      <c r="Y334" s="5" t="n">
        <v>0.603</v>
      </c>
      <c r="Z334" s="4">
        <f>IF(L334&lt;&gt;"",SQRT(3)*G334*L334/1000,"")</f>
        <v/>
      </c>
      <c r="AA334" t="inlineStr">
        <is>
          <t>Source=Copeland 2D/3D/4D/4R/6D/8D/9R compressors (pdf) p5; PWS_RLA=16.8</t>
        </is>
      </c>
      <c r="AB334" t="inlineStr">
        <is>
          <t>Copeland_RLA_230_460_3ph_60Hz.xlsx</t>
        </is>
      </c>
      <c r="AC334" t="inlineStr">
        <is>
          <t>Recip_2D-9R</t>
        </is>
      </c>
    </row>
    <row r="335">
      <c r="A335" t="inlineStr">
        <is>
          <t>COPELAND</t>
        </is>
      </c>
      <c r="B335" t="inlineStr">
        <is>
          <t>4DA3A200L-TSK</t>
        </is>
      </c>
      <c r="D335" t="inlineStr">
        <is>
          <t>Reciprocating Semi-hermetic</t>
        </is>
      </c>
      <c r="E335" s="2" t="n">
        <v>3</v>
      </c>
      <c r="F335" s="2" t="n">
        <v>60</v>
      </c>
      <c r="G335" s="2" t="n">
        <v>230</v>
      </c>
      <c r="H335" t="inlineStr">
        <is>
          <t>208/230</t>
        </is>
      </c>
      <c r="I335" s="2" t="n">
        <v>208</v>
      </c>
      <c r="J335" s="2" t="n">
        <v>230</v>
      </c>
      <c r="L335" s="3" t="n"/>
      <c r="M335" s="3" t="n"/>
      <c r="N335" s="3" t="n">
        <v>82.90000000000001</v>
      </c>
      <c r="O335" s="3" t="n"/>
      <c r="P335" s="3">
        <f>IF(L335&lt;&gt;"",L335/1.4,"")</f>
        <v/>
      </c>
      <c r="Q335" s="3">
        <f>IF(L335&lt;&gt;"",L335/1.56,"")</f>
        <v/>
      </c>
      <c r="R335" s="3">
        <f>IF(M335&lt;&gt;"",M335/1.4,"")</f>
        <v/>
      </c>
      <c r="S335" s="3">
        <f>IF(M335&lt;&gt;"",M335/1.56,"")</f>
        <v/>
      </c>
      <c r="T335" s="3">
        <f>IF(N335&lt;&gt;"",N335,IF(O335&lt;&gt;"",O335,IF(L335&lt;&gt;"",L335/1.56,IF(M335&lt;&gt;"",M335/1.56,""))))</f>
        <v/>
      </c>
      <c r="U335" s="3" t="n">
        <v>308</v>
      </c>
      <c r="V335" s="3" t="n">
        <v>188</v>
      </c>
      <c r="W335" s="3" t="n"/>
      <c r="X335" s="4" t="n"/>
      <c r="Y335" s="5" t="n">
        <v>0.174</v>
      </c>
      <c r="Z335" s="4">
        <f>IF(L335&lt;&gt;"",SQRT(3)*G335*L335/1000,"")</f>
        <v/>
      </c>
      <c r="AA335" t="inlineStr">
        <is>
          <t>Source=Copeland 2D/3D/4D/4R/6D/8D/9R compressors (pdf) p6; PWS_RLA=33.0</t>
        </is>
      </c>
      <c r="AB335" t="inlineStr">
        <is>
          <t>Copeland_RLA_230_460_3ph_60Hz.xlsx</t>
        </is>
      </c>
      <c r="AC335" t="inlineStr">
        <is>
          <t>Recip_2D-9R</t>
        </is>
      </c>
    </row>
    <row r="336">
      <c r="A336" t="inlineStr">
        <is>
          <t>COPELAND</t>
        </is>
      </c>
      <c r="B336" t="inlineStr">
        <is>
          <t>4DA3A200L-TSK</t>
        </is>
      </c>
      <c r="D336" t="inlineStr">
        <is>
          <t>Reciprocating Semi-hermetic</t>
        </is>
      </c>
      <c r="E336" s="2" t="n">
        <v>3</v>
      </c>
      <c r="F336" s="2" t="n">
        <v>60</v>
      </c>
      <c r="G336" s="2" t="n">
        <v>460</v>
      </c>
      <c r="H336" t="inlineStr">
        <is>
          <t>460</t>
        </is>
      </c>
      <c r="I336" s="2" t="n">
        <v>460</v>
      </c>
      <c r="J336" s="2" t="n">
        <v>460</v>
      </c>
      <c r="L336" s="3" t="n"/>
      <c r="M336" s="3" t="n"/>
      <c r="N336" s="3" t="n">
        <v>41.4</v>
      </c>
      <c r="O336" s="3" t="n"/>
      <c r="P336" s="3">
        <f>IF(L336&lt;&gt;"",L336/1.4,"")</f>
        <v/>
      </c>
      <c r="Q336" s="3">
        <f>IF(L336&lt;&gt;"",L336/1.56,"")</f>
        <v/>
      </c>
      <c r="R336" s="3">
        <f>IF(M336&lt;&gt;"",M336/1.4,"")</f>
        <v/>
      </c>
      <c r="S336" s="3">
        <f>IF(M336&lt;&gt;"",M336/1.56,"")</f>
        <v/>
      </c>
      <c r="T336" s="3">
        <f>IF(N336&lt;&gt;"",N336,IF(O336&lt;&gt;"",O336,IF(L336&lt;&gt;"",L336/1.56,IF(M336&lt;&gt;"",M336/1.56,""))))</f>
        <v/>
      </c>
      <c r="U336" s="3" t="n">
        <v>154</v>
      </c>
      <c r="V336" s="3" t="n"/>
      <c r="W336" s="3" t="n"/>
      <c r="X336" s="4" t="n"/>
      <c r="Y336" s="5" t="n">
        <v>0.696</v>
      </c>
      <c r="Z336" s="4">
        <f>IF(L336&lt;&gt;"",SQRT(3)*G336*L336/1000,"")</f>
        <v/>
      </c>
      <c r="AA336" t="inlineStr">
        <is>
          <t>Source=Copeland 2D/3D/4D/4R/6D/8D/9R compressors (pdf) p6</t>
        </is>
      </c>
      <c r="AB336" t="inlineStr">
        <is>
          <t>Copeland_RLA_230_460_3ph_60Hz.xlsx</t>
        </is>
      </c>
      <c r="AC336" t="inlineStr">
        <is>
          <t>Recip_2D-9R</t>
        </is>
      </c>
    </row>
    <row r="337">
      <c r="A337" t="inlineStr">
        <is>
          <t>COPELAND</t>
        </is>
      </c>
      <c r="B337" t="inlineStr">
        <is>
          <t>4DA3F47K0-TSK</t>
        </is>
      </c>
      <c r="D337" t="inlineStr">
        <is>
          <t>Reciprocating Semi-hermetic</t>
        </is>
      </c>
      <c r="E337" s="2" t="n">
        <v>3</v>
      </c>
      <c r="F337" s="2" t="n">
        <v>60</v>
      </c>
      <c r="G337" s="2" t="n">
        <v>230</v>
      </c>
      <c r="H337" t="inlineStr">
        <is>
          <t>208/230</t>
        </is>
      </c>
      <c r="I337" s="2" t="n">
        <v>208</v>
      </c>
      <c r="J337" s="2" t="n">
        <v>230</v>
      </c>
      <c r="L337" s="3" t="n"/>
      <c r="M337" s="3" t="n"/>
      <c r="N337" s="3" t="n">
        <v>42</v>
      </c>
      <c r="O337" s="3" t="n"/>
      <c r="P337" s="3">
        <f>IF(L337&lt;&gt;"",L337/1.4,"")</f>
        <v/>
      </c>
      <c r="Q337" s="3">
        <f>IF(L337&lt;&gt;"",L337/1.56,"")</f>
        <v/>
      </c>
      <c r="R337" s="3">
        <f>IF(M337&lt;&gt;"",M337/1.4,"")</f>
        <v/>
      </c>
      <c r="S337" s="3">
        <f>IF(M337&lt;&gt;"",M337/1.56,"")</f>
        <v/>
      </c>
      <c r="T337" s="3">
        <f>IF(N337&lt;&gt;"",N337,IF(O337&lt;&gt;"",O337,IF(L337&lt;&gt;"",L337/1.56,IF(M337&lt;&gt;"",M337/1.56,""))))</f>
        <v/>
      </c>
      <c r="U337" s="3" t="n">
        <v>220</v>
      </c>
      <c r="V337" s="3" t="n">
        <v>134</v>
      </c>
      <c r="W337" s="3" t="n"/>
      <c r="X337" s="4" t="n"/>
      <c r="Y337" s="5" t="n">
        <v>0.244</v>
      </c>
      <c r="Z337" s="4">
        <f>IF(L337&lt;&gt;"",SQRT(3)*G337*L337/1000,"")</f>
        <v/>
      </c>
      <c r="AA337" t="inlineStr">
        <is>
          <t>Source=Copeland 2D/3D/4D/4R/6D/8D/9R compressors (pdf) p6; PWS_RLA=22.6</t>
        </is>
      </c>
      <c r="AB337" t="inlineStr">
        <is>
          <t>Copeland_RLA_230_460_3ph_60Hz.xlsx</t>
        </is>
      </c>
      <c r="AC337" t="inlineStr">
        <is>
          <t>Recip_2D-9R</t>
        </is>
      </c>
    </row>
    <row r="338">
      <c r="A338" t="inlineStr">
        <is>
          <t>COPELAND</t>
        </is>
      </c>
      <c r="B338" t="inlineStr">
        <is>
          <t>4DA3F47K0-TSK</t>
        </is>
      </c>
      <c r="D338" t="inlineStr">
        <is>
          <t>Reciprocating Semi-hermetic</t>
        </is>
      </c>
      <c r="E338" s="2" t="n">
        <v>3</v>
      </c>
      <c r="F338" s="2" t="n">
        <v>60</v>
      </c>
      <c r="G338" s="2" t="n">
        <v>460</v>
      </c>
      <c r="H338" t="inlineStr">
        <is>
          <t>460</t>
        </is>
      </c>
      <c r="I338" s="2" t="n">
        <v>460</v>
      </c>
      <c r="J338" s="2" t="n">
        <v>460</v>
      </c>
      <c r="L338" s="3" t="n"/>
      <c r="M338" s="3" t="n"/>
      <c r="N338" s="3" t="n">
        <v>21</v>
      </c>
      <c r="O338" s="3" t="n"/>
      <c r="P338" s="3">
        <f>IF(L338&lt;&gt;"",L338/1.4,"")</f>
        <v/>
      </c>
      <c r="Q338" s="3">
        <f>IF(L338&lt;&gt;"",L338/1.56,"")</f>
        <v/>
      </c>
      <c r="R338" s="3">
        <f>IF(M338&lt;&gt;"",M338/1.4,"")</f>
        <v/>
      </c>
      <c r="S338" s="3">
        <f>IF(M338&lt;&gt;"",M338/1.56,"")</f>
        <v/>
      </c>
      <c r="T338" s="3">
        <f>IF(N338&lt;&gt;"",N338,IF(O338&lt;&gt;"",O338,IF(L338&lt;&gt;"",L338/1.56,IF(M338&lt;&gt;"",M338/1.56,""))))</f>
        <v/>
      </c>
      <c r="U338" s="3" t="n">
        <v>110</v>
      </c>
      <c r="V338" s="3" t="n"/>
      <c r="W338" s="3" t="n"/>
      <c r="X338" s="4" t="n"/>
      <c r="Y338" s="5" t="n">
        <v>0.976</v>
      </c>
      <c r="Z338" s="4">
        <f>IF(L338&lt;&gt;"",SQRT(3)*G338*L338/1000,"")</f>
        <v/>
      </c>
      <c r="AA338" t="inlineStr">
        <is>
          <t>Source=Copeland 2D/3D/4D/4R/6D/8D/9R compressors (pdf) p6</t>
        </is>
      </c>
      <c r="AB338" t="inlineStr">
        <is>
          <t>Copeland_RLA_230_460_3ph_60Hz.xlsx</t>
        </is>
      </c>
      <c r="AC338" t="inlineStr">
        <is>
          <t>Recip_2D-9R</t>
        </is>
      </c>
    </row>
    <row r="339">
      <c r="A339" t="inlineStr">
        <is>
          <t>COPELAND</t>
        </is>
      </c>
      <c r="B339" t="inlineStr">
        <is>
          <t>4DA3F47KE-TSK</t>
        </is>
      </c>
      <c r="D339" t="inlineStr">
        <is>
          <t>Reciprocating Semi-hermetic</t>
        </is>
      </c>
      <c r="E339" s="2" t="n">
        <v>3</v>
      </c>
      <c r="F339" s="2" t="n">
        <v>60</v>
      </c>
      <c r="G339" s="2" t="n">
        <v>230</v>
      </c>
      <c r="H339" t="inlineStr">
        <is>
          <t>208/230</t>
        </is>
      </c>
      <c r="I339" s="2" t="n">
        <v>208</v>
      </c>
      <c r="J339" s="2" t="n">
        <v>230</v>
      </c>
      <c r="L339" s="3" t="n"/>
      <c r="M339" s="3" t="n"/>
      <c r="N339" s="3" t="n">
        <v>45.6</v>
      </c>
      <c r="O339" s="3" t="n"/>
      <c r="P339" s="3">
        <f>IF(L339&lt;&gt;"",L339/1.4,"")</f>
        <v/>
      </c>
      <c r="Q339" s="3">
        <f>IF(L339&lt;&gt;"",L339/1.56,"")</f>
        <v/>
      </c>
      <c r="R339" s="3">
        <f>IF(M339&lt;&gt;"",M339/1.4,"")</f>
        <v/>
      </c>
      <c r="S339" s="3">
        <f>IF(M339&lt;&gt;"",M339/1.56,"")</f>
        <v/>
      </c>
      <c r="T339" s="3">
        <f>IF(N339&lt;&gt;"",N339,IF(O339&lt;&gt;"",O339,IF(L339&lt;&gt;"",L339/1.56,IF(M339&lt;&gt;"",M339/1.56,""))))</f>
        <v/>
      </c>
      <c r="U339" s="3" t="n">
        <v>220</v>
      </c>
      <c r="V339" s="3" t="n">
        <v>134</v>
      </c>
      <c r="W339" s="3" t="n"/>
      <c r="X339" s="4" t="n"/>
      <c r="Y339" s="5" t="n">
        <v>0.244</v>
      </c>
      <c r="Z339" s="4">
        <f>IF(L339&lt;&gt;"",SQRT(3)*G339*L339/1000,"")</f>
        <v/>
      </c>
      <c r="AA339" t="inlineStr">
        <is>
          <t>Source=Copeland 2D/3D/4D/4R/6D/8D/9R compressors (pdf) p6; PWS_RLA=22.6</t>
        </is>
      </c>
      <c r="AB339" t="inlineStr">
        <is>
          <t>Copeland_RLA_230_460_3ph_60Hz.xlsx</t>
        </is>
      </c>
      <c r="AC339" t="inlineStr">
        <is>
          <t>Recip_2D-9R</t>
        </is>
      </c>
    </row>
    <row r="340">
      <c r="A340" t="inlineStr">
        <is>
          <t>COPELAND</t>
        </is>
      </c>
      <c r="B340" t="inlineStr">
        <is>
          <t>4DA3F47KE-TSK</t>
        </is>
      </c>
      <c r="D340" t="inlineStr">
        <is>
          <t>Reciprocating Semi-hermetic</t>
        </is>
      </c>
      <c r="E340" s="2" t="n">
        <v>3</v>
      </c>
      <c r="F340" s="2" t="n">
        <v>60</v>
      </c>
      <c r="G340" s="2" t="n">
        <v>460</v>
      </c>
      <c r="H340" t="inlineStr">
        <is>
          <t>460</t>
        </is>
      </c>
      <c r="I340" s="2" t="n">
        <v>460</v>
      </c>
      <c r="J340" s="2" t="n">
        <v>460</v>
      </c>
      <c r="L340" s="3" t="n"/>
      <c r="M340" s="3" t="n"/>
      <c r="N340" s="3" t="n">
        <v>22.8</v>
      </c>
      <c r="O340" s="3" t="n"/>
      <c r="P340" s="3">
        <f>IF(L340&lt;&gt;"",L340/1.4,"")</f>
        <v/>
      </c>
      <c r="Q340" s="3">
        <f>IF(L340&lt;&gt;"",L340/1.56,"")</f>
        <v/>
      </c>
      <c r="R340" s="3">
        <f>IF(M340&lt;&gt;"",M340/1.4,"")</f>
        <v/>
      </c>
      <c r="S340" s="3">
        <f>IF(M340&lt;&gt;"",M340/1.56,"")</f>
        <v/>
      </c>
      <c r="T340" s="3">
        <f>IF(N340&lt;&gt;"",N340,IF(O340&lt;&gt;"",O340,IF(L340&lt;&gt;"",L340/1.56,IF(M340&lt;&gt;"",M340/1.56,""))))</f>
        <v/>
      </c>
      <c r="U340" s="3" t="n">
        <v>110</v>
      </c>
      <c r="V340" s="3" t="n"/>
      <c r="W340" s="3" t="n"/>
      <c r="X340" s="4" t="n"/>
      <c r="Y340" s="5" t="n">
        <v>0.976</v>
      </c>
      <c r="Z340" s="4">
        <f>IF(L340&lt;&gt;"",SQRT(3)*G340*L340/1000,"")</f>
        <v/>
      </c>
      <c r="AA340" t="inlineStr">
        <is>
          <t>Source=Copeland 2D/3D/4D/4R/6D/8D/9R compressors (pdf) p6</t>
        </is>
      </c>
      <c r="AB340" t="inlineStr">
        <is>
          <t>Copeland_RLA_230_460_3ph_60Hz.xlsx</t>
        </is>
      </c>
      <c r="AC340" t="inlineStr">
        <is>
          <t>Recip_2D-9R</t>
        </is>
      </c>
    </row>
    <row r="341">
      <c r="A341" t="inlineStr">
        <is>
          <t>COPELAND</t>
        </is>
      </c>
      <c r="B341" t="inlineStr">
        <is>
          <t>4DA3F47KL-TSK</t>
        </is>
      </c>
      <c r="D341" t="inlineStr">
        <is>
          <t>Reciprocating Semi-hermetic</t>
        </is>
      </c>
      <c r="E341" s="2" t="n">
        <v>3</v>
      </c>
      <c r="F341" s="2" t="n">
        <v>60</v>
      </c>
      <c r="G341" s="2" t="n">
        <v>230</v>
      </c>
      <c r="H341" t="inlineStr">
        <is>
          <t>208/230</t>
        </is>
      </c>
      <c r="I341" s="2" t="n">
        <v>208</v>
      </c>
      <c r="J341" s="2" t="n">
        <v>230</v>
      </c>
      <c r="L341" s="3" t="n"/>
      <c r="M341" s="3" t="n"/>
      <c r="N341" s="3" t="n">
        <v>45.6</v>
      </c>
      <c r="O341" s="3" t="n"/>
      <c r="P341" s="3">
        <f>IF(L341&lt;&gt;"",L341/1.4,"")</f>
        <v/>
      </c>
      <c r="Q341" s="3">
        <f>IF(L341&lt;&gt;"",L341/1.56,"")</f>
        <v/>
      </c>
      <c r="R341" s="3">
        <f>IF(M341&lt;&gt;"",M341/1.4,"")</f>
        <v/>
      </c>
      <c r="S341" s="3">
        <f>IF(M341&lt;&gt;"",M341/1.56,"")</f>
        <v/>
      </c>
      <c r="T341" s="3">
        <f>IF(N341&lt;&gt;"",N341,IF(O341&lt;&gt;"",O341,IF(L341&lt;&gt;"",L341/1.56,IF(M341&lt;&gt;"",M341/1.56,""))))</f>
        <v/>
      </c>
      <c r="U341" s="3" t="n">
        <v>220</v>
      </c>
      <c r="V341" s="3" t="n">
        <v>134</v>
      </c>
      <c r="W341" s="3" t="n"/>
      <c r="X341" s="4" t="n"/>
      <c r="Y341" s="5" t="n">
        <v>0.244</v>
      </c>
      <c r="Z341" s="4">
        <f>IF(L341&lt;&gt;"",SQRT(3)*G341*L341/1000,"")</f>
        <v/>
      </c>
      <c r="AA341" t="inlineStr">
        <is>
          <t>Source=Copeland 2D/3D/4D/4R/6D/8D/9R compressors (pdf) p6; PWS_RLA=22.6</t>
        </is>
      </c>
      <c r="AB341" t="inlineStr">
        <is>
          <t>Copeland_RLA_230_460_3ph_60Hz.xlsx</t>
        </is>
      </c>
      <c r="AC341" t="inlineStr">
        <is>
          <t>Recip_2D-9R</t>
        </is>
      </c>
    </row>
    <row r="342">
      <c r="A342" t="inlineStr">
        <is>
          <t>COPELAND</t>
        </is>
      </c>
      <c r="B342" t="inlineStr">
        <is>
          <t>4DA3F47KL-TSK</t>
        </is>
      </c>
      <c r="D342" t="inlineStr">
        <is>
          <t>Reciprocating Semi-hermetic</t>
        </is>
      </c>
      <c r="E342" s="2" t="n">
        <v>3</v>
      </c>
      <c r="F342" s="2" t="n">
        <v>60</v>
      </c>
      <c r="G342" s="2" t="n">
        <v>460</v>
      </c>
      <c r="H342" t="inlineStr">
        <is>
          <t>460</t>
        </is>
      </c>
      <c r="I342" s="2" t="n">
        <v>460</v>
      </c>
      <c r="J342" s="2" t="n">
        <v>460</v>
      </c>
      <c r="L342" s="3" t="n"/>
      <c r="M342" s="3" t="n"/>
      <c r="N342" s="3" t="n">
        <v>22.8</v>
      </c>
      <c r="O342" s="3" t="n"/>
      <c r="P342" s="3">
        <f>IF(L342&lt;&gt;"",L342/1.4,"")</f>
        <v/>
      </c>
      <c r="Q342" s="3">
        <f>IF(L342&lt;&gt;"",L342/1.56,"")</f>
        <v/>
      </c>
      <c r="R342" s="3">
        <f>IF(M342&lt;&gt;"",M342/1.4,"")</f>
        <v/>
      </c>
      <c r="S342" s="3">
        <f>IF(M342&lt;&gt;"",M342/1.56,"")</f>
        <v/>
      </c>
      <c r="T342" s="3">
        <f>IF(N342&lt;&gt;"",N342,IF(O342&lt;&gt;"",O342,IF(L342&lt;&gt;"",L342/1.56,IF(M342&lt;&gt;"",M342/1.56,""))))</f>
        <v/>
      </c>
      <c r="U342" s="3" t="n">
        <v>110</v>
      </c>
      <c r="V342" s="3" t="n"/>
      <c r="W342" s="3" t="n"/>
      <c r="X342" s="4" t="n"/>
      <c r="Y342" s="5" t="n">
        <v>0.976</v>
      </c>
      <c r="Z342" s="4">
        <f>IF(L342&lt;&gt;"",SQRT(3)*G342*L342/1000,"")</f>
        <v/>
      </c>
      <c r="AA342" t="inlineStr">
        <is>
          <t>Source=Copeland 2D/3D/4D/4R/6D/8D/9R compressors (pdf) p6</t>
        </is>
      </c>
      <c r="AB342" t="inlineStr">
        <is>
          <t>Copeland_RLA_230_460_3ph_60Hz.xlsx</t>
        </is>
      </c>
      <c r="AC342" t="inlineStr">
        <is>
          <t>Recip_2D-9R</t>
        </is>
      </c>
    </row>
    <row r="343">
      <c r="A343" t="inlineStr">
        <is>
          <t>COPELAND</t>
        </is>
      </c>
      <c r="B343" t="inlineStr">
        <is>
          <t>4DA3R12M0-FSD</t>
        </is>
      </c>
      <c r="D343" t="inlineStr">
        <is>
          <t>Reciprocating Semi-hermetic</t>
        </is>
      </c>
      <c r="E343" s="2" t="n">
        <v>3</v>
      </c>
      <c r="F343" s="2" t="n">
        <v>60</v>
      </c>
      <c r="G343" s="2" t="n">
        <v>460</v>
      </c>
      <c r="H343" t="inlineStr">
        <is>
          <t>460</t>
        </is>
      </c>
      <c r="I343" s="2" t="n">
        <v>460</v>
      </c>
      <c r="J343" s="2" t="n">
        <v>460</v>
      </c>
      <c r="L343" s="3" t="n"/>
      <c r="M343" s="3" t="n"/>
      <c r="N343" s="3" t="n">
        <v>20</v>
      </c>
      <c r="O343" s="3" t="n"/>
      <c r="P343" s="3">
        <f>IF(L343&lt;&gt;"",L343/1.4,"")</f>
        <v/>
      </c>
      <c r="Q343" s="3">
        <f>IF(L343&lt;&gt;"",L343/1.56,"")</f>
        <v/>
      </c>
      <c r="R343" s="3">
        <f>IF(M343&lt;&gt;"",M343/1.4,"")</f>
        <v/>
      </c>
      <c r="S343" s="3">
        <f>IF(M343&lt;&gt;"",M343/1.56,"")</f>
        <v/>
      </c>
      <c r="T343" s="3">
        <f>IF(N343&lt;&gt;"",N343,IF(O343&lt;&gt;"",O343,IF(L343&lt;&gt;"",L343/1.56,IF(M343&lt;&gt;"",M343/1.56,""))))</f>
        <v/>
      </c>
      <c r="U343" s="3" t="n">
        <v>115</v>
      </c>
      <c r="V343" s="3" t="n">
        <v>70</v>
      </c>
      <c r="W343" s="3" t="n"/>
      <c r="X343" s="4" t="n"/>
      <c r="Y343" s="5" t="n">
        <v>1.012</v>
      </c>
      <c r="Z343" s="4">
        <f>IF(L343&lt;&gt;"",SQRT(3)*G343*L343/1000,"")</f>
        <v/>
      </c>
      <c r="AA343" t="inlineStr">
        <is>
          <t>Source=Copeland 2D/3D/4D/4R/6D/8D/9R compressors (pdf) p6; PWS_RLA=10.0</t>
        </is>
      </c>
      <c r="AB343" t="inlineStr">
        <is>
          <t>Copeland_RLA_230_460_3ph_60Hz.xlsx</t>
        </is>
      </c>
      <c r="AC343" t="inlineStr">
        <is>
          <t>Recip_2D-9R</t>
        </is>
      </c>
    </row>
    <row r="344">
      <c r="A344" t="inlineStr">
        <is>
          <t>COPELAND</t>
        </is>
      </c>
      <c r="B344" t="inlineStr">
        <is>
          <t>4DA3R12ME-FSD</t>
        </is>
      </c>
      <c r="D344" t="inlineStr">
        <is>
          <t>Reciprocating Semi-hermetic</t>
        </is>
      </c>
      <c r="E344" s="2" t="n">
        <v>3</v>
      </c>
      <c r="F344" s="2" t="n">
        <v>60</v>
      </c>
      <c r="G344" s="2" t="n">
        <v>460</v>
      </c>
      <c r="H344" t="inlineStr">
        <is>
          <t>460</t>
        </is>
      </c>
      <c r="I344" s="2" t="n">
        <v>460</v>
      </c>
      <c r="J344" s="2" t="n">
        <v>460</v>
      </c>
      <c r="L344" s="3" t="n"/>
      <c r="M344" s="3" t="n"/>
      <c r="N344" s="3" t="n">
        <v>20</v>
      </c>
      <c r="O344" s="3" t="n"/>
      <c r="P344" s="3">
        <f>IF(L344&lt;&gt;"",L344/1.4,"")</f>
        <v/>
      </c>
      <c r="Q344" s="3">
        <f>IF(L344&lt;&gt;"",L344/1.56,"")</f>
        <v/>
      </c>
      <c r="R344" s="3">
        <f>IF(M344&lt;&gt;"",M344/1.4,"")</f>
        <v/>
      </c>
      <c r="S344" s="3">
        <f>IF(M344&lt;&gt;"",M344/1.56,"")</f>
        <v/>
      </c>
      <c r="T344" s="3">
        <f>IF(N344&lt;&gt;"",N344,IF(O344&lt;&gt;"",O344,IF(L344&lt;&gt;"",L344/1.56,IF(M344&lt;&gt;"",M344/1.56,""))))</f>
        <v/>
      </c>
      <c r="U344" s="3" t="n">
        <v>115</v>
      </c>
      <c r="V344" s="3" t="n">
        <v>70</v>
      </c>
      <c r="W344" s="3" t="n"/>
      <c r="X344" s="4" t="n"/>
      <c r="Y344" s="5" t="n">
        <v>1.012</v>
      </c>
      <c r="Z344" s="4">
        <f>IF(L344&lt;&gt;"",SQRT(3)*G344*L344/1000,"")</f>
        <v/>
      </c>
      <c r="AA344" t="inlineStr">
        <is>
          <t>Source=Copeland 2D/3D/4D/4R/6D/8D/9R compressors (pdf) p6; PWS_RLA=10.0</t>
        </is>
      </c>
      <c r="AB344" t="inlineStr">
        <is>
          <t>Copeland_RLA_230_460_3ph_60Hz.xlsx</t>
        </is>
      </c>
      <c r="AC344" t="inlineStr">
        <is>
          <t>Recip_2D-9R</t>
        </is>
      </c>
    </row>
    <row r="345">
      <c r="A345" t="inlineStr">
        <is>
          <t>COPELAND</t>
        </is>
      </c>
      <c r="B345" t="inlineStr">
        <is>
          <t>4DA3R12ME-TSK</t>
        </is>
      </c>
      <c r="D345" t="inlineStr">
        <is>
          <t>Reciprocating Semi-hermetic</t>
        </is>
      </c>
      <c r="E345" s="2" t="n">
        <v>3</v>
      </c>
      <c r="F345" s="2" t="n">
        <v>60</v>
      </c>
      <c r="G345" s="2" t="n">
        <v>230</v>
      </c>
      <c r="H345" t="inlineStr">
        <is>
          <t>208/230</t>
        </is>
      </c>
      <c r="I345" s="2" t="n">
        <v>208</v>
      </c>
      <c r="J345" s="2" t="n">
        <v>230</v>
      </c>
      <c r="L345" s="3" t="n"/>
      <c r="M345" s="3" t="n"/>
      <c r="N345" s="3" t="n">
        <v>42</v>
      </c>
      <c r="O345" s="3" t="n"/>
      <c r="P345" s="3">
        <f>IF(L345&lt;&gt;"",L345/1.4,"")</f>
        <v/>
      </c>
      <c r="Q345" s="3">
        <f>IF(L345&lt;&gt;"",L345/1.56,"")</f>
        <v/>
      </c>
      <c r="R345" s="3">
        <f>IF(M345&lt;&gt;"",M345/1.4,"")</f>
        <v/>
      </c>
      <c r="S345" s="3">
        <f>IF(M345&lt;&gt;"",M345/1.56,"")</f>
        <v/>
      </c>
      <c r="T345" s="3">
        <f>IF(N345&lt;&gt;"",N345,IF(O345&lt;&gt;"",O345,IF(L345&lt;&gt;"",L345/1.56,IF(M345&lt;&gt;"",M345/1.56,""))))</f>
        <v/>
      </c>
      <c r="U345" s="3" t="n">
        <v>240</v>
      </c>
      <c r="V345" s="3" t="n">
        <v>140</v>
      </c>
      <c r="W345" s="3" t="n"/>
      <c r="X345" s="4" t="n"/>
      <c r="Y345" s="5" t="n">
        <v>0.259</v>
      </c>
      <c r="Z345" s="4">
        <f>IF(L345&lt;&gt;"",SQRT(3)*G345*L345/1000,"")</f>
        <v/>
      </c>
      <c r="AA345" t="inlineStr">
        <is>
          <t>Source=Copeland 2D/3D/4D/4R/6D/8D/9R compressors (pdf) p6; PWS_RLA=21.0</t>
        </is>
      </c>
      <c r="AB345" t="inlineStr">
        <is>
          <t>Copeland_RLA_230_460_3ph_60Hz.xlsx</t>
        </is>
      </c>
      <c r="AC345" t="inlineStr">
        <is>
          <t>Recip_2D-9R</t>
        </is>
      </c>
    </row>
    <row r="346">
      <c r="A346" t="inlineStr">
        <is>
          <t>COPELAND</t>
        </is>
      </c>
      <c r="B346" t="inlineStr">
        <is>
          <t>4DA3R12ME-TSK</t>
        </is>
      </c>
      <c r="D346" t="inlineStr">
        <is>
          <t>Reciprocating Semi-hermetic</t>
        </is>
      </c>
      <c r="E346" s="2" t="n">
        <v>3</v>
      </c>
      <c r="F346" s="2" t="n">
        <v>60</v>
      </c>
      <c r="G346" s="2" t="n">
        <v>460</v>
      </c>
      <c r="H346" t="inlineStr">
        <is>
          <t>460</t>
        </is>
      </c>
      <c r="I346" s="2" t="n">
        <v>460</v>
      </c>
      <c r="J346" s="2" t="n">
        <v>460</v>
      </c>
      <c r="L346" s="3" t="n"/>
      <c r="M346" s="3" t="n"/>
      <c r="N346" s="3" t="n">
        <v>21</v>
      </c>
      <c r="O346" s="3" t="n"/>
      <c r="P346" s="3">
        <f>IF(L346&lt;&gt;"",L346/1.4,"")</f>
        <v/>
      </c>
      <c r="Q346" s="3">
        <f>IF(L346&lt;&gt;"",L346/1.56,"")</f>
        <v/>
      </c>
      <c r="R346" s="3">
        <f>IF(M346&lt;&gt;"",M346/1.4,"")</f>
        <v/>
      </c>
      <c r="S346" s="3">
        <f>IF(M346&lt;&gt;"",M346/1.56,"")</f>
        <v/>
      </c>
      <c r="T346" s="3">
        <f>IF(N346&lt;&gt;"",N346,IF(O346&lt;&gt;"",O346,IF(L346&lt;&gt;"",L346/1.56,IF(M346&lt;&gt;"",M346/1.56,""))))</f>
        <v/>
      </c>
      <c r="U346" s="3" t="n">
        <v>120</v>
      </c>
      <c r="V346" s="3" t="n"/>
      <c r="W346" s="3" t="n"/>
      <c r="X346" s="4" t="n"/>
      <c r="Y346" s="5" t="n">
        <v>1.036</v>
      </c>
      <c r="Z346" s="4">
        <f>IF(L346&lt;&gt;"",SQRT(3)*G346*L346/1000,"")</f>
        <v/>
      </c>
      <c r="AA346" t="inlineStr">
        <is>
          <t>Source=Copeland 2D/3D/4D/4R/6D/8D/9R compressors (pdf) p6</t>
        </is>
      </c>
      <c r="AB346" t="inlineStr">
        <is>
          <t>Copeland_RLA_230_460_3ph_60Hz.xlsx</t>
        </is>
      </c>
      <c r="AC346" t="inlineStr">
        <is>
          <t>Recip_2D-9R</t>
        </is>
      </c>
    </row>
    <row r="347">
      <c r="A347" t="inlineStr">
        <is>
          <t>COPELAND</t>
        </is>
      </c>
      <c r="B347" t="inlineStr">
        <is>
          <t>4DA3R18M0-FSD</t>
        </is>
      </c>
      <c r="D347" t="inlineStr">
        <is>
          <t>Reciprocating Semi-hermetic</t>
        </is>
      </c>
      <c r="E347" s="2" t="n">
        <v>3</v>
      </c>
      <c r="F347" s="2" t="n">
        <v>60</v>
      </c>
      <c r="G347" s="2" t="n">
        <v>460</v>
      </c>
      <c r="H347" t="inlineStr">
        <is>
          <t>460</t>
        </is>
      </c>
      <c r="I347" s="2" t="n">
        <v>460</v>
      </c>
      <c r="J347" s="2" t="n">
        <v>460</v>
      </c>
      <c r="L347" s="3" t="n"/>
      <c r="M347" s="3" t="n"/>
      <c r="N347" s="3" t="n">
        <v>33.6</v>
      </c>
      <c r="O347" s="3" t="n"/>
      <c r="P347" s="3">
        <f>IF(L347&lt;&gt;"",L347/1.4,"")</f>
        <v/>
      </c>
      <c r="Q347" s="3">
        <f>IF(L347&lt;&gt;"",L347/1.56,"")</f>
        <v/>
      </c>
      <c r="R347" s="3">
        <f>IF(M347&lt;&gt;"",M347/1.4,"")</f>
        <v/>
      </c>
      <c r="S347" s="3">
        <f>IF(M347&lt;&gt;"",M347/1.56,"")</f>
        <v/>
      </c>
      <c r="T347" s="3">
        <f>IF(N347&lt;&gt;"",N347,IF(O347&lt;&gt;"",O347,IF(L347&lt;&gt;"",L347/1.56,IF(M347&lt;&gt;"",M347/1.56,""))))</f>
        <v/>
      </c>
      <c r="U347" s="3" t="n">
        <v>173</v>
      </c>
      <c r="V347" s="3" t="n">
        <v>104</v>
      </c>
      <c r="W347" s="3" t="n"/>
      <c r="X347" s="4" t="n"/>
      <c r="Y347" s="5" t="n">
        <v>0.603</v>
      </c>
      <c r="Z347" s="4">
        <f>IF(L347&lt;&gt;"",SQRT(3)*G347*L347/1000,"")</f>
        <v/>
      </c>
      <c r="AA347" t="inlineStr">
        <is>
          <t>Source=Copeland 2D/3D/4D/4R/6D/8D/9R compressors (pdf) p6; PWS_RLA=16.8</t>
        </is>
      </c>
      <c r="AB347" t="inlineStr">
        <is>
          <t>Copeland_RLA_230_460_3ph_60Hz.xlsx</t>
        </is>
      </c>
      <c r="AC347" t="inlineStr">
        <is>
          <t>Recip_2D-9R</t>
        </is>
      </c>
    </row>
    <row r="348">
      <c r="A348" t="inlineStr">
        <is>
          <t>COPELAND</t>
        </is>
      </c>
      <c r="B348" t="inlineStr">
        <is>
          <t>4DA3R18M0-TSK</t>
        </is>
      </c>
      <c r="D348" t="inlineStr">
        <is>
          <t>Reciprocating Semi-hermetic</t>
        </is>
      </c>
      <c r="E348" s="2" t="n">
        <v>3</v>
      </c>
      <c r="F348" s="2" t="n">
        <v>60</v>
      </c>
      <c r="G348" s="2" t="n">
        <v>230</v>
      </c>
      <c r="H348" t="inlineStr">
        <is>
          <t>208/230</t>
        </is>
      </c>
      <c r="I348" s="2" t="n">
        <v>208</v>
      </c>
      <c r="J348" s="2" t="n">
        <v>230</v>
      </c>
      <c r="L348" s="3" t="n"/>
      <c r="M348" s="3" t="n"/>
      <c r="N348" s="3" t="n">
        <v>66.59999999999999</v>
      </c>
      <c r="O348" s="3" t="n"/>
      <c r="P348" s="3">
        <f>IF(L348&lt;&gt;"",L348/1.4,"")</f>
        <v/>
      </c>
      <c r="Q348" s="3">
        <f>IF(L348&lt;&gt;"",L348/1.56,"")</f>
        <v/>
      </c>
      <c r="R348" s="3">
        <f>IF(M348&lt;&gt;"",M348/1.4,"")</f>
        <v/>
      </c>
      <c r="S348" s="3">
        <f>IF(M348&lt;&gt;"",M348/1.56,"")</f>
        <v/>
      </c>
      <c r="T348" s="3">
        <f>IF(N348&lt;&gt;"",N348,IF(O348&lt;&gt;"",O348,IF(L348&lt;&gt;"",L348/1.56,IF(M348&lt;&gt;"",M348/1.56,""))))</f>
        <v/>
      </c>
      <c r="U348" s="3" t="n">
        <v>308</v>
      </c>
      <c r="V348" s="3" t="n">
        <v>188</v>
      </c>
      <c r="W348" s="3" t="n"/>
      <c r="X348" s="4" t="n"/>
      <c r="Y348" s="5" t="n">
        <v>0.174</v>
      </c>
      <c r="Z348" s="4">
        <f>IF(L348&lt;&gt;"",SQRT(3)*G348*L348/1000,"")</f>
        <v/>
      </c>
      <c r="AA348" t="inlineStr">
        <is>
          <t>Source=Copeland 2D/3D/4D/4R/6D/8D/9R compressors (pdf) p6; PWS_RLA=33.0</t>
        </is>
      </c>
      <c r="AB348" t="inlineStr">
        <is>
          <t>Copeland_RLA_230_460_3ph_60Hz.xlsx</t>
        </is>
      </c>
      <c r="AC348" t="inlineStr">
        <is>
          <t>Recip_2D-9R</t>
        </is>
      </c>
    </row>
    <row r="349">
      <c r="A349" t="inlineStr">
        <is>
          <t>COPELAND</t>
        </is>
      </c>
      <c r="B349" t="inlineStr">
        <is>
          <t>4DA3R18M0-TSK</t>
        </is>
      </c>
      <c r="D349" t="inlineStr">
        <is>
          <t>Reciprocating Semi-hermetic</t>
        </is>
      </c>
      <c r="E349" s="2" t="n">
        <v>3</v>
      </c>
      <c r="F349" s="2" t="n">
        <v>60</v>
      </c>
      <c r="G349" s="2" t="n">
        <v>460</v>
      </c>
      <c r="H349" t="inlineStr">
        <is>
          <t>460</t>
        </is>
      </c>
      <c r="I349" s="2" t="n">
        <v>460</v>
      </c>
      <c r="J349" s="2" t="n">
        <v>460</v>
      </c>
      <c r="L349" s="3" t="n"/>
      <c r="M349" s="3" t="n"/>
      <c r="N349" s="3" t="n">
        <v>33.3</v>
      </c>
      <c r="O349" s="3" t="n"/>
      <c r="P349" s="3">
        <f>IF(L349&lt;&gt;"",L349/1.4,"")</f>
        <v/>
      </c>
      <c r="Q349" s="3">
        <f>IF(L349&lt;&gt;"",L349/1.56,"")</f>
        <v/>
      </c>
      <c r="R349" s="3">
        <f>IF(M349&lt;&gt;"",M349/1.4,"")</f>
        <v/>
      </c>
      <c r="S349" s="3">
        <f>IF(M349&lt;&gt;"",M349/1.56,"")</f>
        <v/>
      </c>
      <c r="T349" s="3">
        <f>IF(N349&lt;&gt;"",N349,IF(O349&lt;&gt;"",O349,IF(L349&lt;&gt;"",L349/1.56,IF(M349&lt;&gt;"",M349/1.56,""))))</f>
        <v/>
      </c>
      <c r="U349" s="3" t="n">
        <v>154</v>
      </c>
      <c r="V349" s="3" t="n"/>
      <c r="W349" s="3" t="n"/>
      <c r="X349" s="4" t="n"/>
      <c r="Y349" s="5" t="n">
        <v>0.696</v>
      </c>
      <c r="Z349" s="4">
        <f>IF(L349&lt;&gt;"",SQRT(3)*G349*L349/1000,"")</f>
        <v/>
      </c>
      <c r="AA349" t="inlineStr">
        <is>
          <t>Source=Copeland 2D/3D/4D/4R/6D/8D/9R compressors (pdf) p6</t>
        </is>
      </c>
      <c r="AB349" t="inlineStr">
        <is>
          <t>Copeland_RLA_230_460_3ph_60Hz.xlsx</t>
        </is>
      </c>
      <c r="AC349" t="inlineStr">
        <is>
          <t>Recip_2D-9R</t>
        </is>
      </c>
    </row>
    <row r="350">
      <c r="A350" t="inlineStr">
        <is>
          <t>COPELAND</t>
        </is>
      </c>
      <c r="B350" t="inlineStr">
        <is>
          <t>4DA3R18ME-FSD</t>
        </is>
      </c>
      <c r="D350" t="inlineStr">
        <is>
          <t>Reciprocating Semi-hermetic</t>
        </is>
      </c>
      <c r="E350" s="2" t="n">
        <v>3</v>
      </c>
      <c r="F350" s="2" t="n">
        <v>60</v>
      </c>
      <c r="G350" s="2" t="n">
        <v>460</v>
      </c>
      <c r="H350" t="inlineStr">
        <is>
          <t>460</t>
        </is>
      </c>
      <c r="I350" s="2" t="n">
        <v>460</v>
      </c>
      <c r="J350" s="2" t="n">
        <v>460</v>
      </c>
      <c r="L350" s="3" t="n"/>
      <c r="M350" s="3" t="n"/>
      <c r="N350" s="3" t="n">
        <v>33.6</v>
      </c>
      <c r="O350" s="3" t="n"/>
      <c r="P350" s="3">
        <f>IF(L350&lt;&gt;"",L350/1.4,"")</f>
        <v/>
      </c>
      <c r="Q350" s="3">
        <f>IF(L350&lt;&gt;"",L350/1.56,"")</f>
        <v/>
      </c>
      <c r="R350" s="3">
        <f>IF(M350&lt;&gt;"",M350/1.4,"")</f>
        <v/>
      </c>
      <c r="S350" s="3">
        <f>IF(M350&lt;&gt;"",M350/1.56,"")</f>
        <v/>
      </c>
      <c r="T350" s="3">
        <f>IF(N350&lt;&gt;"",N350,IF(O350&lt;&gt;"",O350,IF(L350&lt;&gt;"",L350/1.56,IF(M350&lt;&gt;"",M350/1.56,""))))</f>
        <v/>
      </c>
      <c r="U350" s="3" t="n">
        <v>173</v>
      </c>
      <c r="V350" s="3" t="n">
        <v>104</v>
      </c>
      <c r="W350" s="3" t="n"/>
      <c r="X350" s="4" t="n"/>
      <c r="Y350" s="5" t="n">
        <v>0.603</v>
      </c>
      <c r="Z350" s="4">
        <f>IF(L350&lt;&gt;"",SQRT(3)*G350*L350/1000,"")</f>
        <v/>
      </c>
      <c r="AA350" t="inlineStr">
        <is>
          <t>Source=Copeland 2D/3D/4D/4R/6D/8D/9R compressors (pdf) p6; PWS_RLA=16.8</t>
        </is>
      </c>
      <c r="AB350" t="inlineStr">
        <is>
          <t>Copeland_RLA_230_460_3ph_60Hz.xlsx</t>
        </is>
      </c>
      <c r="AC350" t="inlineStr">
        <is>
          <t>Recip_2D-9R</t>
        </is>
      </c>
    </row>
    <row r="351">
      <c r="A351" t="inlineStr">
        <is>
          <t>COPELAND</t>
        </is>
      </c>
      <c r="B351" t="inlineStr">
        <is>
          <t>4DA3R18ME-FSD</t>
        </is>
      </c>
      <c r="D351" t="inlineStr">
        <is>
          <t>Reciprocating Semi-hermetic</t>
        </is>
      </c>
      <c r="E351" s="2" t="n">
        <v>3</v>
      </c>
      <c r="F351" s="2" t="n">
        <v>60</v>
      </c>
      <c r="G351" s="2" t="n">
        <v>460</v>
      </c>
      <c r="H351" t="inlineStr">
        <is>
          <t>460</t>
        </is>
      </c>
      <c r="I351" s="2" t="n">
        <v>460</v>
      </c>
      <c r="J351" s="2" t="n">
        <v>460</v>
      </c>
      <c r="L351" s="3" t="n"/>
      <c r="M351" s="3" t="n"/>
      <c r="N351" s="3" t="n">
        <v>42.1</v>
      </c>
      <c r="O351" s="3" t="n"/>
      <c r="P351" s="3">
        <f>IF(L351&lt;&gt;"",L351/1.4,"")</f>
        <v/>
      </c>
      <c r="Q351" s="3">
        <f>IF(L351&lt;&gt;"",L351/1.56,"")</f>
        <v/>
      </c>
      <c r="R351" s="3">
        <f>IF(M351&lt;&gt;"",M351/1.4,"")</f>
        <v/>
      </c>
      <c r="S351" s="3">
        <f>IF(M351&lt;&gt;"",M351/1.56,"")</f>
        <v/>
      </c>
      <c r="T351" s="3">
        <f>IF(N351&lt;&gt;"",N351,IF(O351&lt;&gt;"",O351,IF(L351&lt;&gt;"",L351/1.56,IF(M351&lt;&gt;"",M351/1.56,""))))</f>
        <v/>
      </c>
      <c r="U351" s="3" t="n">
        <v>173</v>
      </c>
      <c r="V351" s="3" t="n">
        <v>104</v>
      </c>
      <c r="W351" s="3" t="n"/>
      <c r="X351" s="4" t="n"/>
      <c r="Y351" s="5" t="n">
        <v>0.603</v>
      </c>
      <c r="Z351" s="4">
        <f>IF(L351&lt;&gt;"",SQRT(3)*G351*L351/1000,"")</f>
        <v/>
      </c>
      <c r="AA351" t="inlineStr">
        <is>
          <t>Source=Copeland 2D/3D/4D/4R/6D/8D/9R compressors (pdf) p6; PWS_RLA=21.1</t>
        </is>
      </c>
      <c r="AB351" t="inlineStr">
        <is>
          <t>Copeland_RLA_230_460_3ph_60Hz.xlsx</t>
        </is>
      </c>
      <c r="AC351" t="inlineStr">
        <is>
          <t>Recip_2D-9R</t>
        </is>
      </c>
    </row>
    <row r="352">
      <c r="A352" t="inlineStr">
        <is>
          <t>COPELAND</t>
        </is>
      </c>
      <c r="B352" t="inlineStr">
        <is>
          <t>4DA3R18ME-TSK</t>
        </is>
      </c>
      <c r="D352" t="inlineStr">
        <is>
          <t>Reciprocating Semi-hermetic</t>
        </is>
      </c>
      <c r="E352" s="2" t="n">
        <v>3</v>
      </c>
      <c r="F352" s="2" t="n">
        <v>60</v>
      </c>
      <c r="G352" s="2" t="n">
        <v>230</v>
      </c>
      <c r="H352" t="inlineStr">
        <is>
          <t>208/230</t>
        </is>
      </c>
      <c r="I352" s="2" t="n">
        <v>208</v>
      </c>
      <c r="J352" s="2" t="n">
        <v>230</v>
      </c>
      <c r="L352" s="3" t="n"/>
      <c r="M352" s="3" t="n"/>
      <c r="N352" s="3" t="n">
        <v>82.90000000000001</v>
      </c>
      <c r="O352" s="3" t="n"/>
      <c r="P352" s="3">
        <f>IF(L352&lt;&gt;"",L352/1.4,"")</f>
        <v/>
      </c>
      <c r="Q352" s="3">
        <f>IF(L352&lt;&gt;"",L352/1.56,"")</f>
        <v/>
      </c>
      <c r="R352" s="3">
        <f>IF(M352&lt;&gt;"",M352/1.4,"")</f>
        <v/>
      </c>
      <c r="S352" s="3">
        <f>IF(M352&lt;&gt;"",M352/1.56,"")</f>
        <v/>
      </c>
      <c r="T352" s="3">
        <f>IF(N352&lt;&gt;"",N352,IF(O352&lt;&gt;"",O352,IF(L352&lt;&gt;"",L352/1.56,IF(M352&lt;&gt;"",M352/1.56,""))))</f>
        <v/>
      </c>
      <c r="U352" s="3" t="n">
        <v>308</v>
      </c>
      <c r="V352" s="3" t="n">
        <v>188</v>
      </c>
      <c r="W352" s="3" t="n"/>
      <c r="X352" s="4" t="n"/>
      <c r="Y352" s="5" t="n">
        <v>0.174</v>
      </c>
      <c r="Z352" s="4">
        <f>IF(L352&lt;&gt;"",SQRT(3)*G352*L352/1000,"")</f>
        <v/>
      </c>
      <c r="AA352" t="inlineStr">
        <is>
          <t>Source=Copeland 2D/3D/4D/4R/6D/8D/9R compressors (pdf) p6; PWS_RLA=41.4</t>
        </is>
      </c>
      <c r="AB352" t="inlineStr">
        <is>
          <t>Copeland_RLA_230_460_3ph_60Hz.xlsx</t>
        </is>
      </c>
      <c r="AC352" t="inlineStr">
        <is>
          <t>Recip_2D-9R</t>
        </is>
      </c>
    </row>
    <row r="353">
      <c r="A353" t="inlineStr">
        <is>
          <t>COPELAND</t>
        </is>
      </c>
      <c r="B353" t="inlineStr">
        <is>
          <t>4DA3R18ME-TSK</t>
        </is>
      </c>
      <c r="D353" t="inlineStr">
        <is>
          <t>Reciprocating Semi-hermetic</t>
        </is>
      </c>
      <c r="E353" s="2" t="n">
        <v>3</v>
      </c>
      <c r="F353" s="2" t="n">
        <v>60</v>
      </c>
      <c r="G353" s="2" t="n">
        <v>460</v>
      </c>
      <c r="H353" t="inlineStr">
        <is>
          <t>460</t>
        </is>
      </c>
      <c r="I353" s="2" t="n">
        <v>460</v>
      </c>
      <c r="J353" s="2" t="n">
        <v>460</v>
      </c>
      <c r="L353" s="3" t="n"/>
      <c r="M353" s="3" t="n"/>
      <c r="N353" s="3" t="n">
        <v>41.4</v>
      </c>
      <c r="O353" s="3" t="n"/>
      <c r="P353" s="3">
        <f>IF(L353&lt;&gt;"",L353/1.4,"")</f>
        <v/>
      </c>
      <c r="Q353" s="3">
        <f>IF(L353&lt;&gt;"",L353/1.56,"")</f>
        <v/>
      </c>
      <c r="R353" s="3">
        <f>IF(M353&lt;&gt;"",M353/1.4,"")</f>
        <v/>
      </c>
      <c r="S353" s="3">
        <f>IF(M353&lt;&gt;"",M353/1.56,"")</f>
        <v/>
      </c>
      <c r="T353" s="3">
        <f>IF(N353&lt;&gt;"",N353,IF(O353&lt;&gt;"",O353,IF(L353&lt;&gt;"",L353/1.56,IF(M353&lt;&gt;"",M353/1.56,""))))</f>
        <v/>
      </c>
      <c r="U353" s="3" t="n">
        <v>154</v>
      </c>
      <c r="V353" s="3" t="n"/>
      <c r="W353" s="3" t="n"/>
      <c r="X353" s="4" t="n"/>
      <c r="Y353" s="5" t="n">
        <v>0.696</v>
      </c>
      <c r="Z353" s="4">
        <f>IF(L353&lt;&gt;"",SQRT(3)*G353*L353/1000,"")</f>
        <v/>
      </c>
      <c r="AA353" t="inlineStr">
        <is>
          <t>Source=Copeland 2D/3D/4D/4R/6D/8D/9R compressors (pdf) p7</t>
        </is>
      </c>
      <c r="AB353" t="inlineStr">
        <is>
          <t>Copeland_RLA_230_460_3ph_60Hz.xlsx</t>
        </is>
      </c>
      <c r="AC353" t="inlineStr">
        <is>
          <t>Recip_2D-9R</t>
        </is>
      </c>
    </row>
    <row r="354">
      <c r="A354" t="inlineStr">
        <is>
          <t>COPELAND</t>
        </is>
      </c>
      <c r="B354" t="inlineStr">
        <is>
          <t>4DA3R18ML-FSD</t>
        </is>
      </c>
      <c r="D354" t="inlineStr">
        <is>
          <t>Reciprocating Semi-hermetic</t>
        </is>
      </c>
      <c r="E354" s="2" t="n">
        <v>3</v>
      </c>
      <c r="F354" s="2" t="n">
        <v>60</v>
      </c>
      <c r="G354" s="2" t="n">
        <v>460</v>
      </c>
      <c r="H354" t="inlineStr">
        <is>
          <t>460</t>
        </is>
      </c>
      <c r="I354" s="2" t="n">
        <v>460</v>
      </c>
      <c r="J354" s="2" t="n">
        <v>460</v>
      </c>
      <c r="L354" s="3" t="n"/>
      <c r="M354" s="3" t="n"/>
      <c r="N354" s="3" t="n">
        <v>33.6</v>
      </c>
      <c r="O354" s="3" t="n"/>
      <c r="P354" s="3">
        <f>IF(L354&lt;&gt;"",L354/1.4,"")</f>
        <v/>
      </c>
      <c r="Q354" s="3">
        <f>IF(L354&lt;&gt;"",L354/1.56,"")</f>
        <v/>
      </c>
      <c r="R354" s="3">
        <f>IF(M354&lt;&gt;"",M354/1.4,"")</f>
        <v/>
      </c>
      <c r="S354" s="3">
        <f>IF(M354&lt;&gt;"",M354/1.56,"")</f>
        <v/>
      </c>
      <c r="T354" s="3">
        <f>IF(N354&lt;&gt;"",N354,IF(O354&lt;&gt;"",O354,IF(L354&lt;&gt;"",L354/1.56,IF(M354&lt;&gt;"",M354/1.56,""))))</f>
        <v/>
      </c>
      <c r="U354" s="3" t="n">
        <v>173</v>
      </c>
      <c r="V354" s="3" t="n">
        <v>104</v>
      </c>
      <c r="W354" s="3" t="n"/>
      <c r="X354" s="4" t="n"/>
      <c r="Y354" s="5" t="n">
        <v>0.603</v>
      </c>
      <c r="Z354" s="4">
        <f>IF(L354&lt;&gt;"",SQRT(3)*G354*L354/1000,"")</f>
        <v/>
      </c>
      <c r="AA354" t="inlineStr">
        <is>
          <t>Source=Copeland 2D/3D/4D/4R/6D/8D/9R compressors (pdf) p7; PWS_RLA=16.8</t>
        </is>
      </c>
      <c r="AB354" t="inlineStr">
        <is>
          <t>Copeland_RLA_230_460_3ph_60Hz.xlsx</t>
        </is>
      </c>
      <c r="AC354" t="inlineStr">
        <is>
          <t>Recip_2D-9R</t>
        </is>
      </c>
    </row>
    <row r="355">
      <c r="A355" t="inlineStr">
        <is>
          <t>COPELAND</t>
        </is>
      </c>
      <c r="B355" t="inlineStr">
        <is>
          <t>4DA3R18ML-FSD</t>
        </is>
      </c>
      <c r="D355" t="inlineStr">
        <is>
          <t>Reciprocating Semi-hermetic</t>
        </is>
      </c>
      <c r="E355" s="2" t="n">
        <v>3</v>
      </c>
      <c r="F355" s="2" t="n">
        <v>60</v>
      </c>
      <c r="G355" s="2" t="n">
        <v>460</v>
      </c>
      <c r="H355" t="inlineStr">
        <is>
          <t>460</t>
        </is>
      </c>
      <c r="I355" s="2" t="n">
        <v>460</v>
      </c>
      <c r="J355" s="2" t="n">
        <v>460</v>
      </c>
      <c r="L355" s="3" t="n"/>
      <c r="M355" s="3" t="n"/>
      <c r="N355" s="3" t="n">
        <v>42.1</v>
      </c>
      <c r="O355" s="3" t="n"/>
      <c r="P355" s="3">
        <f>IF(L355&lt;&gt;"",L355/1.4,"")</f>
        <v/>
      </c>
      <c r="Q355" s="3">
        <f>IF(L355&lt;&gt;"",L355/1.56,"")</f>
        <v/>
      </c>
      <c r="R355" s="3">
        <f>IF(M355&lt;&gt;"",M355/1.4,"")</f>
        <v/>
      </c>
      <c r="S355" s="3">
        <f>IF(M355&lt;&gt;"",M355/1.56,"")</f>
        <v/>
      </c>
      <c r="T355" s="3">
        <f>IF(N355&lt;&gt;"",N355,IF(O355&lt;&gt;"",O355,IF(L355&lt;&gt;"",L355/1.56,IF(M355&lt;&gt;"",M355/1.56,""))))</f>
        <v/>
      </c>
      <c r="U355" s="3" t="n">
        <v>173</v>
      </c>
      <c r="V355" s="3" t="n">
        <v>104</v>
      </c>
      <c r="W355" s="3" t="n"/>
      <c r="X355" s="4" t="n"/>
      <c r="Y355" s="5" t="n">
        <v>0.603</v>
      </c>
      <c r="Z355" s="4">
        <f>IF(L355&lt;&gt;"",SQRT(3)*G355*L355/1000,"")</f>
        <v/>
      </c>
      <c r="AA355" t="inlineStr">
        <is>
          <t>Source=Copeland 2D/3D/4D/4R/6D/8D/9R compressors (pdf) p7; PWS_RLA=21.1</t>
        </is>
      </c>
      <c r="AB355" t="inlineStr">
        <is>
          <t>Copeland_RLA_230_460_3ph_60Hz.xlsx</t>
        </is>
      </c>
      <c r="AC355" t="inlineStr">
        <is>
          <t>Recip_2D-9R</t>
        </is>
      </c>
    </row>
    <row r="356">
      <c r="A356" t="inlineStr">
        <is>
          <t>COPELAND</t>
        </is>
      </c>
      <c r="B356" t="inlineStr">
        <is>
          <t>4DA3R18ML-TSK</t>
        </is>
      </c>
      <c r="D356" t="inlineStr">
        <is>
          <t>Reciprocating Semi-hermetic</t>
        </is>
      </c>
      <c r="E356" s="2" t="n">
        <v>3</v>
      </c>
      <c r="F356" s="2" t="n">
        <v>60</v>
      </c>
      <c r="G356" s="2" t="n">
        <v>230</v>
      </c>
      <c r="H356" t="inlineStr">
        <is>
          <t>208/230</t>
        </is>
      </c>
      <c r="I356" s="2" t="n">
        <v>208</v>
      </c>
      <c r="J356" s="2" t="n">
        <v>230</v>
      </c>
      <c r="L356" s="3" t="n"/>
      <c r="M356" s="3" t="n"/>
      <c r="N356" s="3" t="n">
        <v>82.90000000000001</v>
      </c>
      <c r="O356" s="3" t="n"/>
      <c r="P356" s="3">
        <f>IF(L356&lt;&gt;"",L356/1.4,"")</f>
        <v/>
      </c>
      <c r="Q356" s="3">
        <f>IF(L356&lt;&gt;"",L356/1.56,"")</f>
        <v/>
      </c>
      <c r="R356" s="3">
        <f>IF(M356&lt;&gt;"",M356/1.4,"")</f>
        <v/>
      </c>
      <c r="S356" s="3">
        <f>IF(M356&lt;&gt;"",M356/1.56,"")</f>
        <v/>
      </c>
      <c r="T356" s="3">
        <f>IF(N356&lt;&gt;"",N356,IF(O356&lt;&gt;"",O356,IF(L356&lt;&gt;"",L356/1.56,IF(M356&lt;&gt;"",M356/1.56,""))))</f>
        <v/>
      </c>
      <c r="U356" s="3" t="n">
        <v>308</v>
      </c>
      <c r="V356" s="3" t="n">
        <v>188</v>
      </c>
      <c r="W356" s="3" t="n"/>
      <c r="X356" s="4" t="n"/>
      <c r="Y356" s="5" t="n">
        <v>0.174</v>
      </c>
      <c r="Z356" s="4">
        <f>IF(L356&lt;&gt;"",SQRT(3)*G356*L356/1000,"")</f>
        <v/>
      </c>
      <c r="AA356" t="inlineStr">
        <is>
          <t>Source=Copeland 2D/3D/4D/4R/6D/8D/9R compressors (pdf) p7; PWS_RLA=41.4</t>
        </is>
      </c>
      <c r="AB356" t="inlineStr">
        <is>
          <t>Copeland_RLA_230_460_3ph_60Hz.xlsx</t>
        </is>
      </c>
      <c r="AC356" t="inlineStr">
        <is>
          <t>Recip_2D-9R</t>
        </is>
      </c>
    </row>
    <row r="357">
      <c r="A357" t="inlineStr">
        <is>
          <t>COPELAND</t>
        </is>
      </c>
      <c r="B357" t="inlineStr">
        <is>
          <t>4DA3R18ML-TSK</t>
        </is>
      </c>
      <c r="D357" t="inlineStr">
        <is>
          <t>Reciprocating Semi-hermetic</t>
        </is>
      </c>
      <c r="E357" s="2" t="n">
        <v>3</v>
      </c>
      <c r="F357" s="2" t="n">
        <v>60</v>
      </c>
      <c r="G357" s="2" t="n">
        <v>460</v>
      </c>
      <c r="H357" t="inlineStr">
        <is>
          <t>460</t>
        </is>
      </c>
      <c r="I357" s="2" t="n">
        <v>460</v>
      </c>
      <c r="J357" s="2" t="n">
        <v>460</v>
      </c>
      <c r="L357" s="3" t="n"/>
      <c r="M357" s="3" t="n"/>
      <c r="N357" s="3" t="n">
        <v>41.4</v>
      </c>
      <c r="O357" s="3" t="n"/>
      <c r="P357" s="3">
        <f>IF(L357&lt;&gt;"",L357/1.4,"")</f>
        <v/>
      </c>
      <c r="Q357" s="3">
        <f>IF(L357&lt;&gt;"",L357/1.56,"")</f>
        <v/>
      </c>
      <c r="R357" s="3">
        <f>IF(M357&lt;&gt;"",M357/1.4,"")</f>
        <v/>
      </c>
      <c r="S357" s="3">
        <f>IF(M357&lt;&gt;"",M357/1.56,"")</f>
        <v/>
      </c>
      <c r="T357" s="3">
        <f>IF(N357&lt;&gt;"",N357,IF(O357&lt;&gt;"",O357,IF(L357&lt;&gt;"",L357/1.56,IF(M357&lt;&gt;"",M357/1.56,""))))</f>
        <v/>
      </c>
      <c r="U357" s="3" t="n">
        <v>154</v>
      </c>
      <c r="V357" s="3" t="n"/>
      <c r="W357" s="3" t="n"/>
      <c r="X357" s="4" t="n"/>
      <c r="Y357" s="5" t="n">
        <v>0.696</v>
      </c>
      <c r="Z357" s="4">
        <f>IF(L357&lt;&gt;"",SQRT(3)*G357*L357/1000,"")</f>
        <v/>
      </c>
      <c r="AA357" t="inlineStr">
        <is>
          <t>Source=Copeland 2D/3D/4D/4R/6D/8D/9R compressors (pdf) p7</t>
        </is>
      </c>
      <c r="AB357" t="inlineStr">
        <is>
          <t>Copeland_RLA_230_460_3ph_60Hz.xlsx</t>
        </is>
      </c>
      <c r="AC357" t="inlineStr">
        <is>
          <t>Recip_2D-9R</t>
        </is>
      </c>
    </row>
    <row r="358">
      <c r="A358" t="inlineStr">
        <is>
          <t>COPELAND</t>
        </is>
      </c>
      <c r="B358" t="inlineStr">
        <is>
          <t>4DA3R19ME-TSK</t>
        </is>
      </c>
      <c r="D358" t="inlineStr">
        <is>
          <t>Reciprocating Semi-hermetic</t>
        </is>
      </c>
      <c r="E358" s="2" t="n">
        <v>3</v>
      </c>
      <c r="F358" s="2" t="n">
        <v>60</v>
      </c>
      <c r="G358" s="2" t="n">
        <v>230</v>
      </c>
      <c r="H358" t="inlineStr">
        <is>
          <t>208/230</t>
        </is>
      </c>
      <c r="I358" s="2" t="n">
        <v>208</v>
      </c>
      <c r="J358" s="2" t="n">
        <v>230</v>
      </c>
      <c r="L358" s="3" t="n"/>
      <c r="M358" s="3" t="n"/>
      <c r="N358" s="3" t="n">
        <v>72.09999999999999</v>
      </c>
      <c r="O358" s="3" t="n"/>
      <c r="P358" s="3">
        <f>IF(L358&lt;&gt;"",L358/1.4,"")</f>
        <v/>
      </c>
      <c r="Q358" s="3">
        <f>IF(L358&lt;&gt;"",L358/1.56,"")</f>
        <v/>
      </c>
      <c r="R358" s="3">
        <f>IF(M358&lt;&gt;"",M358/1.4,"")</f>
        <v/>
      </c>
      <c r="S358" s="3">
        <f>IF(M358&lt;&gt;"",M358/1.56,"")</f>
        <v/>
      </c>
      <c r="T358" s="3">
        <f>IF(N358&lt;&gt;"",N358,IF(O358&lt;&gt;"",O358,IF(L358&lt;&gt;"",L358/1.56,IF(M358&lt;&gt;"",M358/1.56,""))))</f>
        <v/>
      </c>
      <c r="U358" s="3" t="n">
        <v>308</v>
      </c>
      <c r="V358" s="3" t="n">
        <v>188</v>
      </c>
      <c r="W358" s="3" t="n"/>
      <c r="X358" s="4" t="n"/>
      <c r="Y358" s="5" t="n">
        <v>0.174</v>
      </c>
      <c r="Z358" s="4">
        <f>IF(L358&lt;&gt;"",SQRT(3)*G358*L358/1000,"")</f>
        <v/>
      </c>
      <c r="AA358" t="inlineStr">
        <is>
          <t>Source=Copeland 2D/3D/4D/4R/6D/8D/9R compressors (pdf) p7; PWS_RLA=36.1</t>
        </is>
      </c>
      <c r="AB358" t="inlineStr">
        <is>
          <t>Copeland_RLA_230_460_3ph_60Hz.xlsx</t>
        </is>
      </c>
      <c r="AC358" t="inlineStr">
        <is>
          <t>Recip_2D-9R</t>
        </is>
      </c>
    </row>
    <row r="359">
      <c r="A359" t="inlineStr">
        <is>
          <t>COPELAND</t>
        </is>
      </c>
      <c r="B359" t="inlineStr">
        <is>
          <t>4DA3R19ME-TSK</t>
        </is>
      </c>
      <c r="D359" t="inlineStr">
        <is>
          <t>Reciprocating Semi-hermetic</t>
        </is>
      </c>
      <c r="E359" s="2" t="n">
        <v>3</v>
      </c>
      <c r="F359" s="2" t="n">
        <v>60</v>
      </c>
      <c r="G359" s="2" t="n">
        <v>460</v>
      </c>
      <c r="H359" t="inlineStr">
        <is>
          <t>460</t>
        </is>
      </c>
      <c r="I359" s="2" t="n">
        <v>460</v>
      </c>
      <c r="J359" s="2" t="n">
        <v>460</v>
      </c>
      <c r="L359" s="3" t="n"/>
      <c r="M359" s="3" t="n"/>
      <c r="N359" s="3" t="n">
        <v>36.1</v>
      </c>
      <c r="O359" s="3" t="n"/>
      <c r="P359" s="3">
        <f>IF(L359&lt;&gt;"",L359/1.4,"")</f>
        <v/>
      </c>
      <c r="Q359" s="3">
        <f>IF(L359&lt;&gt;"",L359/1.56,"")</f>
        <v/>
      </c>
      <c r="R359" s="3">
        <f>IF(M359&lt;&gt;"",M359/1.4,"")</f>
        <v/>
      </c>
      <c r="S359" s="3">
        <f>IF(M359&lt;&gt;"",M359/1.56,"")</f>
        <v/>
      </c>
      <c r="T359" s="3">
        <f>IF(N359&lt;&gt;"",N359,IF(O359&lt;&gt;"",O359,IF(L359&lt;&gt;"",L359/1.56,IF(M359&lt;&gt;"",M359/1.56,""))))</f>
        <v/>
      </c>
      <c r="U359" s="3" t="n">
        <v>154</v>
      </c>
      <c r="V359" s="3" t="n"/>
      <c r="W359" s="3" t="n"/>
      <c r="X359" s="4" t="n"/>
      <c r="Y359" s="5" t="n">
        <v>0.696</v>
      </c>
      <c r="Z359" s="4">
        <f>IF(L359&lt;&gt;"",SQRT(3)*G359*L359/1000,"")</f>
        <v/>
      </c>
      <c r="AA359" t="inlineStr">
        <is>
          <t>Source=Copeland 2D/3D/4D/4R/6D/8D/9R compressors (pdf) p7</t>
        </is>
      </c>
      <c r="AB359" t="inlineStr">
        <is>
          <t>Copeland_RLA_230_460_3ph_60Hz.xlsx</t>
        </is>
      </c>
      <c r="AC359" t="inlineStr">
        <is>
          <t>Recip_2D-9R</t>
        </is>
      </c>
    </row>
    <row r="360">
      <c r="A360" t="inlineStr">
        <is>
          <t>COPELAND</t>
        </is>
      </c>
      <c r="B360" t="inlineStr">
        <is>
          <t>4DA3S13ME-TSK</t>
        </is>
      </c>
      <c r="D360" t="inlineStr">
        <is>
          <t>Reciprocating Semi-hermetic</t>
        </is>
      </c>
      <c r="E360" s="2" t="n">
        <v>3</v>
      </c>
      <c r="F360" s="2" t="n">
        <v>60</v>
      </c>
      <c r="G360" s="2" t="n">
        <v>230</v>
      </c>
      <c r="H360" t="inlineStr">
        <is>
          <t>208/230</t>
        </is>
      </c>
      <c r="I360" s="2" t="n">
        <v>208</v>
      </c>
      <c r="J360" s="2" t="n">
        <v>230</v>
      </c>
      <c r="L360" s="3" t="n"/>
      <c r="M360" s="3" t="n"/>
      <c r="N360" s="3" t="n">
        <v>57.1</v>
      </c>
      <c r="O360" s="3" t="n"/>
      <c r="P360" s="3">
        <f>IF(L360&lt;&gt;"",L360/1.4,"")</f>
        <v/>
      </c>
      <c r="Q360" s="3">
        <f>IF(L360&lt;&gt;"",L360/1.56,"")</f>
        <v/>
      </c>
      <c r="R360" s="3">
        <f>IF(M360&lt;&gt;"",M360/1.4,"")</f>
        <v/>
      </c>
      <c r="S360" s="3">
        <f>IF(M360&lt;&gt;"",M360/1.56,"")</f>
        <v/>
      </c>
      <c r="T360" s="3">
        <f>IF(N360&lt;&gt;"",N360,IF(O360&lt;&gt;"",O360,IF(L360&lt;&gt;"",L360/1.56,IF(M360&lt;&gt;"",M360/1.56,""))))</f>
        <v/>
      </c>
      <c r="U360" s="3" t="n">
        <v>278</v>
      </c>
      <c r="V360" s="3" t="n"/>
      <c r="W360" s="3" t="n"/>
      <c r="X360" s="4" t="n"/>
      <c r="Y360" s="5" t="n">
        <v>0.204</v>
      </c>
      <c r="Z360" s="4">
        <f>IF(L360&lt;&gt;"",SQRT(3)*G360*L360/1000,"")</f>
        <v/>
      </c>
      <c r="AA360" t="inlineStr">
        <is>
          <t>Source=Copeland 2D/3D/4D/4R/6D/8D/9R compressors (pdf) p7</t>
        </is>
      </c>
      <c r="AB360" t="inlineStr">
        <is>
          <t>Copeland_RLA_230_460_3ph_60Hz.xlsx</t>
        </is>
      </c>
      <c r="AC360" t="inlineStr">
        <is>
          <t>Recip_2D-9R</t>
        </is>
      </c>
    </row>
    <row r="361">
      <c r="A361" t="inlineStr">
        <is>
          <t>COPELAND</t>
        </is>
      </c>
      <c r="B361" t="inlineStr">
        <is>
          <t>4DA3S13ME-TSK</t>
        </is>
      </c>
      <c r="D361" t="inlineStr">
        <is>
          <t>Reciprocating Semi-hermetic</t>
        </is>
      </c>
      <c r="E361" s="2" t="n">
        <v>3</v>
      </c>
      <c r="F361" s="2" t="n">
        <v>60</v>
      </c>
      <c r="G361" s="2" t="n">
        <v>460</v>
      </c>
      <c r="H361" t="inlineStr">
        <is>
          <t>460</t>
        </is>
      </c>
      <c r="I361" s="2" t="n">
        <v>460</v>
      </c>
      <c r="J361" s="2" t="n">
        <v>460</v>
      </c>
      <c r="L361" s="3" t="n"/>
      <c r="M361" s="3" t="n"/>
      <c r="N361" s="3" t="n">
        <v>27.1</v>
      </c>
      <c r="O361" s="3" t="n"/>
      <c r="P361" s="3">
        <f>IF(L361&lt;&gt;"",L361/1.4,"")</f>
        <v/>
      </c>
      <c r="Q361" s="3">
        <f>IF(L361&lt;&gt;"",L361/1.56,"")</f>
        <v/>
      </c>
      <c r="R361" s="3">
        <f>IF(M361&lt;&gt;"",M361/1.4,"")</f>
        <v/>
      </c>
      <c r="S361" s="3">
        <f>IF(M361&lt;&gt;"",M361/1.56,"")</f>
        <v/>
      </c>
      <c r="T361" s="3">
        <f>IF(N361&lt;&gt;"",N361,IF(O361&lt;&gt;"",O361,IF(L361&lt;&gt;"",L361/1.56,IF(M361&lt;&gt;"",M361/1.56,""))))</f>
        <v/>
      </c>
      <c r="U361" s="3" t="n">
        <v>139</v>
      </c>
      <c r="V361" s="3" t="n"/>
      <c r="W361" s="3" t="n"/>
      <c r="X361" s="4" t="n"/>
      <c r="Y361" s="5" t="n">
        <v>0.8159999999999999</v>
      </c>
      <c r="Z361" s="4">
        <f>IF(L361&lt;&gt;"",SQRT(3)*G361*L361/1000,"")</f>
        <v/>
      </c>
      <c r="AA361" t="inlineStr">
        <is>
          <t>Source=Copeland 2D/3D/4D/4R/6D/8D/9R compressors (pdf) p7</t>
        </is>
      </c>
      <c r="AB361" t="inlineStr">
        <is>
          <t>Copeland_RLA_230_460_3ph_60Hz.xlsx</t>
        </is>
      </c>
      <c r="AC361" t="inlineStr">
        <is>
          <t>Recip_2D-9R</t>
        </is>
      </c>
    </row>
    <row r="362">
      <c r="A362" t="inlineStr">
        <is>
          <t>COPELAND</t>
        </is>
      </c>
      <c r="B362" t="inlineStr">
        <is>
          <t>4DA3S13ML-TSK</t>
        </is>
      </c>
      <c r="D362" t="inlineStr">
        <is>
          <t>Reciprocating Semi-hermetic</t>
        </is>
      </c>
      <c r="E362" s="2" t="n">
        <v>3</v>
      </c>
      <c r="F362" s="2" t="n">
        <v>60</v>
      </c>
      <c r="G362" s="2" t="n">
        <v>230</v>
      </c>
      <c r="H362" t="inlineStr">
        <is>
          <t>208/230</t>
        </is>
      </c>
      <c r="I362" s="2" t="n">
        <v>208</v>
      </c>
      <c r="J362" s="2" t="n">
        <v>230</v>
      </c>
      <c r="L362" s="3" t="n"/>
      <c r="M362" s="3" t="n"/>
      <c r="N362" s="3" t="n">
        <v>57.1</v>
      </c>
      <c r="O362" s="3" t="n"/>
      <c r="P362" s="3">
        <f>IF(L362&lt;&gt;"",L362/1.4,"")</f>
        <v/>
      </c>
      <c r="Q362" s="3">
        <f>IF(L362&lt;&gt;"",L362/1.56,"")</f>
        <v/>
      </c>
      <c r="R362" s="3">
        <f>IF(M362&lt;&gt;"",M362/1.4,"")</f>
        <v/>
      </c>
      <c r="S362" s="3">
        <f>IF(M362&lt;&gt;"",M362/1.56,"")</f>
        <v/>
      </c>
      <c r="T362" s="3">
        <f>IF(N362&lt;&gt;"",N362,IF(O362&lt;&gt;"",O362,IF(L362&lt;&gt;"",L362/1.56,IF(M362&lt;&gt;"",M362/1.56,""))))</f>
        <v/>
      </c>
      <c r="U362" s="3" t="n">
        <v>278</v>
      </c>
      <c r="V362" s="3" t="n"/>
      <c r="W362" s="3" t="n"/>
      <c r="X362" s="4" t="n"/>
      <c r="Y362" s="5" t="n">
        <v>0.204</v>
      </c>
      <c r="Z362" s="4">
        <f>IF(L362&lt;&gt;"",SQRT(3)*G362*L362/1000,"")</f>
        <v/>
      </c>
      <c r="AA362" t="inlineStr">
        <is>
          <t>Source=Copeland 2D/3D/4D/4R/6D/8D/9R compressors (pdf) p7</t>
        </is>
      </c>
      <c r="AB362" t="inlineStr">
        <is>
          <t>Copeland_RLA_230_460_3ph_60Hz.xlsx</t>
        </is>
      </c>
      <c r="AC362" t="inlineStr">
        <is>
          <t>Recip_2D-9R</t>
        </is>
      </c>
    </row>
    <row r="363">
      <c r="A363" t="inlineStr">
        <is>
          <t>COPELAND</t>
        </is>
      </c>
      <c r="B363" t="inlineStr">
        <is>
          <t>4DA3S13ML-TSK</t>
        </is>
      </c>
      <c r="D363" t="inlineStr">
        <is>
          <t>Reciprocating Semi-hermetic</t>
        </is>
      </c>
      <c r="E363" s="2" t="n">
        <v>3</v>
      </c>
      <c r="F363" s="2" t="n">
        <v>60</v>
      </c>
      <c r="G363" s="2" t="n">
        <v>460</v>
      </c>
      <c r="H363" t="inlineStr">
        <is>
          <t>460</t>
        </is>
      </c>
      <c r="I363" s="2" t="n">
        <v>460</v>
      </c>
      <c r="J363" s="2" t="n">
        <v>460</v>
      </c>
      <c r="L363" s="3" t="n"/>
      <c r="M363" s="3" t="n"/>
      <c r="N363" s="3" t="n">
        <v>27.1</v>
      </c>
      <c r="O363" s="3" t="n"/>
      <c r="P363" s="3">
        <f>IF(L363&lt;&gt;"",L363/1.4,"")</f>
        <v/>
      </c>
      <c r="Q363" s="3">
        <f>IF(L363&lt;&gt;"",L363/1.56,"")</f>
        <v/>
      </c>
      <c r="R363" s="3">
        <f>IF(M363&lt;&gt;"",M363/1.4,"")</f>
        <v/>
      </c>
      <c r="S363" s="3">
        <f>IF(M363&lt;&gt;"",M363/1.56,"")</f>
        <v/>
      </c>
      <c r="T363" s="3">
        <f>IF(N363&lt;&gt;"",N363,IF(O363&lt;&gt;"",O363,IF(L363&lt;&gt;"",L363/1.56,IF(M363&lt;&gt;"",M363/1.56,""))))</f>
        <v/>
      </c>
      <c r="U363" s="3" t="n">
        <v>139</v>
      </c>
      <c r="V363" s="3" t="n"/>
      <c r="W363" s="3" t="n"/>
      <c r="X363" s="4" t="n"/>
      <c r="Y363" s="5" t="n">
        <v>0.8159999999999999</v>
      </c>
      <c r="Z363" s="4">
        <f>IF(L363&lt;&gt;"",SQRT(3)*G363*L363/1000,"")</f>
        <v/>
      </c>
      <c r="AA363" t="inlineStr">
        <is>
          <t>Source=Copeland 2D/3D/4D/4R/6D/8D/9R compressors (pdf) p7</t>
        </is>
      </c>
      <c r="AB363" t="inlineStr">
        <is>
          <t>Copeland_RLA_230_460_3ph_60Hz.xlsx</t>
        </is>
      </c>
      <c r="AC363" t="inlineStr">
        <is>
          <t>Recip_2D-9R</t>
        </is>
      </c>
    </row>
    <row r="364">
      <c r="A364" t="inlineStr">
        <is>
          <t>COPELAND</t>
        </is>
      </c>
      <c r="B364" t="inlineStr">
        <is>
          <t>4DA5A1000-TSK</t>
        </is>
      </c>
      <c r="D364" t="inlineStr">
        <is>
          <t>Reciprocating Semi-hermetic</t>
        </is>
      </c>
      <c r="E364" s="2" t="n">
        <v>3</v>
      </c>
      <c r="F364" s="2" t="n">
        <v>60</v>
      </c>
      <c r="G364" s="2" t="n">
        <v>230</v>
      </c>
      <c r="H364" t="inlineStr">
        <is>
          <t>208/230</t>
        </is>
      </c>
      <c r="I364" s="2" t="n">
        <v>208</v>
      </c>
      <c r="J364" s="2" t="n">
        <v>230</v>
      </c>
      <c r="L364" s="3" t="n"/>
      <c r="M364" s="3" t="n"/>
      <c r="N364" s="3" t="n">
        <v>53.6</v>
      </c>
      <c r="O364" s="3" t="n"/>
      <c r="P364" s="3">
        <f>IF(L364&lt;&gt;"",L364/1.4,"")</f>
        <v/>
      </c>
      <c r="Q364" s="3">
        <f>IF(L364&lt;&gt;"",L364/1.56,"")</f>
        <v/>
      </c>
      <c r="R364" s="3">
        <f>IF(M364&lt;&gt;"",M364/1.4,"")</f>
        <v/>
      </c>
      <c r="S364" s="3">
        <f>IF(M364&lt;&gt;"",M364/1.56,"")</f>
        <v/>
      </c>
      <c r="T364" s="3">
        <f>IF(N364&lt;&gt;"",N364,IF(O364&lt;&gt;"",O364,IF(L364&lt;&gt;"",L364/1.56,IF(M364&lt;&gt;"",M364/1.56,""))))</f>
        <v/>
      </c>
      <c r="U364" s="3" t="n">
        <v>240</v>
      </c>
      <c r="V364" s="3" t="n">
        <v>140</v>
      </c>
      <c r="W364" s="3" t="n"/>
      <c r="X364" s="4" t="n"/>
      <c r="Y364" s="5" t="n">
        <v>0.259</v>
      </c>
      <c r="Z364" s="4">
        <f>IF(L364&lt;&gt;"",SQRT(3)*G364*L364/1000,"")</f>
        <v/>
      </c>
      <c r="AA364" t="inlineStr">
        <is>
          <t>Source=Copeland 2D/3D/4D/4R/6D/8D/9R compressors (pdf) p7; PWS_RLA=26.8</t>
        </is>
      </c>
      <c r="AB364" t="inlineStr">
        <is>
          <t>Copeland_RLA_230_460_3ph_60Hz.xlsx</t>
        </is>
      </c>
      <c r="AC364" t="inlineStr">
        <is>
          <t>Recip_2D-9R</t>
        </is>
      </c>
    </row>
    <row r="365">
      <c r="A365" t="inlineStr">
        <is>
          <t>COPELAND</t>
        </is>
      </c>
      <c r="B365" t="inlineStr">
        <is>
          <t>4DA5A1000-TSK</t>
        </is>
      </c>
      <c r="D365" t="inlineStr">
        <is>
          <t>Reciprocating Semi-hermetic</t>
        </is>
      </c>
      <c r="E365" s="2" t="n">
        <v>3</v>
      </c>
      <c r="F365" s="2" t="n">
        <v>60</v>
      </c>
      <c r="G365" s="2" t="n">
        <v>460</v>
      </c>
      <c r="H365" t="inlineStr">
        <is>
          <t>460</t>
        </is>
      </c>
      <c r="I365" s="2" t="n">
        <v>460</v>
      </c>
      <c r="J365" s="2" t="n">
        <v>460</v>
      </c>
      <c r="L365" s="3" t="n"/>
      <c r="M365" s="3" t="n"/>
      <c r="N365" s="3" t="n">
        <v>26.8</v>
      </c>
      <c r="O365" s="3" t="n"/>
      <c r="P365" s="3">
        <f>IF(L365&lt;&gt;"",L365/1.4,"")</f>
        <v/>
      </c>
      <c r="Q365" s="3">
        <f>IF(L365&lt;&gt;"",L365/1.56,"")</f>
        <v/>
      </c>
      <c r="R365" s="3">
        <f>IF(M365&lt;&gt;"",M365/1.4,"")</f>
        <v/>
      </c>
      <c r="S365" s="3">
        <f>IF(M365&lt;&gt;"",M365/1.56,"")</f>
        <v/>
      </c>
      <c r="T365" s="3">
        <f>IF(N365&lt;&gt;"",N365,IF(O365&lt;&gt;"",O365,IF(L365&lt;&gt;"",L365/1.56,IF(M365&lt;&gt;"",M365/1.56,""))))</f>
        <v/>
      </c>
      <c r="U365" s="3" t="n">
        <v>120</v>
      </c>
      <c r="V365" s="3" t="n"/>
      <c r="W365" s="3" t="n"/>
      <c r="X365" s="4" t="n"/>
      <c r="Y365" s="5" t="n">
        <v>1.036</v>
      </c>
      <c r="Z365" s="4">
        <f>IF(L365&lt;&gt;"",SQRT(3)*G365*L365/1000,"")</f>
        <v/>
      </c>
      <c r="AA365" t="inlineStr">
        <is>
          <t>Source=Copeland 2D/3D/4D/4R/6D/8D/9R compressors (pdf) p7</t>
        </is>
      </c>
      <c r="AB365" t="inlineStr">
        <is>
          <t>Copeland_RLA_230_460_3ph_60Hz.xlsx</t>
        </is>
      </c>
      <c r="AC365" t="inlineStr">
        <is>
          <t>Recip_2D-9R</t>
        </is>
      </c>
    </row>
    <row r="366">
      <c r="A366" t="inlineStr">
        <is>
          <t>COPELAND</t>
        </is>
      </c>
      <c r="B366" t="inlineStr">
        <is>
          <t>4DADF47KL-TSK</t>
        </is>
      </c>
      <c r="D366" t="inlineStr">
        <is>
          <t>Reciprocating Semi-hermetic</t>
        </is>
      </c>
      <c r="E366" s="2" t="n">
        <v>3</v>
      </c>
      <c r="F366" s="2" t="n">
        <v>60</v>
      </c>
      <c r="G366" s="2" t="n">
        <v>230</v>
      </c>
      <c r="H366" t="inlineStr">
        <is>
          <t>208/230</t>
        </is>
      </c>
      <c r="I366" s="2" t="n">
        <v>208</v>
      </c>
      <c r="J366" s="2" t="n">
        <v>230</v>
      </c>
      <c r="L366" s="3" t="n"/>
      <c r="M366" s="3" t="n"/>
      <c r="N366" s="3" t="n">
        <v>45.6</v>
      </c>
      <c r="O366" s="3" t="n"/>
      <c r="P366" s="3">
        <f>IF(L366&lt;&gt;"",L366/1.4,"")</f>
        <v/>
      </c>
      <c r="Q366" s="3">
        <f>IF(L366&lt;&gt;"",L366/1.56,"")</f>
        <v/>
      </c>
      <c r="R366" s="3">
        <f>IF(M366&lt;&gt;"",M366/1.4,"")</f>
        <v/>
      </c>
      <c r="S366" s="3">
        <f>IF(M366&lt;&gt;"",M366/1.56,"")</f>
        <v/>
      </c>
      <c r="T366" s="3">
        <f>IF(N366&lt;&gt;"",N366,IF(O366&lt;&gt;"",O366,IF(L366&lt;&gt;"",L366/1.56,IF(M366&lt;&gt;"",M366/1.56,""))))</f>
        <v/>
      </c>
      <c r="U366" s="3" t="n">
        <v>220</v>
      </c>
      <c r="V366" s="3" t="n">
        <v>134</v>
      </c>
      <c r="W366" s="3" t="n"/>
      <c r="X366" s="4" t="n"/>
      <c r="Y366" s="5" t="n">
        <v>0.244</v>
      </c>
      <c r="Z366" s="4">
        <f>IF(L366&lt;&gt;"",SQRT(3)*G366*L366/1000,"")</f>
        <v/>
      </c>
      <c r="AA366" t="inlineStr">
        <is>
          <t>Source=Copeland 2D/3D/4D/4R/6D/8D/9R compressors (pdf) p7; PWS_RLA=22.6</t>
        </is>
      </c>
      <c r="AB366" t="inlineStr">
        <is>
          <t>Copeland_RLA_230_460_3ph_60Hz.xlsx</t>
        </is>
      </c>
      <c r="AC366" t="inlineStr">
        <is>
          <t>Recip_2D-9R</t>
        </is>
      </c>
    </row>
    <row r="367">
      <c r="A367" t="inlineStr">
        <is>
          <t>COPELAND</t>
        </is>
      </c>
      <c r="B367" t="inlineStr">
        <is>
          <t>4DADF47KL-TSK</t>
        </is>
      </c>
      <c r="D367" t="inlineStr">
        <is>
          <t>Reciprocating Semi-hermetic</t>
        </is>
      </c>
      <c r="E367" s="2" t="n">
        <v>3</v>
      </c>
      <c r="F367" s="2" t="n">
        <v>60</v>
      </c>
      <c r="G367" s="2" t="n">
        <v>460</v>
      </c>
      <c r="H367" t="inlineStr">
        <is>
          <t>460</t>
        </is>
      </c>
      <c r="I367" s="2" t="n">
        <v>460</v>
      </c>
      <c r="J367" s="2" t="n">
        <v>460</v>
      </c>
      <c r="L367" s="3" t="n"/>
      <c r="M367" s="3" t="n"/>
      <c r="N367" s="3" t="n">
        <v>22.8</v>
      </c>
      <c r="O367" s="3" t="n"/>
      <c r="P367" s="3">
        <f>IF(L367&lt;&gt;"",L367/1.4,"")</f>
        <v/>
      </c>
      <c r="Q367" s="3">
        <f>IF(L367&lt;&gt;"",L367/1.56,"")</f>
        <v/>
      </c>
      <c r="R367" s="3">
        <f>IF(M367&lt;&gt;"",M367/1.4,"")</f>
        <v/>
      </c>
      <c r="S367" s="3">
        <f>IF(M367&lt;&gt;"",M367/1.56,"")</f>
        <v/>
      </c>
      <c r="T367" s="3">
        <f>IF(N367&lt;&gt;"",N367,IF(O367&lt;&gt;"",O367,IF(L367&lt;&gt;"",L367/1.56,IF(M367&lt;&gt;"",M367/1.56,""))))</f>
        <v/>
      </c>
      <c r="U367" s="3" t="n">
        <v>110</v>
      </c>
      <c r="V367" s="3" t="n"/>
      <c r="W367" s="3" t="n"/>
      <c r="X367" s="4" t="n"/>
      <c r="Y367" s="5" t="n">
        <v>0.976</v>
      </c>
      <c r="Z367" s="4">
        <f>IF(L367&lt;&gt;"",SQRT(3)*G367*L367/1000,"")</f>
        <v/>
      </c>
      <c r="AA367" t="inlineStr">
        <is>
          <t>Source=Copeland 2D/3D/4D/4R/6D/8D/9R compressors (pdf) p7</t>
        </is>
      </c>
      <c r="AB367" t="inlineStr">
        <is>
          <t>Copeland_RLA_230_460_3ph_60Hz.xlsx</t>
        </is>
      </c>
      <c r="AC367" t="inlineStr">
        <is>
          <t>Recip_2D-9R</t>
        </is>
      </c>
    </row>
    <row r="368">
      <c r="A368" t="inlineStr">
        <is>
          <t>COPELAND</t>
        </is>
      </c>
      <c r="B368" t="inlineStr">
        <is>
          <t>4DADR18ML-TSK</t>
        </is>
      </c>
      <c r="D368" t="inlineStr">
        <is>
          <t>Reciprocating Semi-hermetic</t>
        </is>
      </c>
      <c r="E368" s="2" t="n">
        <v>3</v>
      </c>
      <c r="F368" s="2" t="n">
        <v>60</v>
      </c>
      <c r="G368" s="2" t="n">
        <v>230</v>
      </c>
      <c r="H368" t="inlineStr">
        <is>
          <t>208/230</t>
        </is>
      </c>
      <c r="I368" s="2" t="n">
        <v>208</v>
      </c>
      <c r="J368" s="2" t="n">
        <v>230</v>
      </c>
      <c r="L368" s="3" t="n"/>
      <c r="M368" s="3" t="n"/>
      <c r="N368" s="3" t="n">
        <v>82.90000000000001</v>
      </c>
      <c r="O368" s="3" t="n"/>
      <c r="P368" s="3">
        <f>IF(L368&lt;&gt;"",L368/1.4,"")</f>
        <v/>
      </c>
      <c r="Q368" s="3">
        <f>IF(L368&lt;&gt;"",L368/1.56,"")</f>
        <v/>
      </c>
      <c r="R368" s="3">
        <f>IF(M368&lt;&gt;"",M368/1.4,"")</f>
        <v/>
      </c>
      <c r="S368" s="3">
        <f>IF(M368&lt;&gt;"",M368/1.56,"")</f>
        <v/>
      </c>
      <c r="T368" s="3">
        <f>IF(N368&lt;&gt;"",N368,IF(O368&lt;&gt;"",O368,IF(L368&lt;&gt;"",L368/1.56,IF(M368&lt;&gt;"",M368/1.56,""))))</f>
        <v/>
      </c>
      <c r="U368" s="3" t="n">
        <v>308</v>
      </c>
      <c r="V368" s="3" t="n">
        <v>188</v>
      </c>
      <c r="W368" s="3" t="n"/>
      <c r="X368" s="4" t="n"/>
      <c r="Y368" s="5" t="n">
        <v>0.174</v>
      </c>
      <c r="Z368" s="4">
        <f>IF(L368&lt;&gt;"",SQRT(3)*G368*L368/1000,"")</f>
        <v/>
      </c>
      <c r="AA368" t="inlineStr">
        <is>
          <t>Source=Copeland 2D/3D/4D/4R/6D/8D/9R compressors (pdf) p7; PWS_RLA=41.4</t>
        </is>
      </c>
      <c r="AB368" t="inlineStr">
        <is>
          <t>Copeland_RLA_230_460_3ph_60Hz.xlsx</t>
        </is>
      </c>
      <c r="AC368" t="inlineStr">
        <is>
          <t>Recip_2D-9R</t>
        </is>
      </c>
    </row>
    <row r="369">
      <c r="A369" t="inlineStr">
        <is>
          <t>COPELAND</t>
        </is>
      </c>
      <c r="B369" t="inlineStr">
        <is>
          <t>4DADR18ML-TSK</t>
        </is>
      </c>
      <c r="D369" t="inlineStr">
        <is>
          <t>Reciprocating Semi-hermetic</t>
        </is>
      </c>
      <c r="E369" s="2" t="n">
        <v>3</v>
      </c>
      <c r="F369" s="2" t="n">
        <v>60</v>
      </c>
      <c r="G369" s="2" t="n">
        <v>460</v>
      </c>
      <c r="H369" t="inlineStr">
        <is>
          <t>460</t>
        </is>
      </c>
      <c r="I369" s="2" t="n">
        <v>460</v>
      </c>
      <c r="J369" s="2" t="n">
        <v>460</v>
      </c>
      <c r="L369" s="3" t="n"/>
      <c r="M369" s="3" t="n"/>
      <c r="N369" s="3" t="n">
        <v>41.4</v>
      </c>
      <c r="O369" s="3" t="n"/>
      <c r="P369" s="3">
        <f>IF(L369&lt;&gt;"",L369/1.4,"")</f>
        <v/>
      </c>
      <c r="Q369" s="3">
        <f>IF(L369&lt;&gt;"",L369/1.56,"")</f>
        <v/>
      </c>
      <c r="R369" s="3">
        <f>IF(M369&lt;&gt;"",M369/1.4,"")</f>
        <v/>
      </c>
      <c r="S369" s="3">
        <f>IF(M369&lt;&gt;"",M369/1.56,"")</f>
        <v/>
      </c>
      <c r="T369" s="3">
        <f>IF(N369&lt;&gt;"",N369,IF(O369&lt;&gt;"",O369,IF(L369&lt;&gt;"",L369/1.56,IF(M369&lt;&gt;"",M369/1.56,""))))</f>
        <v/>
      </c>
      <c r="U369" s="3" t="n">
        <v>154</v>
      </c>
      <c r="V369" s="3" t="n"/>
      <c r="W369" s="3" t="n"/>
      <c r="X369" s="4" t="n"/>
      <c r="Y369" s="5" t="n">
        <v>0.696</v>
      </c>
      <c r="Z369" s="4">
        <f>IF(L369&lt;&gt;"",SQRT(3)*G369*L369/1000,"")</f>
        <v/>
      </c>
      <c r="AA369" t="inlineStr">
        <is>
          <t>Source=Copeland 2D/3D/4D/4R/6D/8D/9R compressors (pdf) p7</t>
        </is>
      </c>
      <c r="AB369" t="inlineStr">
        <is>
          <t>Copeland_RLA_230_460_3ph_60Hz.xlsx</t>
        </is>
      </c>
      <c r="AC369" t="inlineStr">
        <is>
          <t>Recip_2D-9R</t>
        </is>
      </c>
    </row>
    <row r="370">
      <c r="A370" t="inlineStr">
        <is>
          <t>COPELAND</t>
        </is>
      </c>
      <c r="B370" t="inlineStr">
        <is>
          <t>4DADS13ML-TSK</t>
        </is>
      </c>
      <c r="D370" t="inlineStr">
        <is>
          <t>Reciprocating Semi-hermetic</t>
        </is>
      </c>
      <c r="E370" s="2" t="n">
        <v>3</v>
      </c>
      <c r="F370" s="2" t="n">
        <v>60</v>
      </c>
      <c r="G370" s="2" t="n">
        <v>230</v>
      </c>
      <c r="H370" t="inlineStr">
        <is>
          <t>208/230</t>
        </is>
      </c>
      <c r="I370" s="2" t="n">
        <v>208</v>
      </c>
      <c r="J370" s="2" t="n">
        <v>230</v>
      </c>
      <c r="L370" s="3" t="n"/>
      <c r="M370" s="3" t="n"/>
      <c r="N370" s="3" t="n">
        <v>57.1</v>
      </c>
      <c r="O370" s="3" t="n"/>
      <c r="P370" s="3">
        <f>IF(L370&lt;&gt;"",L370/1.4,"")</f>
        <v/>
      </c>
      <c r="Q370" s="3">
        <f>IF(L370&lt;&gt;"",L370/1.56,"")</f>
        <v/>
      </c>
      <c r="R370" s="3">
        <f>IF(M370&lt;&gt;"",M370/1.4,"")</f>
        <v/>
      </c>
      <c r="S370" s="3">
        <f>IF(M370&lt;&gt;"",M370/1.56,"")</f>
        <v/>
      </c>
      <c r="T370" s="3">
        <f>IF(N370&lt;&gt;"",N370,IF(O370&lt;&gt;"",O370,IF(L370&lt;&gt;"",L370/1.56,IF(M370&lt;&gt;"",M370/1.56,""))))</f>
        <v/>
      </c>
      <c r="U370" s="3" t="n">
        <v>278</v>
      </c>
      <c r="V370" s="3" t="n"/>
      <c r="W370" s="3" t="n"/>
      <c r="X370" s="4" t="n"/>
      <c r="Y370" s="5" t="n">
        <v>0.204</v>
      </c>
      <c r="Z370" s="4">
        <f>IF(L370&lt;&gt;"",SQRT(3)*G370*L370/1000,"")</f>
        <v/>
      </c>
      <c r="AA370" t="inlineStr">
        <is>
          <t>Source=Copeland 2D/3D/4D/4R/6D/8D/9R compressors (pdf) p7</t>
        </is>
      </c>
      <c r="AB370" t="inlineStr">
        <is>
          <t>Copeland_RLA_230_460_3ph_60Hz.xlsx</t>
        </is>
      </c>
      <c r="AC370" t="inlineStr">
        <is>
          <t>Recip_2D-9R</t>
        </is>
      </c>
    </row>
    <row r="371">
      <c r="A371" t="inlineStr">
        <is>
          <t>COPELAND</t>
        </is>
      </c>
      <c r="B371" t="inlineStr">
        <is>
          <t>4DADS13ML-TSK</t>
        </is>
      </c>
      <c r="D371" t="inlineStr">
        <is>
          <t>Reciprocating Semi-hermetic</t>
        </is>
      </c>
      <c r="E371" s="2" t="n">
        <v>3</v>
      </c>
      <c r="F371" s="2" t="n">
        <v>60</v>
      </c>
      <c r="G371" s="2" t="n">
        <v>460</v>
      </c>
      <c r="H371" t="inlineStr">
        <is>
          <t>460</t>
        </is>
      </c>
      <c r="I371" s="2" t="n">
        <v>460</v>
      </c>
      <c r="J371" s="2" t="n">
        <v>460</v>
      </c>
      <c r="L371" s="3" t="n"/>
      <c r="M371" s="3" t="n"/>
      <c r="N371" s="3" t="n">
        <v>27.1</v>
      </c>
      <c r="O371" s="3" t="n"/>
      <c r="P371" s="3">
        <f>IF(L371&lt;&gt;"",L371/1.4,"")</f>
        <v/>
      </c>
      <c r="Q371" s="3">
        <f>IF(L371&lt;&gt;"",L371/1.56,"")</f>
        <v/>
      </c>
      <c r="R371" s="3">
        <f>IF(M371&lt;&gt;"",M371/1.4,"")</f>
        <v/>
      </c>
      <c r="S371" s="3">
        <f>IF(M371&lt;&gt;"",M371/1.56,"")</f>
        <v/>
      </c>
      <c r="T371" s="3">
        <f>IF(N371&lt;&gt;"",N371,IF(O371&lt;&gt;"",O371,IF(L371&lt;&gt;"",L371/1.56,IF(M371&lt;&gt;"",M371/1.56,""))))</f>
        <v/>
      </c>
      <c r="U371" s="3" t="n">
        <v>139</v>
      </c>
      <c r="V371" s="3" t="n"/>
      <c r="W371" s="3" t="n"/>
      <c r="X371" s="4" t="n"/>
      <c r="Y371" s="5" t="n">
        <v>0.8159999999999999</v>
      </c>
      <c r="Z371" s="4">
        <f>IF(L371&lt;&gt;"",SQRT(3)*G371*L371/1000,"")</f>
        <v/>
      </c>
      <c r="AA371" t="inlineStr">
        <is>
          <t>Source=Copeland 2D/3D/4D/4R/6D/8D/9R compressors (pdf) p7</t>
        </is>
      </c>
      <c r="AB371" t="inlineStr">
        <is>
          <t>Copeland_RLA_230_460_3ph_60Hz.xlsx</t>
        </is>
      </c>
      <c r="AC371" t="inlineStr">
        <is>
          <t>Recip_2D-9R</t>
        </is>
      </c>
    </row>
    <row r="372">
      <c r="A372" t="inlineStr">
        <is>
          <t>COPELAND</t>
        </is>
      </c>
      <c r="B372" t="inlineStr">
        <is>
          <t>4DAGA1010-TSK</t>
        </is>
      </c>
      <c r="D372" t="inlineStr">
        <is>
          <t>Reciprocating Semi-hermetic</t>
        </is>
      </c>
      <c r="E372" s="2" t="n">
        <v>3</v>
      </c>
      <c r="F372" s="2" t="n">
        <v>60</v>
      </c>
      <c r="G372" s="2" t="n">
        <v>230</v>
      </c>
      <c r="H372" t="inlineStr">
        <is>
          <t>208/230</t>
        </is>
      </c>
      <c r="I372" s="2" t="n">
        <v>208</v>
      </c>
      <c r="J372" s="2" t="n">
        <v>230</v>
      </c>
      <c r="L372" s="3" t="n"/>
      <c r="M372" s="3" t="n"/>
      <c r="N372" s="3" t="n">
        <v>42</v>
      </c>
      <c r="O372" s="3" t="n"/>
      <c r="P372" s="3">
        <f>IF(L372&lt;&gt;"",L372/1.4,"")</f>
        <v/>
      </c>
      <c r="Q372" s="3">
        <f>IF(L372&lt;&gt;"",L372/1.56,"")</f>
        <v/>
      </c>
      <c r="R372" s="3">
        <f>IF(M372&lt;&gt;"",M372/1.4,"")</f>
        <v/>
      </c>
      <c r="S372" s="3">
        <f>IF(M372&lt;&gt;"",M372/1.56,"")</f>
        <v/>
      </c>
      <c r="T372" s="3">
        <f>IF(N372&lt;&gt;"",N372,IF(O372&lt;&gt;"",O372,IF(L372&lt;&gt;"",L372/1.56,IF(M372&lt;&gt;"",M372/1.56,""))))</f>
        <v/>
      </c>
      <c r="U372" s="3" t="n">
        <v>220</v>
      </c>
      <c r="V372" s="3" t="n">
        <v>134</v>
      </c>
      <c r="W372" s="3" t="n"/>
      <c r="X372" s="4" t="n"/>
      <c r="Y372" s="5" t="n">
        <v>0.244</v>
      </c>
      <c r="Z372" s="4">
        <f>IF(L372&lt;&gt;"",SQRT(3)*G372*L372/1000,"")</f>
        <v/>
      </c>
      <c r="AA372" t="inlineStr">
        <is>
          <t>Source=Copeland 2D/3D/4D/4R/6D/8D/9R compressors (pdf) p7; PWS_RLA=22.6</t>
        </is>
      </c>
      <c r="AB372" t="inlineStr">
        <is>
          <t>Copeland_RLA_230_460_3ph_60Hz.xlsx</t>
        </is>
      </c>
      <c r="AC372" t="inlineStr">
        <is>
          <t>Recip_2D-9R</t>
        </is>
      </c>
    </row>
    <row r="373">
      <c r="A373" t="inlineStr">
        <is>
          <t>COPELAND</t>
        </is>
      </c>
      <c r="B373" t="inlineStr">
        <is>
          <t>4DAGA1010-TSK</t>
        </is>
      </c>
      <c r="D373" t="inlineStr">
        <is>
          <t>Reciprocating Semi-hermetic</t>
        </is>
      </c>
      <c r="E373" s="2" t="n">
        <v>3</v>
      </c>
      <c r="F373" s="2" t="n">
        <v>60</v>
      </c>
      <c r="G373" s="2" t="n">
        <v>460</v>
      </c>
      <c r="H373" t="inlineStr">
        <is>
          <t>460</t>
        </is>
      </c>
      <c r="I373" s="2" t="n">
        <v>460</v>
      </c>
      <c r="J373" s="2" t="n">
        <v>460</v>
      </c>
      <c r="L373" s="3" t="n"/>
      <c r="M373" s="3" t="n"/>
      <c r="N373" s="3" t="n">
        <v>21</v>
      </c>
      <c r="O373" s="3" t="n"/>
      <c r="P373" s="3">
        <f>IF(L373&lt;&gt;"",L373/1.4,"")</f>
        <v/>
      </c>
      <c r="Q373" s="3">
        <f>IF(L373&lt;&gt;"",L373/1.56,"")</f>
        <v/>
      </c>
      <c r="R373" s="3">
        <f>IF(M373&lt;&gt;"",M373/1.4,"")</f>
        <v/>
      </c>
      <c r="S373" s="3">
        <f>IF(M373&lt;&gt;"",M373/1.56,"")</f>
        <v/>
      </c>
      <c r="T373" s="3">
        <f>IF(N373&lt;&gt;"",N373,IF(O373&lt;&gt;"",O373,IF(L373&lt;&gt;"",L373/1.56,IF(M373&lt;&gt;"",M373/1.56,""))))</f>
        <v/>
      </c>
      <c r="U373" s="3" t="n">
        <v>110</v>
      </c>
      <c r="V373" s="3" t="n"/>
      <c r="W373" s="3" t="n"/>
      <c r="X373" s="4" t="n"/>
      <c r="Y373" s="5" t="n">
        <v>0.976</v>
      </c>
      <c r="Z373" s="4">
        <f>IF(L373&lt;&gt;"",SQRT(3)*G373*L373/1000,"")</f>
        <v/>
      </c>
      <c r="AA373" t="inlineStr">
        <is>
          <t>Source=Copeland 2D/3D/4D/4R/6D/8D/9R compressors (pdf) p7</t>
        </is>
      </c>
      <c r="AB373" t="inlineStr">
        <is>
          <t>Copeland_RLA_230_460_3ph_60Hz.xlsx</t>
        </is>
      </c>
      <c r="AC373" t="inlineStr">
        <is>
          <t>Recip_2D-9R</t>
        </is>
      </c>
    </row>
    <row r="374">
      <c r="A374" t="inlineStr">
        <is>
          <t>COPELAND</t>
        </is>
      </c>
      <c r="B374" t="inlineStr">
        <is>
          <t>4DAGA200E-TSK</t>
        </is>
      </c>
      <c r="D374" t="inlineStr">
        <is>
          <t>Reciprocating Semi-hermetic</t>
        </is>
      </c>
      <c r="E374" s="2" t="n">
        <v>3</v>
      </c>
      <c r="F374" s="2" t="n">
        <v>60</v>
      </c>
      <c r="G374" s="2" t="n">
        <v>460</v>
      </c>
      <c r="H374" t="inlineStr">
        <is>
          <t>460</t>
        </is>
      </c>
      <c r="I374" s="2" t="n">
        <v>460</v>
      </c>
      <c r="J374" s="2" t="n">
        <v>460</v>
      </c>
      <c r="L374" s="3" t="n"/>
      <c r="M374" s="3" t="n"/>
      <c r="N374" s="3" t="n">
        <v>33.3</v>
      </c>
      <c r="O374" s="3" t="n"/>
      <c r="P374" s="3">
        <f>IF(L374&lt;&gt;"",L374/1.4,"")</f>
        <v/>
      </c>
      <c r="Q374" s="3">
        <f>IF(L374&lt;&gt;"",L374/1.56,"")</f>
        <v/>
      </c>
      <c r="R374" s="3">
        <f>IF(M374&lt;&gt;"",M374/1.4,"")</f>
        <v/>
      </c>
      <c r="S374" s="3">
        <f>IF(M374&lt;&gt;"",M374/1.56,"")</f>
        <v/>
      </c>
      <c r="T374" s="3">
        <f>IF(N374&lt;&gt;"",N374,IF(O374&lt;&gt;"",O374,IF(L374&lt;&gt;"",L374/1.56,IF(M374&lt;&gt;"",M374/1.56,""))))</f>
        <v/>
      </c>
      <c r="U374" s="3" t="n">
        <v>154</v>
      </c>
      <c r="V374" s="3" t="n"/>
      <c r="W374" s="3" t="n"/>
      <c r="X374" s="4" t="n"/>
      <c r="Y374" s="5" t="n">
        <v>0.696</v>
      </c>
      <c r="Z374" s="4">
        <f>IF(L374&lt;&gt;"",SQRT(3)*G374*L374/1000,"")</f>
        <v/>
      </c>
      <c r="AA374" t="inlineStr">
        <is>
          <t>Source=Copeland 2D/3D/4D/4R/6D/8D/9R compressors (pdf) p7</t>
        </is>
      </c>
      <c r="AB374" t="inlineStr">
        <is>
          <t>Copeland_RLA_230_460_3ph_60Hz.xlsx</t>
        </is>
      </c>
      <c r="AC374" t="inlineStr">
        <is>
          <t>Recip_2D-9R</t>
        </is>
      </c>
    </row>
    <row r="375">
      <c r="A375" t="inlineStr">
        <is>
          <t>COPELAND</t>
        </is>
      </c>
      <c r="B375" t="inlineStr">
        <is>
          <t>4DAJA2000-TSK</t>
        </is>
      </c>
      <c r="D375" t="inlineStr">
        <is>
          <t>Reciprocating Semi-hermetic</t>
        </is>
      </c>
      <c r="E375" s="2" t="n">
        <v>3</v>
      </c>
      <c r="F375" s="2" t="n">
        <v>60</v>
      </c>
      <c r="G375" s="2" t="n">
        <v>230</v>
      </c>
      <c r="H375" t="inlineStr">
        <is>
          <t>208/230</t>
        </is>
      </c>
      <c r="I375" s="2" t="n">
        <v>208</v>
      </c>
      <c r="J375" s="2" t="n">
        <v>230</v>
      </c>
      <c r="L375" s="3" t="n"/>
      <c r="M375" s="3" t="n"/>
      <c r="N375" s="3" t="n">
        <v>66.59999999999999</v>
      </c>
      <c r="O375" s="3" t="n"/>
      <c r="P375" s="3">
        <f>IF(L375&lt;&gt;"",L375/1.4,"")</f>
        <v/>
      </c>
      <c r="Q375" s="3">
        <f>IF(L375&lt;&gt;"",L375/1.56,"")</f>
        <v/>
      </c>
      <c r="R375" s="3">
        <f>IF(M375&lt;&gt;"",M375/1.4,"")</f>
        <v/>
      </c>
      <c r="S375" s="3">
        <f>IF(M375&lt;&gt;"",M375/1.56,"")</f>
        <v/>
      </c>
      <c r="T375" s="3">
        <f>IF(N375&lt;&gt;"",N375,IF(O375&lt;&gt;"",O375,IF(L375&lt;&gt;"",L375/1.56,IF(M375&lt;&gt;"",M375/1.56,""))))</f>
        <v/>
      </c>
      <c r="U375" s="3" t="n">
        <v>308</v>
      </c>
      <c r="V375" s="3" t="n">
        <v>188</v>
      </c>
      <c r="W375" s="3" t="n"/>
      <c r="X375" s="4" t="n"/>
      <c r="Y375" s="5" t="n">
        <v>0.174</v>
      </c>
      <c r="Z375" s="4">
        <f>IF(L375&lt;&gt;"",SQRT(3)*G375*L375/1000,"")</f>
        <v/>
      </c>
      <c r="AA375" t="inlineStr">
        <is>
          <t>Source=Copeland 2D/3D/4D/4R/6D/8D/9R compressors (pdf) p8; PWS_RLA=33.0</t>
        </is>
      </c>
      <c r="AB375" t="inlineStr">
        <is>
          <t>Copeland_RLA_230_460_3ph_60Hz.xlsx</t>
        </is>
      </c>
      <c r="AC375" t="inlineStr">
        <is>
          <t>Recip_2D-9R</t>
        </is>
      </c>
    </row>
    <row r="376">
      <c r="A376" t="inlineStr">
        <is>
          <t>COPELAND</t>
        </is>
      </c>
      <c r="B376" t="inlineStr">
        <is>
          <t>4DAJA2000-TSK</t>
        </is>
      </c>
      <c r="D376" t="inlineStr">
        <is>
          <t>Reciprocating Semi-hermetic</t>
        </is>
      </c>
      <c r="E376" s="2" t="n">
        <v>3</v>
      </c>
      <c r="F376" s="2" t="n">
        <v>60</v>
      </c>
      <c r="G376" s="2" t="n">
        <v>460</v>
      </c>
      <c r="H376" t="inlineStr">
        <is>
          <t>460</t>
        </is>
      </c>
      <c r="I376" s="2" t="n">
        <v>460</v>
      </c>
      <c r="J376" s="2" t="n">
        <v>460</v>
      </c>
      <c r="L376" s="3" t="n"/>
      <c r="M376" s="3" t="n"/>
      <c r="N376" s="3" t="n">
        <v>33.3</v>
      </c>
      <c r="O376" s="3" t="n"/>
      <c r="P376" s="3">
        <f>IF(L376&lt;&gt;"",L376/1.4,"")</f>
        <v/>
      </c>
      <c r="Q376" s="3">
        <f>IF(L376&lt;&gt;"",L376/1.56,"")</f>
        <v/>
      </c>
      <c r="R376" s="3">
        <f>IF(M376&lt;&gt;"",M376/1.4,"")</f>
        <v/>
      </c>
      <c r="S376" s="3">
        <f>IF(M376&lt;&gt;"",M376/1.56,"")</f>
        <v/>
      </c>
      <c r="T376" s="3">
        <f>IF(N376&lt;&gt;"",N376,IF(O376&lt;&gt;"",O376,IF(L376&lt;&gt;"",L376/1.56,IF(M376&lt;&gt;"",M376/1.56,""))))</f>
        <v/>
      </c>
      <c r="U376" s="3" t="n">
        <v>154</v>
      </c>
      <c r="V376" s="3" t="n"/>
      <c r="W376" s="3" t="n"/>
      <c r="X376" s="4" t="n"/>
      <c r="Y376" s="5" t="n">
        <v>0.696</v>
      </c>
      <c r="Z376" s="4">
        <f>IF(L376&lt;&gt;"",SQRT(3)*G376*L376/1000,"")</f>
        <v/>
      </c>
      <c r="AA376" t="inlineStr">
        <is>
          <t>Source=Copeland 2D/3D/4D/4R/6D/8D/9R compressors (pdf) p8</t>
        </is>
      </c>
      <c r="AB376" t="inlineStr">
        <is>
          <t>Copeland_RLA_230_460_3ph_60Hz.xlsx</t>
        </is>
      </c>
      <c r="AC376" t="inlineStr">
        <is>
          <t>Recip_2D-9R</t>
        </is>
      </c>
    </row>
    <row r="377">
      <c r="A377" t="inlineStr">
        <is>
          <t>COPELAND</t>
        </is>
      </c>
      <c r="B377" t="inlineStr">
        <is>
          <t>4DB3A2200-FSD</t>
        </is>
      </c>
      <c r="D377" t="inlineStr">
        <is>
          <t>Reciprocating Semi-hermetic</t>
        </is>
      </c>
      <c r="E377" s="2" t="n">
        <v>3</v>
      </c>
      <c r="F377" s="2" t="n">
        <v>60</v>
      </c>
      <c r="G377" s="2" t="n">
        <v>460</v>
      </c>
      <c r="H377" t="inlineStr">
        <is>
          <t>460</t>
        </is>
      </c>
      <c r="I377" s="2" t="n">
        <v>460</v>
      </c>
      <c r="J377" s="2" t="n">
        <v>460</v>
      </c>
      <c r="L377" s="3" t="n"/>
      <c r="M377" s="3" t="n"/>
      <c r="N377" s="3" t="n">
        <v>32.5</v>
      </c>
      <c r="O377" s="3" t="n"/>
      <c r="P377" s="3">
        <f>IF(L377&lt;&gt;"",L377/1.4,"")</f>
        <v/>
      </c>
      <c r="Q377" s="3">
        <f>IF(L377&lt;&gt;"",L377/1.56,"")</f>
        <v/>
      </c>
      <c r="R377" s="3">
        <f>IF(M377&lt;&gt;"",M377/1.4,"")</f>
        <v/>
      </c>
      <c r="S377" s="3">
        <f>IF(M377&lt;&gt;"",M377/1.56,"")</f>
        <v/>
      </c>
      <c r="T377" s="3">
        <f>IF(N377&lt;&gt;"",N377,IF(O377&lt;&gt;"",O377,IF(L377&lt;&gt;"",L377/1.56,IF(M377&lt;&gt;"",M377/1.56,""))))</f>
        <v/>
      </c>
      <c r="U377" s="3" t="n">
        <v>180</v>
      </c>
      <c r="V377" s="3" t="n">
        <v>108</v>
      </c>
      <c r="W377" s="3" t="n"/>
      <c r="X377" s="4" t="n"/>
      <c r="Y377" s="5" t="n">
        <v>0.5580000000000001</v>
      </c>
      <c r="Z377" s="4">
        <f>IF(L377&lt;&gt;"",SQRT(3)*G377*L377/1000,"")</f>
        <v/>
      </c>
      <c r="AA377" t="inlineStr">
        <is>
          <t>Source=Copeland 2D/3D/4D/4R/6D/8D/9R compressors (pdf) p8; PWS_RLA=16.3</t>
        </is>
      </c>
      <c r="AB377" t="inlineStr">
        <is>
          <t>Copeland_RLA_230_460_3ph_60Hz.xlsx</t>
        </is>
      </c>
      <c r="AC377" t="inlineStr">
        <is>
          <t>Recip_2D-9R</t>
        </is>
      </c>
    </row>
    <row r="378">
      <c r="A378" t="inlineStr">
        <is>
          <t>COPELAND</t>
        </is>
      </c>
      <c r="B378" t="inlineStr">
        <is>
          <t>4DB3A2200-TSK</t>
        </is>
      </c>
      <c r="D378" t="inlineStr">
        <is>
          <t>Reciprocating Semi-hermetic</t>
        </is>
      </c>
      <c r="E378" s="2" t="n">
        <v>3</v>
      </c>
      <c r="F378" s="2" t="n">
        <v>60</v>
      </c>
      <c r="G378" s="2" t="n">
        <v>230</v>
      </c>
      <c r="H378" t="inlineStr">
        <is>
          <t>208/230</t>
        </is>
      </c>
      <c r="I378" s="2" t="n">
        <v>208</v>
      </c>
      <c r="J378" s="2" t="n">
        <v>230</v>
      </c>
      <c r="L378" s="3" t="n"/>
      <c r="M378" s="3" t="n"/>
      <c r="N378" s="3" t="n">
        <v>65.59999999999999</v>
      </c>
      <c r="O378" s="3" t="n"/>
      <c r="P378" s="3">
        <f>IF(L378&lt;&gt;"",L378/1.4,"")</f>
        <v/>
      </c>
      <c r="Q378" s="3">
        <f>IF(L378&lt;&gt;"",L378/1.56,"")</f>
        <v/>
      </c>
      <c r="R378" s="3">
        <f>IF(M378&lt;&gt;"",M378/1.4,"")</f>
        <v/>
      </c>
      <c r="S378" s="3">
        <f>IF(M378&lt;&gt;"",M378/1.56,"")</f>
        <v/>
      </c>
      <c r="T378" s="3">
        <f>IF(N378&lt;&gt;"",N378,IF(O378&lt;&gt;"",O378,IF(L378&lt;&gt;"",L378/1.56,IF(M378&lt;&gt;"",M378/1.56,""))))</f>
        <v/>
      </c>
      <c r="U378" s="3" t="n">
        <v>374</v>
      </c>
      <c r="V378" s="3" t="n">
        <v>222</v>
      </c>
      <c r="W378" s="3" t="n"/>
      <c r="X378" s="4" t="n"/>
      <c r="Y378" s="5" t="n">
        <v>0.14</v>
      </c>
      <c r="Z378" s="4">
        <f>IF(L378&lt;&gt;"",SQRT(3)*G378*L378/1000,"")</f>
        <v/>
      </c>
      <c r="AA378" t="inlineStr">
        <is>
          <t>Source=Copeland 2D/3D/4D/4R/6D/8D/9R compressors (pdf) p8; PWS_RLA=32.8</t>
        </is>
      </c>
      <c r="AB378" t="inlineStr">
        <is>
          <t>Copeland_RLA_230_460_3ph_60Hz.xlsx</t>
        </is>
      </c>
      <c r="AC378" t="inlineStr">
        <is>
          <t>Recip_2D-9R</t>
        </is>
      </c>
    </row>
    <row r="379">
      <c r="A379" t="inlineStr">
        <is>
          <t>COPELAND</t>
        </is>
      </c>
      <c r="B379" t="inlineStr">
        <is>
          <t>4DB3A2200-TSK</t>
        </is>
      </c>
      <c r="D379" t="inlineStr">
        <is>
          <t>Reciprocating Semi-hermetic</t>
        </is>
      </c>
      <c r="E379" s="2" t="n">
        <v>3</v>
      </c>
      <c r="F379" s="2" t="n">
        <v>60</v>
      </c>
      <c r="G379" s="2" t="n">
        <v>460</v>
      </c>
      <c r="H379" t="inlineStr">
        <is>
          <t>460</t>
        </is>
      </c>
      <c r="I379" s="2" t="n">
        <v>460</v>
      </c>
      <c r="J379" s="2" t="n">
        <v>460</v>
      </c>
      <c r="L379" s="3" t="n"/>
      <c r="M379" s="3" t="n"/>
      <c r="N379" s="3" t="n">
        <v>32.8</v>
      </c>
      <c r="O379" s="3" t="n"/>
      <c r="P379" s="3">
        <f>IF(L379&lt;&gt;"",L379/1.4,"")</f>
        <v/>
      </c>
      <c r="Q379" s="3">
        <f>IF(L379&lt;&gt;"",L379/1.56,"")</f>
        <v/>
      </c>
      <c r="R379" s="3">
        <f>IF(M379&lt;&gt;"",M379/1.4,"")</f>
        <v/>
      </c>
      <c r="S379" s="3">
        <f>IF(M379&lt;&gt;"",M379/1.56,"")</f>
        <v/>
      </c>
      <c r="T379" s="3">
        <f>IF(N379&lt;&gt;"",N379,IF(O379&lt;&gt;"",O379,IF(L379&lt;&gt;"",L379/1.56,IF(M379&lt;&gt;"",M379/1.56,""))))</f>
        <v/>
      </c>
      <c r="U379" s="3" t="n">
        <v>187</v>
      </c>
      <c r="V379" s="3" t="n"/>
      <c r="W379" s="3" t="n"/>
      <c r="X379" s="4" t="n"/>
      <c r="Y379" s="5" t="n">
        <v>0.5600000000000001</v>
      </c>
      <c r="Z379" s="4">
        <f>IF(L379&lt;&gt;"",SQRT(3)*G379*L379/1000,"")</f>
        <v/>
      </c>
      <c r="AA379" t="inlineStr">
        <is>
          <t>Source=Copeland 2D/3D/4D/4R/6D/8D/9R compressors (pdf) p8</t>
        </is>
      </c>
      <c r="AB379" t="inlineStr">
        <is>
          <t>Copeland_RLA_230_460_3ph_60Hz.xlsx</t>
        </is>
      </c>
      <c r="AC379" t="inlineStr">
        <is>
          <t>Recip_2D-9R</t>
        </is>
      </c>
    </row>
    <row r="380">
      <c r="A380" t="inlineStr">
        <is>
          <t>COPELAND</t>
        </is>
      </c>
      <c r="B380" t="inlineStr">
        <is>
          <t>4DB3A220E-FSD</t>
        </is>
      </c>
      <c r="D380" t="inlineStr">
        <is>
          <t>Reciprocating Semi-hermetic</t>
        </is>
      </c>
      <c r="E380" s="2" t="n">
        <v>3</v>
      </c>
      <c r="F380" s="2" t="n">
        <v>60</v>
      </c>
      <c r="G380" s="2" t="n">
        <v>460</v>
      </c>
      <c r="H380" t="inlineStr">
        <is>
          <t>460</t>
        </is>
      </c>
      <c r="I380" s="2" t="n">
        <v>460</v>
      </c>
      <c r="J380" s="2" t="n">
        <v>460</v>
      </c>
      <c r="L380" s="3" t="n"/>
      <c r="M380" s="3" t="n"/>
      <c r="N380" s="3" t="n">
        <v>32.5</v>
      </c>
      <c r="O380" s="3" t="n"/>
      <c r="P380" s="3">
        <f>IF(L380&lt;&gt;"",L380/1.4,"")</f>
        <v/>
      </c>
      <c r="Q380" s="3">
        <f>IF(L380&lt;&gt;"",L380/1.56,"")</f>
        <v/>
      </c>
      <c r="R380" s="3">
        <f>IF(M380&lt;&gt;"",M380/1.4,"")</f>
        <v/>
      </c>
      <c r="S380" s="3">
        <f>IF(M380&lt;&gt;"",M380/1.56,"")</f>
        <v/>
      </c>
      <c r="T380" s="3">
        <f>IF(N380&lt;&gt;"",N380,IF(O380&lt;&gt;"",O380,IF(L380&lt;&gt;"",L380/1.56,IF(M380&lt;&gt;"",M380/1.56,""))))</f>
        <v/>
      </c>
      <c r="U380" s="3" t="n">
        <v>180</v>
      </c>
      <c r="V380" s="3" t="n">
        <v>108</v>
      </c>
      <c r="W380" s="3" t="n"/>
      <c r="X380" s="4" t="n"/>
      <c r="Y380" s="5" t="n">
        <v>0.5580000000000001</v>
      </c>
      <c r="Z380" s="4">
        <f>IF(L380&lt;&gt;"",SQRT(3)*G380*L380/1000,"")</f>
        <v/>
      </c>
      <c r="AA380" t="inlineStr">
        <is>
          <t>Source=Copeland 2D/3D/4D/4R/6D/8D/9R compressors (pdf) p8; PWS_RLA=16.3</t>
        </is>
      </c>
      <c r="AB380" t="inlineStr">
        <is>
          <t>Copeland_RLA_230_460_3ph_60Hz.xlsx</t>
        </is>
      </c>
      <c r="AC380" t="inlineStr">
        <is>
          <t>Recip_2D-9R</t>
        </is>
      </c>
    </row>
    <row r="381">
      <c r="A381" t="inlineStr">
        <is>
          <t>COPELAND</t>
        </is>
      </c>
      <c r="B381" t="inlineStr">
        <is>
          <t>4DB3A220E-TSK</t>
        </is>
      </c>
      <c r="D381" t="inlineStr">
        <is>
          <t>Reciprocating Semi-hermetic</t>
        </is>
      </c>
      <c r="E381" s="2" t="n">
        <v>3</v>
      </c>
      <c r="F381" s="2" t="n">
        <v>60</v>
      </c>
      <c r="G381" s="2" t="n">
        <v>230</v>
      </c>
      <c r="H381" t="inlineStr">
        <is>
          <t>208/230</t>
        </is>
      </c>
      <c r="I381" s="2" t="n">
        <v>208</v>
      </c>
      <c r="J381" s="2" t="n">
        <v>230</v>
      </c>
      <c r="L381" s="3" t="n"/>
      <c r="M381" s="3" t="n"/>
      <c r="N381" s="3" t="n">
        <v>92.90000000000001</v>
      </c>
      <c r="O381" s="3" t="n"/>
      <c r="P381" s="3">
        <f>IF(L381&lt;&gt;"",L381/1.4,"")</f>
        <v/>
      </c>
      <c r="Q381" s="3">
        <f>IF(L381&lt;&gt;"",L381/1.56,"")</f>
        <v/>
      </c>
      <c r="R381" s="3">
        <f>IF(M381&lt;&gt;"",M381/1.4,"")</f>
        <v/>
      </c>
      <c r="S381" s="3">
        <f>IF(M381&lt;&gt;"",M381/1.56,"")</f>
        <v/>
      </c>
      <c r="T381" s="3">
        <f>IF(N381&lt;&gt;"",N381,IF(O381&lt;&gt;"",O381,IF(L381&lt;&gt;"",L381/1.56,IF(M381&lt;&gt;"",M381/1.56,""))))</f>
        <v/>
      </c>
      <c r="U381" s="3" t="n">
        <v>374</v>
      </c>
      <c r="V381" s="3" t="n">
        <v>222</v>
      </c>
      <c r="W381" s="3" t="n"/>
      <c r="X381" s="4" t="n"/>
      <c r="Y381" s="5" t="n">
        <v>0.14</v>
      </c>
      <c r="Z381" s="4">
        <f>IF(L381&lt;&gt;"",SQRT(3)*G381*L381/1000,"")</f>
        <v/>
      </c>
      <c r="AA381" t="inlineStr">
        <is>
          <t>Source=Copeland 2D/3D/4D/4R/6D/8D/9R compressors (pdf) p8; PWS_RLA=32.8</t>
        </is>
      </c>
      <c r="AB381" t="inlineStr">
        <is>
          <t>Copeland_RLA_230_460_3ph_60Hz.xlsx</t>
        </is>
      </c>
      <c r="AC381" t="inlineStr">
        <is>
          <t>Recip_2D-9R</t>
        </is>
      </c>
    </row>
    <row r="382">
      <c r="A382" t="inlineStr">
        <is>
          <t>COPELAND</t>
        </is>
      </c>
      <c r="B382" t="inlineStr">
        <is>
          <t>4DB3A220E-TSK</t>
        </is>
      </c>
      <c r="D382" t="inlineStr">
        <is>
          <t>Reciprocating Semi-hermetic</t>
        </is>
      </c>
      <c r="E382" s="2" t="n">
        <v>3</v>
      </c>
      <c r="F382" s="2" t="n">
        <v>60</v>
      </c>
      <c r="G382" s="2" t="n">
        <v>460</v>
      </c>
      <c r="H382" t="inlineStr">
        <is>
          <t>460</t>
        </is>
      </c>
      <c r="I382" s="2" t="n">
        <v>460</v>
      </c>
      <c r="J382" s="2" t="n">
        <v>460</v>
      </c>
      <c r="L382" s="3" t="n"/>
      <c r="M382" s="3" t="n"/>
      <c r="N382" s="3" t="n">
        <v>46.4</v>
      </c>
      <c r="O382" s="3" t="n"/>
      <c r="P382" s="3">
        <f>IF(L382&lt;&gt;"",L382/1.4,"")</f>
        <v/>
      </c>
      <c r="Q382" s="3">
        <f>IF(L382&lt;&gt;"",L382/1.56,"")</f>
        <v/>
      </c>
      <c r="R382" s="3">
        <f>IF(M382&lt;&gt;"",M382/1.4,"")</f>
        <v/>
      </c>
      <c r="S382" s="3">
        <f>IF(M382&lt;&gt;"",M382/1.56,"")</f>
        <v/>
      </c>
      <c r="T382" s="3">
        <f>IF(N382&lt;&gt;"",N382,IF(O382&lt;&gt;"",O382,IF(L382&lt;&gt;"",L382/1.56,IF(M382&lt;&gt;"",M382/1.56,""))))</f>
        <v/>
      </c>
      <c r="U382" s="3" t="n">
        <v>187</v>
      </c>
      <c r="V382" s="3" t="n"/>
      <c r="W382" s="3" t="n"/>
      <c r="X382" s="4" t="n"/>
      <c r="Y382" s="5" t="n">
        <v>0.5600000000000001</v>
      </c>
      <c r="Z382" s="4">
        <f>IF(L382&lt;&gt;"",SQRT(3)*G382*L382/1000,"")</f>
        <v/>
      </c>
      <c r="AA382" t="inlineStr">
        <is>
          <t>Source=Copeland 2D/3D/4D/4R/6D/8D/9R compressors (pdf) p8</t>
        </is>
      </c>
      <c r="AB382" t="inlineStr">
        <is>
          <t>Copeland_RLA_230_460_3ph_60Hz.xlsx</t>
        </is>
      </c>
      <c r="AC382" t="inlineStr">
        <is>
          <t>Recip_2D-9R</t>
        </is>
      </c>
    </row>
    <row r="383">
      <c r="A383" t="inlineStr">
        <is>
          <t>COPELAND</t>
        </is>
      </c>
      <c r="B383" t="inlineStr">
        <is>
          <t>4DB3A220L-FSD</t>
        </is>
      </c>
      <c r="D383" t="inlineStr">
        <is>
          <t>Reciprocating Semi-hermetic</t>
        </is>
      </c>
      <c r="E383" s="2" t="n">
        <v>3</v>
      </c>
      <c r="F383" s="2" t="n">
        <v>60</v>
      </c>
      <c r="G383" s="2" t="n">
        <v>460</v>
      </c>
      <c r="H383" t="inlineStr">
        <is>
          <t>460</t>
        </is>
      </c>
      <c r="I383" s="2" t="n">
        <v>460</v>
      </c>
      <c r="J383" s="2" t="n">
        <v>460</v>
      </c>
      <c r="L383" s="3" t="n"/>
      <c r="M383" s="3" t="n"/>
      <c r="N383" s="3" t="n">
        <v>32.5</v>
      </c>
      <c r="O383" s="3" t="n"/>
      <c r="P383" s="3">
        <f>IF(L383&lt;&gt;"",L383/1.4,"")</f>
        <v/>
      </c>
      <c r="Q383" s="3">
        <f>IF(L383&lt;&gt;"",L383/1.56,"")</f>
        <v/>
      </c>
      <c r="R383" s="3">
        <f>IF(M383&lt;&gt;"",M383/1.4,"")</f>
        <v/>
      </c>
      <c r="S383" s="3">
        <f>IF(M383&lt;&gt;"",M383/1.56,"")</f>
        <v/>
      </c>
      <c r="T383" s="3">
        <f>IF(N383&lt;&gt;"",N383,IF(O383&lt;&gt;"",O383,IF(L383&lt;&gt;"",L383/1.56,IF(M383&lt;&gt;"",M383/1.56,""))))</f>
        <v/>
      </c>
      <c r="U383" s="3" t="n">
        <v>180</v>
      </c>
      <c r="V383" s="3" t="n">
        <v>108</v>
      </c>
      <c r="W383" s="3" t="n"/>
      <c r="X383" s="4" t="n"/>
      <c r="Y383" s="5" t="n">
        <v>0.5580000000000001</v>
      </c>
      <c r="Z383" s="4">
        <f>IF(L383&lt;&gt;"",SQRT(3)*G383*L383/1000,"")</f>
        <v/>
      </c>
      <c r="AA383" t="inlineStr">
        <is>
          <t>Source=Copeland 2D/3D/4D/4R/6D/8D/9R compressors (pdf) p8; PWS_RLA=16.3</t>
        </is>
      </c>
      <c r="AB383" t="inlineStr">
        <is>
          <t>Copeland_RLA_230_460_3ph_60Hz.xlsx</t>
        </is>
      </c>
      <c r="AC383" t="inlineStr">
        <is>
          <t>Recip_2D-9R</t>
        </is>
      </c>
    </row>
    <row r="384">
      <c r="A384" t="inlineStr">
        <is>
          <t>COPELAND</t>
        </is>
      </c>
      <c r="B384" t="inlineStr">
        <is>
          <t>4DB3A220L-TSK</t>
        </is>
      </c>
      <c r="D384" t="inlineStr">
        <is>
          <t>Reciprocating Semi-hermetic</t>
        </is>
      </c>
      <c r="E384" s="2" t="n">
        <v>3</v>
      </c>
      <c r="F384" s="2" t="n">
        <v>60</v>
      </c>
      <c r="G384" s="2" t="n">
        <v>230</v>
      </c>
      <c r="H384" t="inlineStr">
        <is>
          <t>208/230</t>
        </is>
      </c>
      <c r="I384" s="2" t="n">
        <v>208</v>
      </c>
      <c r="J384" s="2" t="n">
        <v>230</v>
      </c>
      <c r="L384" s="3" t="n"/>
      <c r="M384" s="3" t="n"/>
      <c r="N384" s="3" t="n">
        <v>92.90000000000001</v>
      </c>
      <c r="O384" s="3" t="n"/>
      <c r="P384" s="3">
        <f>IF(L384&lt;&gt;"",L384/1.4,"")</f>
        <v/>
      </c>
      <c r="Q384" s="3">
        <f>IF(L384&lt;&gt;"",L384/1.56,"")</f>
        <v/>
      </c>
      <c r="R384" s="3">
        <f>IF(M384&lt;&gt;"",M384/1.4,"")</f>
        <v/>
      </c>
      <c r="S384" s="3">
        <f>IF(M384&lt;&gt;"",M384/1.56,"")</f>
        <v/>
      </c>
      <c r="T384" s="3">
        <f>IF(N384&lt;&gt;"",N384,IF(O384&lt;&gt;"",O384,IF(L384&lt;&gt;"",L384/1.56,IF(M384&lt;&gt;"",M384/1.56,""))))</f>
        <v/>
      </c>
      <c r="U384" s="3" t="n">
        <v>374</v>
      </c>
      <c r="V384" s="3" t="n">
        <v>222</v>
      </c>
      <c r="W384" s="3" t="n"/>
      <c r="X384" s="4" t="n"/>
      <c r="Y384" s="5" t="n">
        <v>0.14</v>
      </c>
      <c r="Z384" s="4">
        <f>IF(L384&lt;&gt;"",SQRT(3)*G384*L384/1000,"")</f>
        <v/>
      </c>
      <c r="AA384" t="inlineStr">
        <is>
          <t>Source=Copeland 2D/3D/4D/4R/6D/8D/9R compressors (pdf) p8; PWS_RLA=32.8</t>
        </is>
      </c>
      <c r="AB384" t="inlineStr">
        <is>
          <t>Copeland_RLA_230_460_3ph_60Hz.xlsx</t>
        </is>
      </c>
      <c r="AC384" t="inlineStr">
        <is>
          <t>Recip_2D-9R</t>
        </is>
      </c>
    </row>
    <row r="385">
      <c r="A385" t="inlineStr">
        <is>
          <t>COPELAND</t>
        </is>
      </c>
      <c r="B385" t="inlineStr">
        <is>
          <t>4DB3A220L-TSK</t>
        </is>
      </c>
      <c r="D385" t="inlineStr">
        <is>
          <t>Reciprocating Semi-hermetic</t>
        </is>
      </c>
      <c r="E385" s="2" t="n">
        <v>3</v>
      </c>
      <c r="F385" s="2" t="n">
        <v>60</v>
      </c>
      <c r="G385" s="2" t="n">
        <v>460</v>
      </c>
      <c r="H385" t="inlineStr">
        <is>
          <t>460</t>
        </is>
      </c>
      <c r="I385" s="2" t="n">
        <v>460</v>
      </c>
      <c r="J385" s="2" t="n">
        <v>460</v>
      </c>
      <c r="L385" s="3" t="n"/>
      <c r="M385" s="3" t="n"/>
      <c r="N385" s="3" t="n">
        <v>46.4</v>
      </c>
      <c r="O385" s="3" t="n"/>
      <c r="P385" s="3">
        <f>IF(L385&lt;&gt;"",L385/1.4,"")</f>
        <v/>
      </c>
      <c r="Q385" s="3">
        <f>IF(L385&lt;&gt;"",L385/1.56,"")</f>
        <v/>
      </c>
      <c r="R385" s="3">
        <f>IF(M385&lt;&gt;"",M385/1.4,"")</f>
        <v/>
      </c>
      <c r="S385" s="3">
        <f>IF(M385&lt;&gt;"",M385/1.56,"")</f>
        <v/>
      </c>
      <c r="T385" s="3">
        <f>IF(N385&lt;&gt;"",N385,IF(O385&lt;&gt;"",O385,IF(L385&lt;&gt;"",L385/1.56,IF(M385&lt;&gt;"",M385/1.56,""))))</f>
        <v/>
      </c>
      <c r="U385" s="3" t="n">
        <v>187</v>
      </c>
      <c r="V385" s="3" t="n"/>
      <c r="W385" s="3" t="n"/>
      <c r="X385" s="4" t="n"/>
      <c r="Y385" s="5" t="n">
        <v>0.5600000000000001</v>
      </c>
      <c r="Z385" s="4">
        <f>IF(L385&lt;&gt;"",SQRT(3)*G385*L385/1000,"")</f>
        <v/>
      </c>
      <c r="AA385" t="inlineStr">
        <is>
          <t>Source=Copeland 2D/3D/4D/4R/6D/8D/9R compressors (pdf) p8</t>
        </is>
      </c>
      <c r="AB385" t="inlineStr">
        <is>
          <t>Copeland_RLA_230_460_3ph_60Hz.xlsx</t>
        </is>
      </c>
      <c r="AC385" t="inlineStr">
        <is>
          <t>Recip_2D-9R</t>
        </is>
      </c>
    </row>
    <row r="386">
      <c r="A386" t="inlineStr">
        <is>
          <t>COPELAND</t>
        </is>
      </c>
      <c r="B386" t="inlineStr">
        <is>
          <t>4DB3R20M0-FSD</t>
        </is>
      </c>
      <c r="D386" t="inlineStr">
        <is>
          <t>Reciprocating Semi-hermetic</t>
        </is>
      </c>
      <c r="E386" s="2" t="n">
        <v>3</v>
      </c>
      <c r="F386" s="2" t="n">
        <v>60</v>
      </c>
      <c r="G386" s="2" t="n">
        <v>460</v>
      </c>
      <c r="H386" t="inlineStr">
        <is>
          <t>460</t>
        </is>
      </c>
      <c r="I386" s="2" t="n">
        <v>460</v>
      </c>
      <c r="J386" s="2" t="n">
        <v>460</v>
      </c>
      <c r="L386" s="3" t="n"/>
      <c r="M386" s="3" t="n"/>
      <c r="N386" s="3" t="n">
        <v>32.5</v>
      </c>
      <c r="O386" s="3" t="n"/>
      <c r="P386" s="3">
        <f>IF(L386&lt;&gt;"",L386/1.4,"")</f>
        <v/>
      </c>
      <c r="Q386" s="3">
        <f>IF(L386&lt;&gt;"",L386/1.56,"")</f>
        <v/>
      </c>
      <c r="R386" s="3">
        <f>IF(M386&lt;&gt;"",M386/1.4,"")</f>
        <v/>
      </c>
      <c r="S386" s="3">
        <f>IF(M386&lt;&gt;"",M386/1.56,"")</f>
        <v/>
      </c>
      <c r="T386" s="3">
        <f>IF(N386&lt;&gt;"",N386,IF(O386&lt;&gt;"",O386,IF(L386&lt;&gt;"",L386/1.56,IF(M386&lt;&gt;"",M386/1.56,""))))</f>
        <v/>
      </c>
      <c r="U386" s="3" t="n">
        <v>180</v>
      </c>
      <c r="V386" s="3" t="n">
        <v>108</v>
      </c>
      <c r="W386" s="3" t="n"/>
      <c r="X386" s="4" t="n"/>
      <c r="Y386" s="5" t="n">
        <v>0.5580000000000001</v>
      </c>
      <c r="Z386" s="4">
        <f>IF(L386&lt;&gt;"",SQRT(3)*G386*L386/1000,"")</f>
        <v/>
      </c>
      <c r="AA386" t="inlineStr">
        <is>
          <t>Source=Copeland 2D/3D/4D/4R/6D/8D/9R compressors (pdf) p8; PWS_RLA=16.3</t>
        </is>
      </c>
      <c r="AB386" t="inlineStr">
        <is>
          <t>Copeland_RLA_230_460_3ph_60Hz.xlsx</t>
        </is>
      </c>
      <c r="AC386" t="inlineStr">
        <is>
          <t>Recip_2D-9R</t>
        </is>
      </c>
    </row>
    <row r="387">
      <c r="A387" t="inlineStr">
        <is>
          <t>COPELAND</t>
        </is>
      </c>
      <c r="B387" t="inlineStr">
        <is>
          <t>4DB3R20M0-TSK</t>
        </is>
      </c>
      <c r="D387" t="inlineStr">
        <is>
          <t>Reciprocating Semi-hermetic</t>
        </is>
      </c>
      <c r="E387" s="2" t="n">
        <v>3</v>
      </c>
      <c r="F387" s="2" t="n">
        <v>60</v>
      </c>
      <c r="G387" s="2" t="n">
        <v>230</v>
      </c>
      <c r="H387" t="inlineStr">
        <is>
          <t>208/230</t>
        </is>
      </c>
      <c r="I387" s="2" t="n">
        <v>208</v>
      </c>
      <c r="J387" s="2" t="n">
        <v>230</v>
      </c>
      <c r="L387" s="3" t="n"/>
      <c r="M387" s="3" t="n"/>
      <c r="N387" s="3" t="n">
        <v>65.59999999999999</v>
      </c>
      <c r="O387" s="3" t="n"/>
      <c r="P387" s="3">
        <f>IF(L387&lt;&gt;"",L387/1.4,"")</f>
        <v/>
      </c>
      <c r="Q387" s="3">
        <f>IF(L387&lt;&gt;"",L387/1.56,"")</f>
        <v/>
      </c>
      <c r="R387" s="3">
        <f>IF(M387&lt;&gt;"",M387/1.4,"")</f>
        <v/>
      </c>
      <c r="S387" s="3">
        <f>IF(M387&lt;&gt;"",M387/1.56,"")</f>
        <v/>
      </c>
      <c r="T387" s="3">
        <f>IF(N387&lt;&gt;"",N387,IF(O387&lt;&gt;"",O387,IF(L387&lt;&gt;"",L387/1.56,IF(M387&lt;&gt;"",M387/1.56,""))))</f>
        <v/>
      </c>
      <c r="U387" s="3" t="n">
        <v>374</v>
      </c>
      <c r="V387" s="3" t="n">
        <v>222</v>
      </c>
      <c r="W387" s="3" t="n"/>
      <c r="X387" s="4" t="n"/>
      <c r="Y387" s="5" t="n">
        <v>0.14</v>
      </c>
      <c r="Z387" s="4">
        <f>IF(L387&lt;&gt;"",SQRT(3)*G387*L387/1000,"")</f>
        <v/>
      </c>
      <c r="AA387" t="inlineStr">
        <is>
          <t>Source=Copeland 2D/3D/4D/4R/6D/8D/9R compressors (pdf) p8; PWS_RLA=32.8</t>
        </is>
      </c>
      <c r="AB387" t="inlineStr">
        <is>
          <t>Copeland_RLA_230_460_3ph_60Hz.xlsx</t>
        </is>
      </c>
      <c r="AC387" t="inlineStr">
        <is>
          <t>Recip_2D-9R</t>
        </is>
      </c>
    </row>
    <row r="388">
      <c r="A388" t="inlineStr">
        <is>
          <t>COPELAND</t>
        </is>
      </c>
      <c r="B388" t="inlineStr">
        <is>
          <t>4DB3R20M0-TSK</t>
        </is>
      </c>
      <c r="D388" t="inlineStr">
        <is>
          <t>Reciprocating Semi-hermetic</t>
        </is>
      </c>
      <c r="E388" s="2" t="n">
        <v>3</v>
      </c>
      <c r="F388" s="2" t="n">
        <v>60</v>
      </c>
      <c r="G388" s="2" t="n">
        <v>460</v>
      </c>
      <c r="H388" t="inlineStr">
        <is>
          <t>460</t>
        </is>
      </c>
      <c r="I388" s="2" t="n">
        <v>460</v>
      </c>
      <c r="J388" s="2" t="n">
        <v>460</v>
      </c>
      <c r="L388" s="3" t="n"/>
      <c r="M388" s="3" t="n"/>
      <c r="N388" s="3" t="n">
        <v>32.8</v>
      </c>
      <c r="O388" s="3" t="n"/>
      <c r="P388" s="3">
        <f>IF(L388&lt;&gt;"",L388/1.4,"")</f>
        <v/>
      </c>
      <c r="Q388" s="3">
        <f>IF(L388&lt;&gt;"",L388/1.56,"")</f>
        <v/>
      </c>
      <c r="R388" s="3">
        <f>IF(M388&lt;&gt;"",M388/1.4,"")</f>
        <v/>
      </c>
      <c r="S388" s="3">
        <f>IF(M388&lt;&gt;"",M388/1.56,"")</f>
        <v/>
      </c>
      <c r="T388" s="3">
        <f>IF(N388&lt;&gt;"",N388,IF(O388&lt;&gt;"",O388,IF(L388&lt;&gt;"",L388/1.56,IF(M388&lt;&gt;"",M388/1.56,""))))</f>
        <v/>
      </c>
      <c r="U388" s="3" t="n">
        <v>187</v>
      </c>
      <c r="V388" s="3" t="n"/>
      <c r="W388" s="3" t="n"/>
      <c r="X388" s="4" t="n"/>
      <c r="Y388" s="5" t="n">
        <v>0.5600000000000001</v>
      </c>
      <c r="Z388" s="4">
        <f>IF(L388&lt;&gt;"",SQRT(3)*G388*L388/1000,"")</f>
        <v/>
      </c>
      <c r="AA388" t="inlineStr">
        <is>
          <t>Source=Copeland 2D/3D/4D/4R/6D/8D/9R compressors (pdf) p8</t>
        </is>
      </c>
      <c r="AB388" t="inlineStr">
        <is>
          <t>Copeland_RLA_230_460_3ph_60Hz.xlsx</t>
        </is>
      </c>
      <c r="AC388" t="inlineStr">
        <is>
          <t>Recip_2D-9R</t>
        </is>
      </c>
    </row>
    <row r="389">
      <c r="A389" t="inlineStr">
        <is>
          <t>COPELAND</t>
        </is>
      </c>
      <c r="B389" t="inlineStr">
        <is>
          <t>4DB3R20ME-FSD</t>
        </is>
      </c>
      <c r="D389" t="inlineStr">
        <is>
          <t>Reciprocating Semi-hermetic</t>
        </is>
      </c>
      <c r="E389" s="2" t="n">
        <v>3</v>
      </c>
      <c r="F389" s="2" t="n">
        <v>60</v>
      </c>
      <c r="G389" s="2" t="n">
        <v>460</v>
      </c>
      <c r="H389" t="inlineStr">
        <is>
          <t>460</t>
        </is>
      </c>
      <c r="I389" s="2" t="n">
        <v>460</v>
      </c>
      <c r="J389" s="2" t="n">
        <v>460</v>
      </c>
      <c r="L389" s="3" t="n"/>
      <c r="M389" s="3" t="n"/>
      <c r="N389" s="3" t="n">
        <v>32.5</v>
      </c>
      <c r="O389" s="3" t="n"/>
      <c r="P389" s="3">
        <f>IF(L389&lt;&gt;"",L389/1.4,"")</f>
        <v/>
      </c>
      <c r="Q389" s="3">
        <f>IF(L389&lt;&gt;"",L389/1.56,"")</f>
        <v/>
      </c>
      <c r="R389" s="3">
        <f>IF(M389&lt;&gt;"",M389/1.4,"")</f>
        <v/>
      </c>
      <c r="S389" s="3">
        <f>IF(M389&lt;&gt;"",M389/1.56,"")</f>
        <v/>
      </c>
      <c r="T389" s="3">
        <f>IF(N389&lt;&gt;"",N389,IF(O389&lt;&gt;"",O389,IF(L389&lt;&gt;"",L389/1.56,IF(M389&lt;&gt;"",M389/1.56,""))))</f>
        <v/>
      </c>
      <c r="U389" s="3" t="n">
        <v>180</v>
      </c>
      <c r="V389" s="3" t="n">
        <v>108</v>
      </c>
      <c r="W389" s="3" t="n"/>
      <c r="X389" s="4" t="n"/>
      <c r="Y389" s="5" t="n">
        <v>0.5580000000000001</v>
      </c>
      <c r="Z389" s="4">
        <f>IF(L389&lt;&gt;"",SQRT(3)*G389*L389/1000,"")</f>
        <v/>
      </c>
      <c r="AA389" t="inlineStr">
        <is>
          <t>Source=Copeland 2D/3D/4D/4R/6D/8D/9R compressors (pdf) p8; PWS_RLA=16.3</t>
        </is>
      </c>
      <c r="AB389" t="inlineStr">
        <is>
          <t>Copeland_RLA_230_460_3ph_60Hz.xlsx</t>
        </is>
      </c>
      <c r="AC389" t="inlineStr">
        <is>
          <t>Recip_2D-9R</t>
        </is>
      </c>
    </row>
    <row r="390">
      <c r="A390" t="inlineStr">
        <is>
          <t>COPELAND</t>
        </is>
      </c>
      <c r="B390" t="inlineStr">
        <is>
          <t>4DB3R20ME-FSD</t>
        </is>
      </c>
      <c r="D390" t="inlineStr">
        <is>
          <t>Reciprocating Semi-hermetic</t>
        </is>
      </c>
      <c r="E390" s="2" t="n">
        <v>3</v>
      </c>
      <c r="F390" s="2" t="n">
        <v>60</v>
      </c>
      <c r="G390" s="2" t="n">
        <v>460</v>
      </c>
      <c r="H390" t="inlineStr">
        <is>
          <t>460</t>
        </is>
      </c>
      <c r="I390" s="2" t="n">
        <v>460</v>
      </c>
      <c r="J390" s="2" t="n">
        <v>460</v>
      </c>
      <c r="L390" s="3" t="n"/>
      <c r="M390" s="3" t="n"/>
      <c r="N390" s="3" t="n">
        <v>40.7</v>
      </c>
      <c r="O390" s="3" t="n"/>
      <c r="P390" s="3">
        <f>IF(L390&lt;&gt;"",L390/1.4,"")</f>
        <v/>
      </c>
      <c r="Q390" s="3">
        <f>IF(L390&lt;&gt;"",L390/1.56,"")</f>
        <v/>
      </c>
      <c r="R390" s="3">
        <f>IF(M390&lt;&gt;"",M390/1.4,"")</f>
        <v/>
      </c>
      <c r="S390" s="3">
        <f>IF(M390&lt;&gt;"",M390/1.56,"")</f>
        <v/>
      </c>
      <c r="T390" s="3">
        <f>IF(N390&lt;&gt;"",N390,IF(O390&lt;&gt;"",O390,IF(L390&lt;&gt;"",L390/1.56,IF(M390&lt;&gt;"",M390/1.56,""))))</f>
        <v/>
      </c>
      <c r="U390" s="3" t="n">
        <v>180</v>
      </c>
      <c r="V390" s="3" t="n">
        <v>108</v>
      </c>
      <c r="W390" s="3" t="n"/>
      <c r="X390" s="4" t="n"/>
      <c r="Y390" s="5" t="n">
        <v>0.5580000000000001</v>
      </c>
      <c r="Z390" s="4">
        <f>IF(L390&lt;&gt;"",SQRT(3)*G390*L390/1000,"")</f>
        <v/>
      </c>
      <c r="AA390" t="inlineStr">
        <is>
          <t>Source=Copeland 2D/3D/4D/4R/6D/8D/9R compressors (pdf) p8; PWS_RLA=20.4</t>
        </is>
      </c>
      <c r="AB390" t="inlineStr">
        <is>
          <t>Copeland_RLA_230_460_3ph_60Hz.xlsx</t>
        </is>
      </c>
      <c r="AC390" t="inlineStr">
        <is>
          <t>Recip_2D-9R</t>
        </is>
      </c>
    </row>
    <row r="391">
      <c r="A391" t="inlineStr">
        <is>
          <t>COPELAND</t>
        </is>
      </c>
      <c r="B391" t="inlineStr">
        <is>
          <t>4DB3R20ME-TSK</t>
        </is>
      </c>
      <c r="D391" t="inlineStr">
        <is>
          <t>Reciprocating Semi-hermetic</t>
        </is>
      </c>
      <c r="E391" s="2" t="n">
        <v>3</v>
      </c>
      <c r="F391" s="2" t="n">
        <v>60</v>
      </c>
      <c r="G391" s="2" t="n">
        <v>230</v>
      </c>
      <c r="H391" t="inlineStr">
        <is>
          <t>208/230</t>
        </is>
      </c>
      <c r="I391" s="2" t="n">
        <v>208</v>
      </c>
      <c r="J391" s="2" t="n">
        <v>230</v>
      </c>
      <c r="L391" s="3" t="n"/>
      <c r="M391" s="3" t="n"/>
      <c r="N391" s="3" t="n">
        <v>65.59999999999999</v>
      </c>
      <c r="O391" s="3" t="n"/>
      <c r="P391" s="3">
        <f>IF(L391&lt;&gt;"",L391/1.4,"")</f>
        <v/>
      </c>
      <c r="Q391" s="3">
        <f>IF(L391&lt;&gt;"",L391/1.56,"")</f>
        <v/>
      </c>
      <c r="R391" s="3">
        <f>IF(M391&lt;&gt;"",M391/1.4,"")</f>
        <v/>
      </c>
      <c r="S391" s="3">
        <f>IF(M391&lt;&gt;"",M391/1.56,"")</f>
        <v/>
      </c>
      <c r="T391" s="3">
        <f>IF(N391&lt;&gt;"",N391,IF(O391&lt;&gt;"",O391,IF(L391&lt;&gt;"",L391/1.56,IF(M391&lt;&gt;"",M391/1.56,""))))</f>
        <v/>
      </c>
      <c r="U391" s="3" t="n">
        <v>374</v>
      </c>
      <c r="V391" s="3" t="n">
        <v>222</v>
      </c>
      <c r="W391" s="3" t="n"/>
      <c r="X391" s="4" t="n"/>
      <c r="Y391" s="5" t="n">
        <v>0.14</v>
      </c>
      <c r="Z391" s="4">
        <f>IF(L391&lt;&gt;"",SQRT(3)*G391*L391/1000,"")</f>
        <v/>
      </c>
      <c r="AA391" t="inlineStr">
        <is>
          <t>Source=Copeland 2D/3D/4D/4R/6D/8D/9R compressors (pdf) p8; PWS_RLA=32.8</t>
        </is>
      </c>
      <c r="AB391" t="inlineStr">
        <is>
          <t>Copeland_RLA_230_460_3ph_60Hz.xlsx</t>
        </is>
      </c>
      <c r="AC391" t="inlineStr">
        <is>
          <t>Recip_2D-9R</t>
        </is>
      </c>
    </row>
    <row r="392">
      <c r="A392" t="inlineStr">
        <is>
          <t>COPELAND</t>
        </is>
      </c>
      <c r="B392" t="inlineStr">
        <is>
          <t>4DB3R20ME-TSK</t>
        </is>
      </c>
      <c r="D392" t="inlineStr">
        <is>
          <t>Reciprocating Semi-hermetic</t>
        </is>
      </c>
      <c r="E392" s="2" t="n">
        <v>3</v>
      </c>
      <c r="F392" s="2" t="n">
        <v>60</v>
      </c>
      <c r="G392" s="2" t="n">
        <v>230</v>
      </c>
      <c r="H392" t="inlineStr">
        <is>
          <t>208/230</t>
        </is>
      </c>
      <c r="I392" s="2" t="n">
        <v>208</v>
      </c>
      <c r="J392" s="2" t="n">
        <v>230</v>
      </c>
      <c r="L392" s="3" t="n"/>
      <c r="M392" s="3" t="n"/>
      <c r="N392" s="3" t="n">
        <v>92.90000000000001</v>
      </c>
      <c r="O392" s="3" t="n"/>
      <c r="P392" s="3">
        <f>IF(L392&lt;&gt;"",L392/1.4,"")</f>
        <v/>
      </c>
      <c r="Q392" s="3">
        <f>IF(L392&lt;&gt;"",L392/1.56,"")</f>
        <v/>
      </c>
      <c r="R392" s="3">
        <f>IF(M392&lt;&gt;"",M392/1.4,"")</f>
        <v/>
      </c>
      <c r="S392" s="3">
        <f>IF(M392&lt;&gt;"",M392/1.56,"")</f>
        <v/>
      </c>
      <c r="T392" s="3">
        <f>IF(N392&lt;&gt;"",N392,IF(O392&lt;&gt;"",O392,IF(L392&lt;&gt;"",L392/1.56,IF(M392&lt;&gt;"",M392/1.56,""))))</f>
        <v/>
      </c>
      <c r="U392" s="3" t="n">
        <v>374</v>
      </c>
      <c r="V392" s="3" t="n">
        <v>222</v>
      </c>
      <c r="W392" s="3" t="n"/>
      <c r="X392" s="4" t="n"/>
      <c r="Y392" s="5" t="n">
        <v>0.14</v>
      </c>
      <c r="Z392" s="4">
        <f>IF(L392&lt;&gt;"",SQRT(3)*G392*L392/1000,"")</f>
        <v/>
      </c>
      <c r="AA392" t="inlineStr">
        <is>
          <t>Source=Copeland 2D/3D/4D/4R/6D/8D/9R compressors (pdf) p8; PWS_RLA=46.4</t>
        </is>
      </c>
      <c r="AB392" t="inlineStr">
        <is>
          <t>Copeland_RLA_230_460_3ph_60Hz.xlsx</t>
        </is>
      </c>
      <c r="AC392" t="inlineStr">
        <is>
          <t>Recip_2D-9R</t>
        </is>
      </c>
    </row>
    <row r="393">
      <c r="A393" t="inlineStr">
        <is>
          <t>COPELAND</t>
        </is>
      </c>
      <c r="B393" t="inlineStr">
        <is>
          <t>4DB3R20ME-TSK</t>
        </is>
      </c>
      <c r="D393" t="inlineStr">
        <is>
          <t>Reciprocating Semi-hermetic</t>
        </is>
      </c>
      <c r="E393" s="2" t="n">
        <v>3</v>
      </c>
      <c r="F393" s="2" t="n">
        <v>60</v>
      </c>
      <c r="G393" s="2" t="n">
        <v>460</v>
      </c>
      <c r="H393" t="inlineStr">
        <is>
          <t>460</t>
        </is>
      </c>
      <c r="I393" s="2" t="n">
        <v>460</v>
      </c>
      <c r="J393" s="2" t="n">
        <v>460</v>
      </c>
      <c r="L393" s="3" t="n"/>
      <c r="M393" s="3" t="n"/>
      <c r="N393" s="3" t="n">
        <v>46.4</v>
      </c>
      <c r="O393" s="3" t="n"/>
      <c r="P393" s="3">
        <f>IF(L393&lt;&gt;"",L393/1.4,"")</f>
        <v/>
      </c>
      <c r="Q393" s="3">
        <f>IF(L393&lt;&gt;"",L393/1.56,"")</f>
        <v/>
      </c>
      <c r="R393" s="3">
        <f>IF(M393&lt;&gt;"",M393/1.4,"")</f>
        <v/>
      </c>
      <c r="S393" s="3">
        <f>IF(M393&lt;&gt;"",M393/1.56,"")</f>
        <v/>
      </c>
      <c r="T393" s="3">
        <f>IF(N393&lt;&gt;"",N393,IF(O393&lt;&gt;"",O393,IF(L393&lt;&gt;"",L393/1.56,IF(M393&lt;&gt;"",M393/1.56,""))))</f>
        <v/>
      </c>
      <c r="U393" s="3" t="n">
        <v>187</v>
      </c>
      <c r="V393" s="3" t="n"/>
      <c r="W393" s="3" t="n"/>
      <c r="X393" s="4" t="n"/>
      <c r="Y393" s="5" t="n">
        <v>0.5600000000000001</v>
      </c>
      <c r="Z393" s="4">
        <f>IF(L393&lt;&gt;"",SQRT(3)*G393*L393/1000,"")</f>
        <v/>
      </c>
      <c r="AA393" t="inlineStr">
        <is>
          <t>Source=Copeland 2D/3D/4D/4R/6D/8D/9R compressors (pdf) p9</t>
        </is>
      </c>
      <c r="AB393" t="inlineStr">
        <is>
          <t>Copeland_RLA_230_460_3ph_60Hz.xlsx</t>
        </is>
      </c>
      <c r="AC393" t="inlineStr">
        <is>
          <t>Recip_2D-9R</t>
        </is>
      </c>
    </row>
    <row r="394">
      <c r="A394" t="inlineStr">
        <is>
          <t>COPELAND</t>
        </is>
      </c>
      <c r="B394" t="inlineStr">
        <is>
          <t>4DB3R20ML-FSD</t>
        </is>
      </c>
      <c r="D394" t="inlineStr">
        <is>
          <t>Reciprocating Semi-hermetic</t>
        </is>
      </c>
      <c r="E394" s="2" t="n">
        <v>3</v>
      </c>
      <c r="F394" s="2" t="n">
        <v>60</v>
      </c>
      <c r="G394" s="2" t="n">
        <v>460</v>
      </c>
      <c r="H394" t="inlineStr">
        <is>
          <t>460</t>
        </is>
      </c>
      <c r="I394" s="2" t="n">
        <v>460</v>
      </c>
      <c r="J394" s="2" t="n">
        <v>460</v>
      </c>
      <c r="L394" s="3" t="n"/>
      <c r="M394" s="3" t="n"/>
      <c r="N394" s="3" t="n">
        <v>32.5</v>
      </c>
      <c r="O394" s="3" t="n"/>
      <c r="P394" s="3">
        <f>IF(L394&lt;&gt;"",L394/1.4,"")</f>
        <v/>
      </c>
      <c r="Q394" s="3">
        <f>IF(L394&lt;&gt;"",L394/1.56,"")</f>
        <v/>
      </c>
      <c r="R394" s="3">
        <f>IF(M394&lt;&gt;"",M394/1.4,"")</f>
        <v/>
      </c>
      <c r="S394" s="3">
        <f>IF(M394&lt;&gt;"",M394/1.56,"")</f>
        <v/>
      </c>
      <c r="T394" s="3">
        <f>IF(N394&lt;&gt;"",N394,IF(O394&lt;&gt;"",O394,IF(L394&lt;&gt;"",L394/1.56,IF(M394&lt;&gt;"",M394/1.56,""))))</f>
        <v/>
      </c>
      <c r="U394" s="3" t="n">
        <v>180</v>
      </c>
      <c r="V394" s="3" t="n">
        <v>108</v>
      </c>
      <c r="W394" s="3" t="n"/>
      <c r="X394" s="4" t="n"/>
      <c r="Y394" s="5" t="n">
        <v>0.5580000000000001</v>
      </c>
      <c r="Z394" s="4">
        <f>IF(L394&lt;&gt;"",SQRT(3)*G394*L394/1000,"")</f>
        <v/>
      </c>
      <c r="AA394" t="inlineStr">
        <is>
          <t>Source=Copeland 2D/3D/4D/4R/6D/8D/9R compressors (pdf) p9; PWS_RLA=16.3</t>
        </is>
      </c>
      <c r="AB394" t="inlineStr">
        <is>
          <t>Copeland_RLA_230_460_3ph_60Hz.xlsx</t>
        </is>
      </c>
      <c r="AC394" t="inlineStr">
        <is>
          <t>Recip_2D-9R</t>
        </is>
      </c>
    </row>
    <row r="395">
      <c r="A395" t="inlineStr">
        <is>
          <t>COPELAND</t>
        </is>
      </c>
      <c r="B395" t="inlineStr">
        <is>
          <t>4DB3R20ML-FSD</t>
        </is>
      </c>
      <c r="D395" t="inlineStr">
        <is>
          <t>Reciprocating Semi-hermetic</t>
        </is>
      </c>
      <c r="E395" s="2" t="n">
        <v>3</v>
      </c>
      <c r="F395" s="2" t="n">
        <v>60</v>
      </c>
      <c r="G395" s="2" t="n">
        <v>460</v>
      </c>
      <c r="H395" t="inlineStr">
        <is>
          <t>460</t>
        </is>
      </c>
      <c r="I395" s="2" t="n">
        <v>460</v>
      </c>
      <c r="J395" s="2" t="n">
        <v>460</v>
      </c>
      <c r="L395" s="3" t="n"/>
      <c r="M395" s="3" t="n"/>
      <c r="N395" s="3" t="n">
        <v>40.7</v>
      </c>
      <c r="O395" s="3" t="n"/>
      <c r="P395" s="3">
        <f>IF(L395&lt;&gt;"",L395/1.4,"")</f>
        <v/>
      </c>
      <c r="Q395" s="3">
        <f>IF(L395&lt;&gt;"",L395/1.56,"")</f>
        <v/>
      </c>
      <c r="R395" s="3">
        <f>IF(M395&lt;&gt;"",M395/1.4,"")</f>
        <v/>
      </c>
      <c r="S395" s="3">
        <f>IF(M395&lt;&gt;"",M395/1.56,"")</f>
        <v/>
      </c>
      <c r="T395" s="3">
        <f>IF(N395&lt;&gt;"",N395,IF(O395&lt;&gt;"",O395,IF(L395&lt;&gt;"",L395/1.56,IF(M395&lt;&gt;"",M395/1.56,""))))</f>
        <v/>
      </c>
      <c r="U395" s="3" t="n">
        <v>180</v>
      </c>
      <c r="V395" s="3" t="n">
        <v>108</v>
      </c>
      <c r="W395" s="3" t="n"/>
      <c r="X395" s="4" t="n"/>
      <c r="Y395" s="5" t="n">
        <v>0.5580000000000001</v>
      </c>
      <c r="Z395" s="4">
        <f>IF(L395&lt;&gt;"",SQRT(3)*G395*L395/1000,"")</f>
        <v/>
      </c>
      <c r="AA395" t="inlineStr">
        <is>
          <t>Source=Copeland 2D/3D/4D/4R/6D/8D/9R compressors (pdf) p9; PWS_RLA=20.4</t>
        </is>
      </c>
      <c r="AB395" t="inlineStr">
        <is>
          <t>Copeland_RLA_230_460_3ph_60Hz.xlsx</t>
        </is>
      </c>
      <c r="AC395" t="inlineStr">
        <is>
          <t>Recip_2D-9R</t>
        </is>
      </c>
    </row>
    <row r="396">
      <c r="A396" t="inlineStr">
        <is>
          <t>COPELAND</t>
        </is>
      </c>
      <c r="B396" t="inlineStr">
        <is>
          <t>4DB3R20ML-TSK</t>
        </is>
      </c>
      <c r="D396" t="inlineStr">
        <is>
          <t>Reciprocating Semi-hermetic</t>
        </is>
      </c>
      <c r="E396" s="2" t="n">
        <v>3</v>
      </c>
      <c r="F396" s="2" t="n">
        <v>60</v>
      </c>
      <c r="G396" s="2" t="n">
        <v>230</v>
      </c>
      <c r="H396" t="inlineStr">
        <is>
          <t>208/230</t>
        </is>
      </c>
      <c r="I396" s="2" t="n">
        <v>208</v>
      </c>
      <c r="J396" s="2" t="n">
        <v>230</v>
      </c>
      <c r="L396" s="3" t="n"/>
      <c r="M396" s="3" t="n"/>
      <c r="N396" s="3" t="n">
        <v>65.59999999999999</v>
      </c>
      <c r="O396" s="3" t="n"/>
      <c r="P396" s="3">
        <f>IF(L396&lt;&gt;"",L396/1.4,"")</f>
        <v/>
      </c>
      <c r="Q396" s="3">
        <f>IF(L396&lt;&gt;"",L396/1.56,"")</f>
        <v/>
      </c>
      <c r="R396" s="3">
        <f>IF(M396&lt;&gt;"",M396/1.4,"")</f>
        <v/>
      </c>
      <c r="S396" s="3">
        <f>IF(M396&lt;&gt;"",M396/1.56,"")</f>
        <v/>
      </c>
      <c r="T396" s="3">
        <f>IF(N396&lt;&gt;"",N396,IF(O396&lt;&gt;"",O396,IF(L396&lt;&gt;"",L396/1.56,IF(M396&lt;&gt;"",M396/1.56,""))))</f>
        <v/>
      </c>
      <c r="U396" s="3" t="n">
        <v>374</v>
      </c>
      <c r="V396" s="3" t="n">
        <v>222</v>
      </c>
      <c r="W396" s="3" t="n"/>
      <c r="X396" s="4" t="n"/>
      <c r="Y396" s="5" t="n">
        <v>0.14</v>
      </c>
      <c r="Z396" s="4">
        <f>IF(L396&lt;&gt;"",SQRT(3)*G396*L396/1000,"")</f>
        <v/>
      </c>
      <c r="AA396" t="inlineStr">
        <is>
          <t>Source=Copeland 2D/3D/4D/4R/6D/8D/9R compressors (pdf) p9; PWS_RLA=32.8</t>
        </is>
      </c>
      <c r="AB396" t="inlineStr">
        <is>
          <t>Copeland_RLA_230_460_3ph_60Hz.xlsx</t>
        </is>
      </c>
      <c r="AC396" t="inlineStr">
        <is>
          <t>Recip_2D-9R</t>
        </is>
      </c>
    </row>
    <row r="397">
      <c r="A397" t="inlineStr">
        <is>
          <t>COPELAND</t>
        </is>
      </c>
      <c r="B397" t="inlineStr">
        <is>
          <t>4DB3R20ML-TSK</t>
        </is>
      </c>
      <c r="D397" t="inlineStr">
        <is>
          <t>Reciprocating Semi-hermetic</t>
        </is>
      </c>
      <c r="E397" s="2" t="n">
        <v>3</v>
      </c>
      <c r="F397" s="2" t="n">
        <v>60</v>
      </c>
      <c r="G397" s="2" t="n">
        <v>230</v>
      </c>
      <c r="H397" t="inlineStr">
        <is>
          <t>208/230</t>
        </is>
      </c>
      <c r="I397" s="2" t="n">
        <v>208</v>
      </c>
      <c r="J397" s="2" t="n">
        <v>230</v>
      </c>
      <c r="L397" s="3" t="n"/>
      <c r="M397" s="3" t="n"/>
      <c r="N397" s="3" t="n">
        <v>92.90000000000001</v>
      </c>
      <c r="O397" s="3" t="n"/>
      <c r="P397" s="3">
        <f>IF(L397&lt;&gt;"",L397/1.4,"")</f>
        <v/>
      </c>
      <c r="Q397" s="3">
        <f>IF(L397&lt;&gt;"",L397/1.56,"")</f>
        <v/>
      </c>
      <c r="R397" s="3">
        <f>IF(M397&lt;&gt;"",M397/1.4,"")</f>
        <v/>
      </c>
      <c r="S397" s="3">
        <f>IF(M397&lt;&gt;"",M397/1.56,"")</f>
        <v/>
      </c>
      <c r="T397" s="3">
        <f>IF(N397&lt;&gt;"",N397,IF(O397&lt;&gt;"",O397,IF(L397&lt;&gt;"",L397/1.56,IF(M397&lt;&gt;"",M397/1.56,""))))</f>
        <v/>
      </c>
      <c r="U397" s="3" t="n">
        <v>374</v>
      </c>
      <c r="V397" s="3" t="n">
        <v>222</v>
      </c>
      <c r="W397" s="3" t="n"/>
      <c r="X397" s="4" t="n"/>
      <c r="Y397" s="5" t="n">
        <v>0.14</v>
      </c>
      <c r="Z397" s="4">
        <f>IF(L397&lt;&gt;"",SQRT(3)*G397*L397/1000,"")</f>
        <v/>
      </c>
      <c r="AA397" t="inlineStr">
        <is>
          <t>Source=Copeland 2D/3D/4D/4R/6D/8D/9R compressors (pdf) p9; PWS_RLA=46.4</t>
        </is>
      </c>
      <c r="AB397" t="inlineStr">
        <is>
          <t>Copeland_RLA_230_460_3ph_60Hz.xlsx</t>
        </is>
      </c>
      <c r="AC397" t="inlineStr">
        <is>
          <t>Recip_2D-9R</t>
        </is>
      </c>
    </row>
    <row r="398">
      <c r="A398" t="inlineStr">
        <is>
          <t>COPELAND</t>
        </is>
      </c>
      <c r="B398" t="inlineStr">
        <is>
          <t>4DB3R20ML-TSK</t>
        </is>
      </c>
      <c r="D398" t="inlineStr">
        <is>
          <t>Reciprocating Semi-hermetic</t>
        </is>
      </c>
      <c r="E398" s="2" t="n">
        <v>3</v>
      </c>
      <c r="F398" s="2" t="n">
        <v>60</v>
      </c>
      <c r="G398" s="2" t="n">
        <v>460</v>
      </c>
      <c r="H398" t="inlineStr">
        <is>
          <t>460</t>
        </is>
      </c>
      <c r="I398" s="2" t="n">
        <v>460</v>
      </c>
      <c r="J398" s="2" t="n">
        <v>460</v>
      </c>
      <c r="L398" s="3" t="n"/>
      <c r="M398" s="3" t="n"/>
      <c r="N398" s="3" t="n">
        <v>46.4</v>
      </c>
      <c r="O398" s="3" t="n"/>
      <c r="P398" s="3">
        <f>IF(L398&lt;&gt;"",L398/1.4,"")</f>
        <v/>
      </c>
      <c r="Q398" s="3">
        <f>IF(L398&lt;&gt;"",L398/1.56,"")</f>
        <v/>
      </c>
      <c r="R398" s="3">
        <f>IF(M398&lt;&gt;"",M398/1.4,"")</f>
        <v/>
      </c>
      <c r="S398" s="3">
        <f>IF(M398&lt;&gt;"",M398/1.56,"")</f>
        <v/>
      </c>
      <c r="T398" s="3">
        <f>IF(N398&lt;&gt;"",N398,IF(O398&lt;&gt;"",O398,IF(L398&lt;&gt;"",L398/1.56,IF(M398&lt;&gt;"",M398/1.56,""))))</f>
        <v/>
      </c>
      <c r="U398" s="3" t="n">
        <v>187</v>
      </c>
      <c r="V398" s="3" t="n"/>
      <c r="W398" s="3" t="n"/>
      <c r="X398" s="4" t="n"/>
      <c r="Y398" s="5" t="n">
        <v>0.5600000000000001</v>
      </c>
      <c r="Z398" s="4">
        <f>IF(L398&lt;&gt;"",SQRT(3)*G398*L398/1000,"")</f>
        <v/>
      </c>
      <c r="AA398" t="inlineStr">
        <is>
          <t>Source=Copeland 2D/3D/4D/4R/6D/8D/9R compressors (pdf) p9</t>
        </is>
      </c>
      <c r="AB398" t="inlineStr">
        <is>
          <t>Copeland_RLA_230_460_3ph_60Hz.xlsx</t>
        </is>
      </c>
      <c r="AC398" t="inlineStr">
        <is>
          <t>Recip_2D-9R</t>
        </is>
      </c>
    </row>
    <row r="399">
      <c r="A399" t="inlineStr">
        <is>
          <t>COPELAND</t>
        </is>
      </c>
      <c r="B399" t="inlineStr">
        <is>
          <t>4DB3R21ME-TSK</t>
        </is>
      </c>
      <c r="D399" t="inlineStr">
        <is>
          <t>Reciprocating Semi-hermetic</t>
        </is>
      </c>
      <c r="E399" s="2" t="n">
        <v>3</v>
      </c>
      <c r="F399" s="2" t="n">
        <v>60</v>
      </c>
      <c r="G399" s="2" t="n">
        <v>230</v>
      </c>
      <c r="H399" t="inlineStr">
        <is>
          <t>208/230</t>
        </is>
      </c>
      <c r="I399" s="2" t="n">
        <v>208</v>
      </c>
      <c r="J399" s="2" t="n">
        <v>230</v>
      </c>
      <c r="L399" s="3" t="n"/>
      <c r="M399" s="3" t="n"/>
      <c r="N399" s="3" t="n">
        <v>85.7</v>
      </c>
      <c r="O399" s="3" t="n"/>
      <c r="P399" s="3">
        <f>IF(L399&lt;&gt;"",L399/1.4,"")</f>
        <v/>
      </c>
      <c r="Q399" s="3">
        <f>IF(L399&lt;&gt;"",L399/1.56,"")</f>
        <v/>
      </c>
      <c r="R399" s="3">
        <f>IF(M399&lt;&gt;"",M399/1.4,"")</f>
        <v/>
      </c>
      <c r="S399" s="3">
        <f>IF(M399&lt;&gt;"",M399/1.56,"")</f>
        <v/>
      </c>
      <c r="T399" s="3">
        <f>IF(N399&lt;&gt;"",N399,IF(O399&lt;&gt;"",O399,IF(L399&lt;&gt;"",L399/1.56,IF(M399&lt;&gt;"",M399/1.56,""))))</f>
        <v/>
      </c>
      <c r="U399" s="3" t="n">
        <v>374</v>
      </c>
      <c r="V399" s="3" t="n">
        <v>222</v>
      </c>
      <c r="W399" s="3" t="n"/>
      <c r="X399" s="4" t="n"/>
      <c r="Y399" s="5" t="n">
        <v>0.14</v>
      </c>
      <c r="Z399" s="4">
        <f>IF(L399&lt;&gt;"",SQRT(3)*G399*L399/1000,"")</f>
        <v/>
      </c>
      <c r="AA399" t="inlineStr">
        <is>
          <t>Source=Copeland 2D/3D/4D/4R/6D/8D/9R compressors (pdf) p9; PWS_RLA=42.9</t>
        </is>
      </c>
      <c r="AB399" t="inlineStr">
        <is>
          <t>Copeland_RLA_230_460_3ph_60Hz.xlsx</t>
        </is>
      </c>
      <c r="AC399" t="inlineStr">
        <is>
          <t>Recip_2D-9R</t>
        </is>
      </c>
    </row>
    <row r="400">
      <c r="A400" t="inlineStr">
        <is>
          <t>COPELAND</t>
        </is>
      </c>
      <c r="B400" t="inlineStr">
        <is>
          <t>4DB3R21ME-TSK</t>
        </is>
      </c>
      <c r="D400" t="inlineStr">
        <is>
          <t>Reciprocating Semi-hermetic</t>
        </is>
      </c>
      <c r="E400" s="2" t="n">
        <v>3</v>
      </c>
      <c r="F400" s="2" t="n">
        <v>60</v>
      </c>
      <c r="G400" s="2" t="n">
        <v>460</v>
      </c>
      <c r="H400" t="inlineStr">
        <is>
          <t>460</t>
        </is>
      </c>
      <c r="I400" s="2" t="n">
        <v>460</v>
      </c>
      <c r="J400" s="2" t="n">
        <v>460</v>
      </c>
      <c r="L400" s="3" t="n"/>
      <c r="M400" s="3" t="n"/>
      <c r="N400" s="3" t="n">
        <v>42.9</v>
      </c>
      <c r="O400" s="3" t="n"/>
      <c r="P400" s="3">
        <f>IF(L400&lt;&gt;"",L400/1.4,"")</f>
        <v/>
      </c>
      <c r="Q400" s="3">
        <f>IF(L400&lt;&gt;"",L400/1.56,"")</f>
        <v/>
      </c>
      <c r="R400" s="3">
        <f>IF(M400&lt;&gt;"",M400/1.4,"")</f>
        <v/>
      </c>
      <c r="S400" s="3">
        <f>IF(M400&lt;&gt;"",M400/1.56,"")</f>
        <v/>
      </c>
      <c r="T400" s="3">
        <f>IF(N400&lt;&gt;"",N400,IF(O400&lt;&gt;"",O400,IF(L400&lt;&gt;"",L400/1.56,IF(M400&lt;&gt;"",M400/1.56,""))))</f>
        <v/>
      </c>
      <c r="U400" s="3" t="n">
        <v>187</v>
      </c>
      <c r="V400" s="3" t="n"/>
      <c r="W400" s="3" t="n"/>
      <c r="X400" s="4" t="n"/>
      <c r="Y400" s="5" t="n">
        <v>0.5600000000000001</v>
      </c>
      <c r="Z400" s="4">
        <f>IF(L400&lt;&gt;"",SQRT(3)*G400*L400/1000,"")</f>
        <v/>
      </c>
      <c r="AA400" t="inlineStr">
        <is>
          <t>Source=Copeland 2D/3D/4D/4R/6D/8D/9R compressors (pdf) p9</t>
        </is>
      </c>
      <c r="AB400" t="inlineStr">
        <is>
          <t>Copeland_RLA_230_460_3ph_60Hz.xlsx</t>
        </is>
      </c>
      <c r="AC400" t="inlineStr">
        <is>
          <t>Recip_2D-9R</t>
        </is>
      </c>
    </row>
    <row r="401">
      <c r="A401" t="inlineStr">
        <is>
          <t>COPELAND</t>
        </is>
      </c>
      <c r="B401" t="inlineStr">
        <is>
          <t>4DBDR20ML-TSK</t>
        </is>
      </c>
      <c r="D401" t="inlineStr">
        <is>
          <t>Reciprocating Semi-hermetic</t>
        </is>
      </c>
      <c r="E401" s="2" t="n">
        <v>3</v>
      </c>
      <c r="F401" s="2" t="n">
        <v>60</v>
      </c>
      <c r="G401" s="2" t="n">
        <v>230</v>
      </c>
      <c r="H401" t="inlineStr">
        <is>
          <t>208/230</t>
        </is>
      </c>
      <c r="I401" s="2" t="n">
        <v>208</v>
      </c>
      <c r="J401" s="2" t="n">
        <v>230</v>
      </c>
      <c r="L401" s="3" t="n"/>
      <c r="M401" s="3" t="n"/>
      <c r="N401" s="3" t="n">
        <v>92.90000000000001</v>
      </c>
      <c r="O401" s="3" t="n"/>
      <c r="P401" s="3">
        <f>IF(L401&lt;&gt;"",L401/1.4,"")</f>
        <v/>
      </c>
      <c r="Q401" s="3">
        <f>IF(L401&lt;&gt;"",L401/1.56,"")</f>
        <v/>
      </c>
      <c r="R401" s="3">
        <f>IF(M401&lt;&gt;"",M401/1.4,"")</f>
        <v/>
      </c>
      <c r="S401" s="3">
        <f>IF(M401&lt;&gt;"",M401/1.56,"")</f>
        <v/>
      </c>
      <c r="T401" s="3">
        <f>IF(N401&lt;&gt;"",N401,IF(O401&lt;&gt;"",O401,IF(L401&lt;&gt;"",L401/1.56,IF(M401&lt;&gt;"",M401/1.56,""))))</f>
        <v/>
      </c>
      <c r="U401" s="3" t="n">
        <v>374</v>
      </c>
      <c r="V401" s="3" t="n">
        <v>222</v>
      </c>
      <c r="W401" s="3" t="n"/>
      <c r="X401" s="4" t="n"/>
      <c r="Y401" s="5" t="n">
        <v>0.14</v>
      </c>
      <c r="Z401" s="4">
        <f>IF(L401&lt;&gt;"",SQRT(3)*G401*L401/1000,"")</f>
        <v/>
      </c>
      <c r="AA401" t="inlineStr">
        <is>
          <t>Source=Copeland 2D/3D/4D/4R/6D/8D/9R compressors (pdf) p9; PWS_RLA=46.4</t>
        </is>
      </c>
      <c r="AB401" t="inlineStr">
        <is>
          <t>Copeland_RLA_230_460_3ph_60Hz.xlsx</t>
        </is>
      </c>
      <c r="AC401" t="inlineStr">
        <is>
          <t>Recip_2D-9R</t>
        </is>
      </c>
    </row>
    <row r="402">
      <c r="A402" t="inlineStr">
        <is>
          <t>COPELAND</t>
        </is>
      </c>
      <c r="B402" t="inlineStr">
        <is>
          <t>4DBDR20ML-TSK</t>
        </is>
      </c>
      <c r="D402" t="inlineStr">
        <is>
          <t>Reciprocating Semi-hermetic</t>
        </is>
      </c>
      <c r="E402" s="2" t="n">
        <v>3</v>
      </c>
      <c r="F402" s="2" t="n">
        <v>60</v>
      </c>
      <c r="G402" s="2" t="n">
        <v>460</v>
      </c>
      <c r="H402" t="inlineStr">
        <is>
          <t>460</t>
        </is>
      </c>
      <c r="I402" s="2" t="n">
        <v>460</v>
      </c>
      <c r="J402" s="2" t="n">
        <v>460</v>
      </c>
      <c r="L402" s="3" t="n"/>
      <c r="M402" s="3" t="n"/>
      <c r="N402" s="3" t="n">
        <v>46.4</v>
      </c>
      <c r="O402" s="3" t="n"/>
      <c r="P402" s="3">
        <f>IF(L402&lt;&gt;"",L402/1.4,"")</f>
        <v/>
      </c>
      <c r="Q402" s="3">
        <f>IF(L402&lt;&gt;"",L402/1.56,"")</f>
        <v/>
      </c>
      <c r="R402" s="3">
        <f>IF(M402&lt;&gt;"",M402/1.4,"")</f>
        <v/>
      </c>
      <c r="S402" s="3">
        <f>IF(M402&lt;&gt;"",M402/1.56,"")</f>
        <v/>
      </c>
      <c r="T402" s="3">
        <f>IF(N402&lt;&gt;"",N402,IF(O402&lt;&gt;"",O402,IF(L402&lt;&gt;"",L402/1.56,IF(M402&lt;&gt;"",M402/1.56,""))))</f>
        <v/>
      </c>
      <c r="U402" s="3" t="n">
        <v>187</v>
      </c>
      <c r="V402" s="3" t="n"/>
      <c r="W402" s="3" t="n"/>
      <c r="X402" s="4" t="n"/>
      <c r="Y402" s="5" t="n">
        <v>0.5600000000000001</v>
      </c>
      <c r="Z402" s="4">
        <f>IF(L402&lt;&gt;"",SQRT(3)*G402*L402/1000,"")</f>
        <v/>
      </c>
      <c r="AA402" t="inlineStr">
        <is>
          <t>Source=Copeland 2D/3D/4D/4R/6D/8D/9R compressors (pdf) p9</t>
        </is>
      </c>
      <c r="AB402" t="inlineStr">
        <is>
          <t>Copeland_RLA_230_460_3ph_60Hz.xlsx</t>
        </is>
      </c>
      <c r="AC402" t="inlineStr">
        <is>
          <t>Recip_2D-9R</t>
        </is>
      </c>
    </row>
    <row r="403">
      <c r="A403" t="inlineStr">
        <is>
          <t>COPELAND</t>
        </is>
      </c>
      <c r="B403" t="inlineStr">
        <is>
          <t>4DC3A2200-FSD</t>
        </is>
      </c>
      <c r="D403" t="inlineStr">
        <is>
          <t>Reciprocating Semi-hermetic</t>
        </is>
      </c>
      <c r="E403" s="2" t="n">
        <v>3</v>
      </c>
      <c r="F403" s="2" t="n">
        <v>60</v>
      </c>
      <c r="G403" s="2" t="n">
        <v>460</v>
      </c>
      <c r="H403" t="inlineStr">
        <is>
          <t>460</t>
        </is>
      </c>
      <c r="I403" s="2" t="n">
        <v>460</v>
      </c>
      <c r="J403" s="2" t="n">
        <v>460</v>
      </c>
      <c r="L403" s="3" t="n"/>
      <c r="M403" s="3" t="n"/>
      <c r="N403" s="3" t="n">
        <v>32.5</v>
      </c>
      <c r="O403" s="3" t="n"/>
      <c r="P403" s="3">
        <f>IF(L403&lt;&gt;"",L403/1.4,"")</f>
        <v/>
      </c>
      <c r="Q403" s="3">
        <f>IF(L403&lt;&gt;"",L403/1.56,"")</f>
        <v/>
      </c>
      <c r="R403" s="3">
        <f>IF(M403&lt;&gt;"",M403/1.4,"")</f>
        <v/>
      </c>
      <c r="S403" s="3">
        <f>IF(M403&lt;&gt;"",M403/1.56,"")</f>
        <v/>
      </c>
      <c r="T403" s="3">
        <f>IF(N403&lt;&gt;"",N403,IF(O403&lt;&gt;"",O403,IF(L403&lt;&gt;"",L403/1.56,IF(M403&lt;&gt;"",M403/1.56,""))))</f>
        <v/>
      </c>
      <c r="U403" s="3" t="n">
        <v>180</v>
      </c>
      <c r="V403" s="3" t="n">
        <v>108</v>
      </c>
      <c r="W403" s="3" t="n"/>
      <c r="X403" s="4" t="n"/>
      <c r="Y403" s="5" t="n">
        <v>0.5580000000000001</v>
      </c>
      <c r="Z403" s="4">
        <f>IF(L403&lt;&gt;"",SQRT(3)*G403*L403/1000,"")</f>
        <v/>
      </c>
      <c r="AA403" t="inlineStr">
        <is>
          <t>Source=Copeland 2D/3D/4D/4R/6D/8D/9R compressors (pdf) p9; PWS_RLA=16.3</t>
        </is>
      </c>
      <c r="AB403" t="inlineStr">
        <is>
          <t>Copeland_RLA_230_460_3ph_60Hz.xlsx</t>
        </is>
      </c>
      <c r="AC403" t="inlineStr">
        <is>
          <t>Recip_2D-9R</t>
        </is>
      </c>
    </row>
    <row r="404">
      <c r="A404" t="inlineStr">
        <is>
          <t>COPELAND</t>
        </is>
      </c>
      <c r="B404" t="inlineStr">
        <is>
          <t>4DC3A2200-TSK</t>
        </is>
      </c>
      <c r="D404" t="inlineStr">
        <is>
          <t>Reciprocating Semi-hermetic</t>
        </is>
      </c>
      <c r="E404" s="2" t="n">
        <v>3</v>
      </c>
      <c r="F404" s="2" t="n">
        <v>60</v>
      </c>
      <c r="G404" s="2" t="n">
        <v>230</v>
      </c>
      <c r="H404" t="inlineStr">
        <is>
          <t>208/230</t>
        </is>
      </c>
      <c r="I404" s="2" t="n">
        <v>208</v>
      </c>
      <c r="J404" s="2" t="n">
        <v>230</v>
      </c>
      <c r="L404" s="3" t="n"/>
      <c r="M404" s="3" t="n"/>
      <c r="N404" s="3" t="n">
        <v>65.59999999999999</v>
      </c>
      <c r="O404" s="3" t="n"/>
      <c r="P404" s="3">
        <f>IF(L404&lt;&gt;"",L404/1.4,"")</f>
        <v/>
      </c>
      <c r="Q404" s="3">
        <f>IF(L404&lt;&gt;"",L404/1.56,"")</f>
        <v/>
      </c>
      <c r="R404" s="3">
        <f>IF(M404&lt;&gt;"",M404/1.4,"")</f>
        <v/>
      </c>
      <c r="S404" s="3">
        <f>IF(M404&lt;&gt;"",M404/1.56,"")</f>
        <v/>
      </c>
      <c r="T404" s="3">
        <f>IF(N404&lt;&gt;"",N404,IF(O404&lt;&gt;"",O404,IF(L404&lt;&gt;"",L404/1.56,IF(M404&lt;&gt;"",M404/1.56,""))))</f>
        <v/>
      </c>
      <c r="U404" s="3" t="n">
        <v>374</v>
      </c>
      <c r="V404" s="3" t="n">
        <v>222</v>
      </c>
      <c r="W404" s="3" t="n"/>
      <c r="X404" s="4" t="n"/>
      <c r="Y404" s="5" t="n">
        <v>0.14</v>
      </c>
      <c r="Z404" s="4">
        <f>IF(L404&lt;&gt;"",SQRT(3)*G404*L404/1000,"")</f>
        <v/>
      </c>
      <c r="AA404" t="inlineStr">
        <is>
          <t>Source=Copeland 2D/3D/4D/4R/6D/8D/9R compressors (pdf) p9; PWS_RLA=32.8</t>
        </is>
      </c>
      <c r="AB404" t="inlineStr">
        <is>
          <t>Copeland_RLA_230_460_3ph_60Hz.xlsx</t>
        </is>
      </c>
      <c r="AC404" t="inlineStr">
        <is>
          <t>Recip_2D-9R</t>
        </is>
      </c>
    </row>
    <row r="405">
      <c r="A405" t="inlineStr">
        <is>
          <t>COPELAND</t>
        </is>
      </c>
      <c r="B405" t="inlineStr">
        <is>
          <t>4DC3A2200-TSK</t>
        </is>
      </c>
      <c r="D405" t="inlineStr">
        <is>
          <t>Reciprocating Semi-hermetic</t>
        </is>
      </c>
      <c r="E405" s="2" t="n">
        <v>3</v>
      </c>
      <c r="F405" s="2" t="n">
        <v>60</v>
      </c>
      <c r="G405" s="2" t="n">
        <v>460</v>
      </c>
      <c r="H405" t="inlineStr">
        <is>
          <t>460</t>
        </is>
      </c>
      <c r="I405" s="2" t="n">
        <v>460</v>
      </c>
      <c r="J405" s="2" t="n">
        <v>460</v>
      </c>
      <c r="L405" s="3" t="n"/>
      <c r="M405" s="3" t="n"/>
      <c r="N405" s="3" t="n">
        <v>32.8</v>
      </c>
      <c r="O405" s="3" t="n"/>
      <c r="P405" s="3">
        <f>IF(L405&lt;&gt;"",L405/1.4,"")</f>
        <v/>
      </c>
      <c r="Q405" s="3">
        <f>IF(L405&lt;&gt;"",L405/1.56,"")</f>
        <v/>
      </c>
      <c r="R405" s="3">
        <f>IF(M405&lt;&gt;"",M405/1.4,"")</f>
        <v/>
      </c>
      <c r="S405" s="3">
        <f>IF(M405&lt;&gt;"",M405/1.56,"")</f>
        <v/>
      </c>
      <c r="T405" s="3">
        <f>IF(N405&lt;&gt;"",N405,IF(O405&lt;&gt;"",O405,IF(L405&lt;&gt;"",L405/1.56,IF(M405&lt;&gt;"",M405/1.56,""))))</f>
        <v/>
      </c>
      <c r="U405" s="3" t="n">
        <v>187</v>
      </c>
      <c r="V405" s="3" t="n"/>
      <c r="W405" s="3" t="n"/>
      <c r="X405" s="4" t="n"/>
      <c r="Y405" s="5" t="n">
        <v>0.5600000000000001</v>
      </c>
      <c r="Z405" s="4">
        <f>IF(L405&lt;&gt;"",SQRT(3)*G405*L405/1000,"")</f>
        <v/>
      </c>
      <c r="AA405" t="inlineStr">
        <is>
          <t>Source=Copeland 2D/3D/4D/4R/6D/8D/9R compressors (pdf) p9</t>
        </is>
      </c>
      <c r="AB405" t="inlineStr">
        <is>
          <t>Copeland_RLA_230_460_3ph_60Hz.xlsx</t>
        </is>
      </c>
      <c r="AC405" t="inlineStr">
        <is>
          <t>Recip_2D-9R</t>
        </is>
      </c>
    </row>
    <row r="406">
      <c r="A406" t="inlineStr">
        <is>
          <t>COPELAND</t>
        </is>
      </c>
      <c r="B406" t="inlineStr">
        <is>
          <t>4DC3A220E-FSD</t>
        </is>
      </c>
      <c r="D406" t="inlineStr">
        <is>
          <t>Reciprocating Semi-hermetic</t>
        </is>
      </c>
      <c r="E406" s="2" t="n">
        <v>3</v>
      </c>
      <c r="F406" s="2" t="n">
        <v>60</v>
      </c>
      <c r="G406" s="2" t="n">
        <v>460</v>
      </c>
      <c r="H406" t="inlineStr">
        <is>
          <t>460</t>
        </is>
      </c>
      <c r="I406" s="2" t="n">
        <v>460</v>
      </c>
      <c r="J406" s="2" t="n">
        <v>460</v>
      </c>
      <c r="L406" s="3" t="n"/>
      <c r="M406" s="3" t="n"/>
      <c r="N406" s="3" t="n">
        <v>32.5</v>
      </c>
      <c r="O406" s="3" t="n"/>
      <c r="P406" s="3">
        <f>IF(L406&lt;&gt;"",L406/1.4,"")</f>
        <v/>
      </c>
      <c r="Q406" s="3">
        <f>IF(L406&lt;&gt;"",L406/1.56,"")</f>
        <v/>
      </c>
      <c r="R406" s="3">
        <f>IF(M406&lt;&gt;"",M406/1.4,"")</f>
        <v/>
      </c>
      <c r="S406" s="3">
        <f>IF(M406&lt;&gt;"",M406/1.56,"")</f>
        <v/>
      </c>
      <c r="T406" s="3">
        <f>IF(N406&lt;&gt;"",N406,IF(O406&lt;&gt;"",O406,IF(L406&lt;&gt;"",L406/1.56,IF(M406&lt;&gt;"",M406/1.56,""))))</f>
        <v/>
      </c>
      <c r="U406" s="3" t="n">
        <v>180</v>
      </c>
      <c r="V406" s="3" t="n">
        <v>108</v>
      </c>
      <c r="W406" s="3" t="n"/>
      <c r="X406" s="4" t="n"/>
      <c r="Y406" s="5" t="n">
        <v>0.5580000000000001</v>
      </c>
      <c r="Z406" s="4">
        <f>IF(L406&lt;&gt;"",SQRT(3)*G406*L406/1000,"")</f>
        <v/>
      </c>
      <c r="AA406" t="inlineStr">
        <is>
          <t>Source=Copeland 2D/3D/4D/4R/6D/8D/9R compressors (pdf) p9; PWS_RLA=16.3</t>
        </is>
      </c>
      <c r="AB406" t="inlineStr">
        <is>
          <t>Copeland_RLA_230_460_3ph_60Hz.xlsx</t>
        </is>
      </c>
      <c r="AC406" t="inlineStr">
        <is>
          <t>Recip_2D-9R</t>
        </is>
      </c>
    </row>
    <row r="407">
      <c r="A407" t="inlineStr">
        <is>
          <t>COPELAND</t>
        </is>
      </c>
      <c r="B407" t="inlineStr">
        <is>
          <t>4DC3A220E-TSK</t>
        </is>
      </c>
      <c r="D407" t="inlineStr">
        <is>
          <t>Reciprocating Semi-hermetic</t>
        </is>
      </c>
      <c r="E407" s="2" t="n">
        <v>3</v>
      </c>
      <c r="F407" s="2" t="n">
        <v>60</v>
      </c>
      <c r="G407" s="2" t="n">
        <v>230</v>
      </c>
      <c r="H407" t="inlineStr">
        <is>
          <t>208/230</t>
        </is>
      </c>
      <c r="I407" s="2" t="n">
        <v>208</v>
      </c>
      <c r="J407" s="2" t="n">
        <v>230</v>
      </c>
      <c r="L407" s="3" t="n"/>
      <c r="M407" s="3" t="n"/>
      <c r="N407" s="3" t="n">
        <v>92.90000000000001</v>
      </c>
      <c r="O407" s="3" t="n"/>
      <c r="P407" s="3">
        <f>IF(L407&lt;&gt;"",L407/1.4,"")</f>
        <v/>
      </c>
      <c r="Q407" s="3">
        <f>IF(L407&lt;&gt;"",L407/1.56,"")</f>
        <v/>
      </c>
      <c r="R407" s="3">
        <f>IF(M407&lt;&gt;"",M407/1.4,"")</f>
        <v/>
      </c>
      <c r="S407" s="3">
        <f>IF(M407&lt;&gt;"",M407/1.56,"")</f>
        <v/>
      </c>
      <c r="T407" s="3">
        <f>IF(N407&lt;&gt;"",N407,IF(O407&lt;&gt;"",O407,IF(L407&lt;&gt;"",L407/1.56,IF(M407&lt;&gt;"",M407/1.56,""))))</f>
        <v/>
      </c>
      <c r="U407" s="3" t="n">
        <v>374</v>
      </c>
      <c r="V407" s="3" t="n">
        <v>222</v>
      </c>
      <c r="W407" s="3" t="n"/>
      <c r="X407" s="4" t="n"/>
      <c r="Y407" s="5" t="n">
        <v>0.14</v>
      </c>
      <c r="Z407" s="4">
        <f>IF(L407&lt;&gt;"",SQRT(3)*G407*L407/1000,"")</f>
        <v/>
      </c>
      <c r="AA407" t="inlineStr">
        <is>
          <t>Source=Copeland 2D/3D/4D/4R/6D/8D/9R compressors (pdf) p9; PWS_RLA=32.8</t>
        </is>
      </c>
      <c r="AB407" t="inlineStr">
        <is>
          <t>Copeland_RLA_230_460_3ph_60Hz.xlsx</t>
        </is>
      </c>
      <c r="AC407" t="inlineStr">
        <is>
          <t>Recip_2D-9R</t>
        </is>
      </c>
    </row>
    <row r="408">
      <c r="A408" t="inlineStr">
        <is>
          <t>COPELAND</t>
        </is>
      </c>
      <c r="B408" t="inlineStr">
        <is>
          <t>4DC3A220E-TSK</t>
        </is>
      </c>
      <c r="D408" t="inlineStr">
        <is>
          <t>Reciprocating Semi-hermetic</t>
        </is>
      </c>
      <c r="E408" s="2" t="n">
        <v>3</v>
      </c>
      <c r="F408" s="2" t="n">
        <v>60</v>
      </c>
      <c r="G408" s="2" t="n">
        <v>460</v>
      </c>
      <c r="H408" t="inlineStr">
        <is>
          <t>460</t>
        </is>
      </c>
      <c r="I408" s="2" t="n">
        <v>460</v>
      </c>
      <c r="J408" s="2" t="n">
        <v>460</v>
      </c>
      <c r="L408" s="3" t="n"/>
      <c r="M408" s="3" t="n"/>
      <c r="N408" s="3" t="n">
        <v>46.4</v>
      </c>
      <c r="O408" s="3" t="n"/>
      <c r="P408" s="3">
        <f>IF(L408&lt;&gt;"",L408/1.4,"")</f>
        <v/>
      </c>
      <c r="Q408" s="3">
        <f>IF(L408&lt;&gt;"",L408/1.56,"")</f>
        <v/>
      </c>
      <c r="R408" s="3">
        <f>IF(M408&lt;&gt;"",M408/1.4,"")</f>
        <v/>
      </c>
      <c r="S408" s="3">
        <f>IF(M408&lt;&gt;"",M408/1.56,"")</f>
        <v/>
      </c>
      <c r="T408" s="3">
        <f>IF(N408&lt;&gt;"",N408,IF(O408&lt;&gt;"",O408,IF(L408&lt;&gt;"",L408/1.56,IF(M408&lt;&gt;"",M408/1.56,""))))</f>
        <v/>
      </c>
      <c r="U408" s="3" t="n">
        <v>187</v>
      </c>
      <c r="V408" s="3" t="n"/>
      <c r="W408" s="3" t="n"/>
      <c r="X408" s="4" t="n"/>
      <c r="Y408" s="5" t="n">
        <v>0.5600000000000001</v>
      </c>
      <c r="Z408" s="4">
        <f>IF(L408&lt;&gt;"",SQRT(3)*G408*L408/1000,"")</f>
        <v/>
      </c>
      <c r="AA408" t="inlineStr">
        <is>
          <t>Source=Copeland 2D/3D/4D/4R/6D/8D/9R compressors (pdf) p9</t>
        </is>
      </c>
      <c r="AB408" t="inlineStr">
        <is>
          <t>Copeland_RLA_230_460_3ph_60Hz.xlsx</t>
        </is>
      </c>
      <c r="AC408" t="inlineStr">
        <is>
          <t>Recip_2D-9R</t>
        </is>
      </c>
    </row>
    <row r="409">
      <c r="A409" t="inlineStr">
        <is>
          <t>COPELAND</t>
        </is>
      </c>
      <c r="B409" t="inlineStr">
        <is>
          <t>4DC3A220L-FSD</t>
        </is>
      </c>
      <c r="D409" t="inlineStr">
        <is>
          <t>Reciprocating Semi-hermetic</t>
        </is>
      </c>
      <c r="E409" s="2" t="n">
        <v>3</v>
      </c>
      <c r="F409" s="2" t="n">
        <v>60</v>
      </c>
      <c r="G409" s="2" t="n">
        <v>460</v>
      </c>
      <c r="H409" t="inlineStr">
        <is>
          <t>460</t>
        </is>
      </c>
      <c r="I409" s="2" t="n">
        <v>460</v>
      </c>
      <c r="J409" s="2" t="n">
        <v>460</v>
      </c>
      <c r="L409" s="3" t="n"/>
      <c r="M409" s="3" t="n"/>
      <c r="N409" s="3" t="n">
        <v>32.5</v>
      </c>
      <c r="O409" s="3" t="n"/>
      <c r="P409" s="3">
        <f>IF(L409&lt;&gt;"",L409/1.4,"")</f>
        <v/>
      </c>
      <c r="Q409" s="3">
        <f>IF(L409&lt;&gt;"",L409/1.56,"")</f>
        <v/>
      </c>
      <c r="R409" s="3">
        <f>IF(M409&lt;&gt;"",M409/1.4,"")</f>
        <v/>
      </c>
      <c r="S409" s="3">
        <f>IF(M409&lt;&gt;"",M409/1.56,"")</f>
        <v/>
      </c>
      <c r="T409" s="3">
        <f>IF(N409&lt;&gt;"",N409,IF(O409&lt;&gt;"",O409,IF(L409&lt;&gt;"",L409/1.56,IF(M409&lt;&gt;"",M409/1.56,""))))</f>
        <v/>
      </c>
      <c r="U409" s="3" t="n">
        <v>180</v>
      </c>
      <c r="V409" s="3" t="n">
        <v>108</v>
      </c>
      <c r="W409" s="3" t="n"/>
      <c r="X409" s="4" t="n"/>
      <c r="Y409" s="5" t="n">
        <v>0.5580000000000001</v>
      </c>
      <c r="Z409" s="4">
        <f>IF(L409&lt;&gt;"",SQRT(3)*G409*L409/1000,"")</f>
        <v/>
      </c>
      <c r="AA409" t="inlineStr">
        <is>
          <t>Source=Copeland 2D/3D/4D/4R/6D/8D/9R compressors (pdf) p9; PWS_RLA=16.3</t>
        </is>
      </c>
      <c r="AB409" t="inlineStr">
        <is>
          <t>Copeland_RLA_230_460_3ph_60Hz.xlsx</t>
        </is>
      </c>
      <c r="AC409" t="inlineStr">
        <is>
          <t>Recip_2D-9R</t>
        </is>
      </c>
    </row>
    <row r="410">
      <c r="A410" t="inlineStr">
        <is>
          <t>COPELAND</t>
        </is>
      </c>
      <c r="B410" t="inlineStr">
        <is>
          <t>4DC3A220L-TSK</t>
        </is>
      </c>
      <c r="D410" t="inlineStr">
        <is>
          <t>Reciprocating Semi-hermetic</t>
        </is>
      </c>
      <c r="E410" s="2" t="n">
        <v>3</v>
      </c>
      <c r="F410" s="2" t="n">
        <v>60</v>
      </c>
      <c r="G410" s="2" t="n">
        <v>230</v>
      </c>
      <c r="H410" t="inlineStr">
        <is>
          <t>208/230</t>
        </is>
      </c>
      <c r="I410" s="2" t="n">
        <v>208</v>
      </c>
      <c r="J410" s="2" t="n">
        <v>230</v>
      </c>
      <c r="L410" s="3" t="n"/>
      <c r="M410" s="3" t="n"/>
      <c r="N410" s="3" t="n">
        <v>92.90000000000001</v>
      </c>
      <c r="O410" s="3" t="n"/>
      <c r="P410" s="3">
        <f>IF(L410&lt;&gt;"",L410/1.4,"")</f>
        <v/>
      </c>
      <c r="Q410" s="3">
        <f>IF(L410&lt;&gt;"",L410/1.56,"")</f>
        <v/>
      </c>
      <c r="R410" s="3">
        <f>IF(M410&lt;&gt;"",M410/1.4,"")</f>
        <v/>
      </c>
      <c r="S410" s="3">
        <f>IF(M410&lt;&gt;"",M410/1.56,"")</f>
        <v/>
      </c>
      <c r="T410" s="3">
        <f>IF(N410&lt;&gt;"",N410,IF(O410&lt;&gt;"",O410,IF(L410&lt;&gt;"",L410/1.56,IF(M410&lt;&gt;"",M410/1.56,""))))</f>
        <v/>
      </c>
      <c r="U410" s="3" t="n">
        <v>374</v>
      </c>
      <c r="V410" s="3" t="n">
        <v>222</v>
      </c>
      <c r="W410" s="3" t="n"/>
      <c r="X410" s="4" t="n"/>
      <c r="Y410" s="5" t="n">
        <v>0.14</v>
      </c>
      <c r="Z410" s="4">
        <f>IF(L410&lt;&gt;"",SQRT(3)*G410*L410/1000,"")</f>
        <v/>
      </c>
      <c r="AA410" t="inlineStr">
        <is>
          <t>Source=Copeland 2D/3D/4D/4R/6D/8D/9R compressors (pdf) p9; PWS_RLA=32.8</t>
        </is>
      </c>
      <c r="AB410" t="inlineStr">
        <is>
          <t>Copeland_RLA_230_460_3ph_60Hz.xlsx</t>
        </is>
      </c>
      <c r="AC410" t="inlineStr">
        <is>
          <t>Recip_2D-9R</t>
        </is>
      </c>
    </row>
    <row r="411">
      <c r="A411" t="inlineStr">
        <is>
          <t>COPELAND</t>
        </is>
      </c>
      <c r="B411" t="inlineStr">
        <is>
          <t>4DC3A220L-TSK</t>
        </is>
      </c>
      <c r="D411" t="inlineStr">
        <is>
          <t>Reciprocating Semi-hermetic</t>
        </is>
      </c>
      <c r="E411" s="2" t="n">
        <v>3</v>
      </c>
      <c r="F411" s="2" t="n">
        <v>60</v>
      </c>
      <c r="G411" s="2" t="n">
        <v>460</v>
      </c>
      <c r="H411" t="inlineStr">
        <is>
          <t>460</t>
        </is>
      </c>
      <c r="I411" s="2" t="n">
        <v>460</v>
      </c>
      <c r="J411" s="2" t="n">
        <v>460</v>
      </c>
      <c r="L411" s="3" t="n"/>
      <c r="M411" s="3" t="n"/>
      <c r="N411" s="3" t="n">
        <v>46.4</v>
      </c>
      <c r="O411" s="3" t="n"/>
      <c r="P411" s="3">
        <f>IF(L411&lt;&gt;"",L411/1.4,"")</f>
        <v/>
      </c>
      <c r="Q411" s="3">
        <f>IF(L411&lt;&gt;"",L411/1.56,"")</f>
        <v/>
      </c>
      <c r="R411" s="3">
        <f>IF(M411&lt;&gt;"",M411/1.4,"")</f>
        <v/>
      </c>
      <c r="S411" s="3">
        <f>IF(M411&lt;&gt;"",M411/1.56,"")</f>
        <v/>
      </c>
      <c r="T411" s="3">
        <f>IF(N411&lt;&gt;"",N411,IF(O411&lt;&gt;"",O411,IF(L411&lt;&gt;"",L411/1.56,IF(M411&lt;&gt;"",M411/1.56,""))))</f>
        <v/>
      </c>
      <c r="U411" s="3" t="n">
        <v>187</v>
      </c>
      <c r="V411" s="3" t="n"/>
      <c r="W411" s="3" t="n"/>
      <c r="X411" s="4" t="n"/>
      <c r="Y411" s="5" t="n">
        <v>0.5600000000000001</v>
      </c>
      <c r="Z411" s="4">
        <f>IF(L411&lt;&gt;"",SQRT(3)*G411*L411/1000,"")</f>
        <v/>
      </c>
      <c r="AA411" t="inlineStr">
        <is>
          <t>Source=Copeland 2D/3D/4D/4R/6D/8D/9R compressors (pdf) p9</t>
        </is>
      </c>
      <c r="AB411" t="inlineStr">
        <is>
          <t>Copeland_RLA_230_460_3ph_60Hz.xlsx</t>
        </is>
      </c>
      <c r="AC411" t="inlineStr">
        <is>
          <t>Recip_2D-9R</t>
        </is>
      </c>
    </row>
    <row r="412">
      <c r="A412" t="inlineStr">
        <is>
          <t>COPELAND</t>
        </is>
      </c>
      <c r="B412" t="inlineStr">
        <is>
          <t>4DC3R20M0-FSD</t>
        </is>
      </c>
      <c r="D412" t="inlineStr">
        <is>
          <t>Reciprocating Semi-hermetic</t>
        </is>
      </c>
      <c r="E412" s="2" t="n">
        <v>3</v>
      </c>
      <c r="F412" s="2" t="n">
        <v>60</v>
      </c>
      <c r="G412" s="2" t="n">
        <v>460</v>
      </c>
      <c r="H412" t="inlineStr">
        <is>
          <t>460</t>
        </is>
      </c>
      <c r="I412" s="2" t="n">
        <v>460</v>
      </c>
      <c r="J412" s="2" t="n">
        <v>460</v>
      </c>
      <c r="L412" s="3" t="n"/>
      <c r="M412" s="3" t="n"/>
      <c r="N412" s="3" t="n">
        <v>32.5</v>
      </c>
      <c r="O412" s="3" t="n"/>
      <c r="P412" s="3">
        <f>IF(L412&lt;&gt;"",L412/1.4,"")</f>
        <v/>
      </c>
      <c r="Q412" s="3">
        <f>IF(L412&lt;&gt;"",L412/1.56,"")</f>
        <v/>
      </c>
      <c r="R412" s="3">
        <f>IF(M412&lt;&gt;"",M412/1.4,"")</f>
        <v/>
      </c>
      <c r="S412" s="3">
        <f>IF(M412&lt;&gt;"",M412/1.56,"")</f>
        <v/>
      </c>
      <c r="T412" s="3">
        <f>IF(N412&lt;&gt;"",N412,IF(O412&lt;&gt;"",O412,IF(L412&lt;&gt;"",L412/1.56,IF(M412&lt;&gt;"",M412/1.56,""))))</f>
        <v/>
      </c>
      <c r="U412" s="3" t="n">
        <v>180</v>
      </c>
      <c r="V412" s="3" t="n">
        <v>108</v>
      </c>
      <c r="W412" s="3" t="n"/>
      <c r="X412" s="4" t="n"/>
      <c r="Y412" s="5" t="n">
        <v>0.5580000000000001</v>
      </c>
      <c r="Z412" s="4">
        <f>IF(L412&lt;&gt;"",SQRT(3)*G412*L412/1000,"")</f>
        <v/>
      </c>
      <c r="AA412" t="inlineStr">
        <is>
          <t>Source=Copeland 2D/3D/4D/4R/6D/8D/9R compressors (pdf) p10; PWS_RLA=16.3</t>
        </is>
      </c>
      <c r="AB412" t="inlineStr">
        <is>
          <t>Copeland_RLA_230_460_3ph_60Hz.xlsx</t>
        </is>
      </c>
      <c r="AC412" t="inlineStr">
        <is>
          <t>Recip_2D-9R</t>
        </is>
      </c>
    </row>
    <row r="413">
      <c r="A413" t="inlineStr">
        <is>
          <t>COPELAND</t>
        </is>
      </c>
      <c r="B413" t="inlineStr">
        <is>
          <t>4DC3R20M0-TSK</t>
        </is>
      </c>
      <c r="D413" t="inlineStr">
        <is>
          <t>Reciprocating Semi-hermetic</t>
        </is>
      </c>
      <c r="E413" s="2" t="n">
        <v>3</v>
      </c>
      <c r="F413" s="2" t="n">
        <v>60</v>
      </c>
      <c r="G413" s="2" t="n">
        <v>230</v>
      </c>
      <c r="H413" t="inlineStr">
        <is>
          <t>208/230</t>
        </is>
      </c>
      <c r="I413" s="2" t="n">
        <v>208</v>
      </c>
      <c r="J413" s="2" t="n">
        <v>230</v>
      </c>
      <c r="L413" s="3" t="n"/>
      <c r="M413" s="3" t="n"/>
      <c r="N413" s="3" t="n">
        <v>65.59999999999999</v>
      </c>
      <c r="O413" s="3" t="n"/>
      <c r="P413" s="3">
        <f>IF(L413&lt;&gt;"",L413/1.4,"")</f>
        <v/>
      </c>
      <c r="Q413" s="3">
        <f>IF(L413&lt;&gt;"",L413/1.56,"")</f>
        <v/>
      </c>
      <c r="R413" s="3">
        <f>IF(M413&lt;&gt;"",M413/1.4,"")</f>
        <v/>
      </c>
      <c r="S413" s="3">
        <f>IF(M413&lt;&gt;"",M413/1.56,"")</f>
        <v/>
      </c>
      <c r="T413" s="3">
        <f>IF(N413&lt;&gt;"",N413,IF(O413&lt;&gt;"",O413,IF(L413&lt;&gt;"",L413/1.56,IF(M413&lt;&gt;"",M413/1.56,""))))</f>
        <v/>
      </c>
      <c r="U413" s="3" t="n">
        <v>374</v>
      </c>
      <c r="V413" s="3" t="n">
        <v>222</v>
      </c>
      <c r="W413" s="3" t="n"/>
      <c r="X413" s="4" t="n"/>
      <c r="Y413" s="5" t="n">
        <v>0.14</v>
      </c>
      <c r="Z413" s="4">
        <f>IF(L413&lt;&gt;"",SQRT(3)*G413*L413/1000,"")</f>
        <v/>
      </c>
      <c r="AA413" t="inlineStr">
        <is>
          <t>Source=Copeland 2D/3D/4D/4R/6D/8D/9R compressors (pdf) p10; PWS_RLA=32.8</t>
        </is>
      </c>
      <c r="AB413" t="inlineStr">
        <is>
          <t>Copeland_RLA_230_460_3ph_60Hz.xlsx</t>
        </is>
      </c>
      <c r="AC413" t="inlineStr">
        <is>
          <t>Recip_2D-9R</t>
        </is>
      </c>
    </row>
    <row r="414">
      <c r="A414" t="inlineStr">
        <is>
          <t>COPELAND</t>
        </is>
      </c>
      <c r="B414" t="inlineStr">
        <is>
          <t>4DC3R20M0-TSK</t>
        </is>
      </c>
      <c r="D414" t="inlineStr">
        <is>
          <t>Reciprocating Semi-hermetic</t>
        </is>
      </c>
      <c r="E414" s="2" t="n">
        <v>3</v>
      </c>
      <c r="F414" s="2" t="n">
        <v>60</v>
      </c>
      <c r="G414" s="2" t="n">
        <v>460</v>
      </c>
      <c r="H414" t="inlineStr">
        <is>
          <t>460</t>
        </is>
      </c>
      <c r="I414" s="2" t="n">
        <v>460</v>
      </c>
      <c r="J414" s="2" t="n">
        <v>460</v>
      </c>
      <c r="L414" s="3" t="n"/>
      <c r="M414" s="3" t="n"/>
      <c r="N414" s="3" t="n">
        <v>32.8</v>
      </c>
      <c r="O414" s="3" t="n"/>
      <c r="P414" s="3">
        <f>IF(L414&lt;&gt;"",L414/1.4,"")</f>
        <v/>
      </c>
      <c r="Q414" s="3">
        <f>IF(L414&lt;&gt;"",L414/1.56,"")</f>
        <v/>
      </c>
      <c r="R414" s="3">
        <f>IF(M414&lt;&gt;"",M414/1.4,"")</f>
        <v/>
      </c>
      <c r="S414" s="3">
        <f>IF(M414&lt;&gt;"",M414/1.56,"")</f>
        <v/>
      </c>
      <c r="T414" s="3">
        <f>IF(N414&lt;&gt;"",N414,IF(O414&lt;&gt;"",O414,IF(L414&lt;&gt;"",L414/1.56,IF(M414&lt;&gt;"",M414/1.56,""))))</f>
        <v/>
      </c>
      <c r="U414" s="3" t="n">
        <v>187</v>
      </c>
      <c r="V414" s="3" t="n"/>
      <c r="W414" s="3" t="n"/>
      <c r="X414" s="4" t="n"/>
      <c r="Y414" s="5" t="n">
        <v>0.5600000000000001</v>
      </c>
      <c r="Z414" s="4">
        <f>IF(L414&lt;&gt;"",SQRT(3)*G414*L414/1000,"")</f>
        <v/>
      </c>
      <c r="AA414" t="inlineStr">
        <is>
          <t>Source=Copeland 2D/3D/4D/4R/6D/8D/9R compressors (pdf) p10</t>
        </is>
      </c>
      <c r="AB414" t="inlineStr">
        <is>
          <t>Copeland_RLA_230_460_3ph_60Hz.xlsx</t>
        </is>
      </c>
      <c r="AC414" t="inlineStr">
        <is>
          <t>Recip_2D-9R</t>
        </is>
      </c>
    </row>
    <row r="415">
      <c r="A415" t="inlineStr">
        <is>
          <t>COPELAND</t>
        </is>
      </c>
      <c r="B415" t="inlineStr">
        <is>
          <t>4DC3R20ME-FSD</t>
        </is>
      </c>
      <c r="D415" t="inlineStr">
        <is>
          <t>Reciprocating Semi-hermetic</t>
        </is>
      </c>
      <c r="E415" s="2" t="n">
        <v>3</v>
      </c>
      <c r="F415" s="2" t="n">
        <v>60</v>
      </c>
      <c r="G415" s="2" t="n">
        <v>460</v>
      </c>
      <c r="H415" t="inlineStr">
        <is>
          <t>460</t>
        </is>
      </c>
      <c r="I415" s="2" t="n">
        <v>460</v>
      </c>
      <c r="J415" s="2" t="n">
        <v>460</v>
      </c>
      <c r="L415" s="3" t="n"/>
      <c r="M415" s="3" t="n"/>
      <c r="N415" s="3" t="n">
        <v>32.5</v>
      </c>
      <c r="O415" s="3" t="n"/>
      <c r="P415" s="3">
        <f>IF(L415&lt;&gt;"",L415/1.4,"")</f>
        <v/>
      </c>
      <c r="Q415" s="3">
        <f>IF(L415&lt;&gt;"",L415/1.56,"")</f>
        <v/>
      </c>
      <c r="R415" s="3">
        <f>IF(M415&lt;&gt;"",M415/1.4,"")</f>
        <v/>
      </c>
      <c r="S415" s="3">
        <f>IF(M415&lt;&gt;"",M415/1.56,"")</f>
        <v/>
      </c>
      <c r="T415" s="3">
        <f>IF(N415&lt;&gt;"",N415,IF(O415&lt;&gt;"",O415,IF(L415&lt;&gt;"",L415/1.56,IF(M415&lt;&gt;"",M415/1.56,""))))</f>
        <v/>
      </c>
      <c r="U415" s="3" t="n">
        <v>180</v>
      </c>
      <c r="V415" s="3" t="n">
        <v>108</v>
      </c>
      <c r="W415" s="3" t="n"/>
      <c r="X415" s="4" t="n"/>
      <c r="Y415" s="5" t="n">
        <v>0.5580000000000001</v>
      </c>
      <c r="Z415" s="4">
        <f>IF(L415&lt;&gt;"",SQRT(3)*G415*L415/1000,"")</f>
        <v/>
      </c>
      <c r="AA415" t="inlineStr">
        <is>
          <t>Source=Copeland 2D/3D/4D/4R/6D/8D/9R compressors (pdf) p10; PWS_RLA=16.3</t>
        </is>
      </c>
      <c r="AB415" t="inlineStr">
        <is>
          <t>Copeland_RLA_230_460_3ph_60Hz.xlsx</t>
        </is>
      </c>
      <c r="AC415" t="inlineStr">
        <is>
          <t>Recip_2D-9R</t>
        </is>
      </c>
    </row>
    <row r="416">
      <c r="A416" t="inlineStr">
        <is>
          <t>COPELAND</t>
        </is>
      </c>
      <c r="B416" t="inlineStr">
        <is>
          <t>4DC3R20ME-FSD</t>
        </is>
      </c>
      <c r="D416" t="inlineStr">
        <is>
          <t>Reciprocating Semi-hermetic</t>
        </is>
      </c>
      <c r="E416" s="2" t="n">
        <v>3</v>
      </c>
      <c r="F416" s="2" t="n">
        <v>60</v>
      </c>
      <c r="G416" s="2" t="n">
        <v>460</v>
      </c>
      <c r="H416" t="inlineStr">
        <is>
          <t>460</t>
        </is>
      </c>
      <c r="I416" s="2" t="n">
        <v>460</v>
      </c>
      <c r="J416" s="2" t="n">
        <v>460</v>
      </c>
      <c r="L416" s="3" t="n"/>
      <c r="M416" s="3" t="n"/>
      <c r="N416" s="3" t="n">
        <v>40.7</v>
      </c>
      <c r="O416" s="3" t="n"/>
      <c r="P416" s="3">
        <f>IF(L416&lt;&gt;"",L416/1.4,"")</f>
        <v/>
      </c>
      <c r="Q416" s="3">
        <f>IF(L416&lt;&gt;"",L416/1.56,"")</f>
        <v/>
      </c>
      <c r="R416" s="3">
        <f>IF(M416&lt;&gt;"",M416/1.4,"")</f>
        <v/>
      </c>
      <c r="S416" s="3">
        <f>IF(M416&lt;&gt;"",M416/1.56,"")</f>
        <v/>
      </c>
      <c r="T416" s="3">
        <f>IF(N416&lt;&gt;"",N416,IF(O416&lt;&gt;"",O416,IF(L416&lt;&gt;"",L416/1.56,IF(M416&lt;&gt;"",M416/1.56,""))))</f>
        <v/>
      </c>
      <c r="U416" s="3" t="n">
        <v>180</v>
      </c>
      <c r="V416" s="3" t="n">
        <v>108</v>
      </c>
      <c r="W416" s="3" t="n"/>
      <c r="X416" s="4" t="n"/>
      <c r="Y416" s="5" t="n">
        <v>0.5580000000000001</v>
      </c>
      <c r="Z416" s="4">
        <f>IF(L416&lt;&gt;"",SQRT(3)*G416*L416/1000,"")</f>
        <v/>
      </c>
      <c r="AA416" t="inlineStr">
        <is>
          <t>Source=Copeland 2D/3D/4D/4R/6D/8D/9R compressors (pdf) p10; PWS_RLA=20.4</t>
        </is>
      </c>
      <c r="AB416" t="inlineStr">
        <is>
          <t>Copeland_RLA_230_460_3ph_60Hz.xlsx</t>
        </is>
      </c>
      <c r="AC416" t="inlineStr">
        <is>
          <t>Recip_2D-9R</t>
        </is>
      </c>
    </row>
    <row r="417">
      <c r="A417" t="inlineStr">
        <is>
          <t>COPELAND</t>
        </is>
      </c>
      <c r="B417" t="inlineStr">
        <is>
          <t>4DC3R20ME-TSK</t>
        </is>
      </c>
      <c r="D417" t="inlineStr">
        <is>
          <t>Reciprocating Semi-hermetic</t>
        </is>
      </c>
      <c r="E417" s="2" t="n">
        <v>3</v>
      </c>
      <c r="F417" s="2" t="n">
        <v>60</v>
      </c>
      <c r="G417" s="2" t="n">
        <v>230</v>
      </c>
      <c r="H417" t="inlineStr">
        <is>
          <t>208/230</t>
        </is>
      </c>
      <c r="I417" s="2" t="n">
        <v>208</v>
      </c>
      <c r="J417" s="2" t="n">
        <v>230</v>
      </c>
      <c r="L417" s="3" t="n"/>
      <c r="M417" s="3" t="n"/>
      <c r="N417" s="3" t="n">
        <v>65.59999999999999</v>
      </c>
      <c r="O417" s="3" t="n"/>
      <c r="P417" s="3">
        <f>IF(L417&lt;&gt;"",L417/1.4,"")</f>
        <v/>
      </c>
      <c r="Q417" s="3">
        <f>IF(L417&lt;&gt;"",L417/1.56,"")</f>
        <v/>
      </c>
      <c r="R417" s="3">
        <f>IF(M417&lt;&gt;"",M417/1.4,"")</f>
        <v/>
      </c>
      <c r="S417" s="3">
        <f>IF(M417&lt;&gt;"",M417/1.56,"")</f>
        <v/>
      </c>
      <c r="T417" s="3">
        <f>IF(N417&lt;&gt;"",N417,IF(O417&lt;&gt;"",O417,IF(L417&lt;&gt;"",L417/1.56,IF(M417&lt;&gt;"",M417/1.56,""))))</f>
        <v/>
      </c>
      <c r="U417" s="3" t="n">
        <v>374</v>
      </c>
      <c r="V417" s="3" t="n">
        <v>222</v>
      </c>
      <c r="W417" s="3" t="n"/>
      <c r="X417" s="4" t="n"/>
      <c r="Y417" s="5" t="n">
        <v>0.14</v>
      </c>
      <c r="Z417" s="4">
        <f>IF(L417&lt;&gt;"",SQRT(3)*G417*L417/1000,"")</f>
        <v/>
      </c>
      <c r="AA417" t="inlineStr">
        <is>
          <t>Source=Copeland 2D/3D/4D/4R/6D/8D/9R compressors (pdf) p10; PWS_RLA=32.8</t>
        </is>
      </c>
      <c r="AB417" t="inlineStr">
        <is>
          <t>Copeland_RLA_230_460_3ph_60Hz.xlsx</t>
        </is>
      </c>
      <c r="AC417" t="inlineStr">
        <is>
          <t>Recip_2D-9R</t>
        </is>
      </c>
    </row>
    <row r="418">
      <c r="A418" t="inlineStr">
        <is>
          <t>COPELAND</t>
        </is>
      </c>
      <c r="B418" t="inlineStr">
        <is>
          <t>4DC3R20ME-TSK</t>
        </is>
      </c>
      <c r="D418" t="inlineStr">
        <is>
          <t>Reciprocating Semi-hermetic</t>
        </is>
      </c>
      <c r="E418" s="2" t="n">
        <v>3</v>
      </c>
      <c r="F418" s="2" t="n">
        <v>60</v>
      </c>
      <c r="G418" s="2" t="n">
        <v>230</v>
      </c>
      <c r="H418" t="inlineStr">
        <is>
          <t>208/230</t>
        </is>
      </c>
      <c r="I418" s="2" t="n">
        <v>208</v>
      </c>
      <c r="J418" s="2" t="n">
        <v>230</v>
      </c>
      <c r="L418" s="3" t="n"/>
      <c r="M418" s="3" t="n"/>
      <c r="N418" s="3" t="n">
        <v>92.90000000000001</v>
      </c>
      <c r="O418" s="3" t="n"/>
      <c r="P418" s="3">
        <f>IF(L418&lt;&gt;"",L418/1.4,"")</f>
        <v/>
      </c>
      <c r="Q418" s="3">
        <f>IF(L418&lt;&gt;"",L418/1.56,"")</f>
        <v/>
      </c>
      <c r="R418" s="3">
        <f>IF(M418&lt;&gt;"",M418/1.4,"")</f>
        <v/>
      </c>
      <c r="S418" s="3">
        <f>IF(M418&lt;&gt;"",M418/1.56,"")</f>
        <v/>
      </c>
      <c r="T418" s="3">
        <f>IF(N418&lt;&gt;"",N418,IF(O418&lt;&gt;"",O418,IF(L418&lt;&gt;"",L418/1.56,IF(M418&lt;&gt;"",M418/1.56,""))))</f>
        <v/>
      </c>
      <c r="U418" s="3" t="n">
        <v>374</v>
      </c>
      <c r="V418" s="3" t="n">
        <v>222</v>
      </c>
      <c r="W418" s="3" t="n"/>
      <c r="X418" s="4" t="n"/>
      <c r="Y418" s="5" t="n">
        <v>0.14</v>
      </c>
      <c r="Z418" s="4">
        <f>IF(L418&lt;&gt;"",SQRT(3)*G418*L418/1000,"")</f>
        <v/>
      </c>
      <c r="AA418" t="inlineStr">
        <is>
          <t>Source=Copeland 2D/3D/4D/4R/6D/8D/9R compressors (pdf) p10; PWS_RLA=46.4</t>
        </is>
      </c>
      <c r="AB418" t="inlineStr">
        <is>
          <t>Copeland_RLA_230_460_3ph_60Hz.xlsx</t>
        </is>
      </c>
      <c r="AC418" t="inlineStr">
        <is>
          <t>Recip_2D-9R</t>
        </is>
      </c>
    </row>
    <row r="419">
      <c r="A419" t="inlineStr">
        <is>
          <t>COPELAND</t>
        </is>
      </c>
      <c r="B419" t="inlineStr">
        <is>
          <t>4DC3R20ME-TSK</t>
        </is>
      </c>
      <c r="D419" t="inlineStr">
        <is>
          <t>Reciprocating Semi-hermetic</t>
        </is>
      </c>
      <c r="E419" s="2" t="n">
        <v>3</v>
      </c>
      <c r="F419" s="2" t="n">
        <v>60</v>
      </c>
      <c r="G419" s="2" t="n">
        <v>460</v>
      </c>
      <c r="H419" t="inlineStr">
        <is>
          <t>460</t>
        </is>
      </c>
      <c r="I419" s="2" t="n">
        <v>460</v>
      </c>
      <c r="J419" s="2" t="n">
        <v>460</v>
      </c>
      <c r="L419" s="3" t="n"/>
      <c r="M419" s="3" t="n"/>
      <c r="N419" s="3" t="n">
        <v>46.4</v>
      </c>
      <c r="O419" s="3" t="n"/>
      <c r="P419" s="3">
        <f>IF(L419&lt;&gt;"",L419/1.4,"")</f>
        <v/>
      </c>
      <c r="Q419" s="3">
        <f>IF(L419&lt;&gt;"",L419/1.56,"")</f>
        <v/>
      </c>
      <c r="R419" s="3">
        <f>IF(M419&lt;&gt;"",M419/1.4,"")</f>
        <v/>
      </c>
      <c r="S419" s="3">
        <f>IF(M419&lt;&gt;"",M419/1.56,"")</f>
        <v/>
      </c>
      <c r="T419" s="3">
        <f>IF(N419&lt;&gt;"",N419,IF(O419&lt;&gt;"",O419,IF(L419&lt;&gt;"",L419/1.56,IF(M419&lt;&gt;"",M419/1.56,""))))</f>
        <v/>
      </c>
      <c r="U419" s="3" t="n">
        <v>187</v>
      </c>
      <c r="V419" s="3" t="n"/>
      <c r="W419" s="3" t="n"/>
      <c r="X419" s="4" t="n"/>
      <c r="Y419" s="5" t="n">
        <v>0.5600000000000001</v>
      </c>
      <c r="Z419" s="4">
        <f>IF(L419&lt;&gt;"",SQRT(3)*G419*L419/1000,"")</f>
        <v/>
      </c>
      <c r="AA419" t="inlineStr">
        <is>
          <t>Source=Copeland 2D/3D/4D/4R/6D/8D/9R compressors (pdf) p10</t>
        </is>
      </c>
      <c r="AB419" t="inlineStr">
        <is>
          <t>Copeland_RLA_230_460_3ph_60Hz.xlsx</t>
        </is>
      </c>
      <c r="AC419" t="inlineStr">
        <is>
          <t>Recip_2D-9R</t>
        </is>
      </c>
    </row>
    <row r="420">
      <c r="A420" t="inlineStr">
        <is>
          <t>COPELAND</t>
        </is>
      </c>
      <c r="B420" t="inlineStr">
        <is>
          <t>4DC3R20ML-FSD</t>
        </is>
      </c>
      <c r="D420" t="inlineStr">
        <is>
          <t>Reciprocating Semi-hermetic</t>
        </is>
      </c>
      <c r="E420" s="2" t="n">
        <v>3</v>
      </c>
      <c r="F420" s="2" t="n">
        <v>60</v>
      </c>
      <c r="G420" s="2" t="n">
        <v>460</v>
      </c>
      <c r="H420" t="inlineStr">
        <is>
          <t>460</t>
        </is>
      </c>
      <c r="I420" s="2" t="n">
        <v>460</v>
      </c>
      <c r="J420" s="2" t="n">
        <v>460</v>
      </c>
      <c r="L420" s="3" t="n"/>
      <c r="M420" s="3" t="n"/>
      <c r="N420" s="3" t="n">
        <v>32.5</v>
      </c>
      <c r="O420" s="3" t="n"/>
      <c r="P420" s="3">
        <f>IF(L420&lt;&gt;"",L420/1.4,"")</f>
        <v/>
      </c>
      <c r="Q420" s="3">
        <f>IF(L420&lt;&gt;"",L420/1.56,"")</f>
        <v/>
      </c>
      <c r="R420" s="3">
        <f>IF(M420&lt;&gt;"",M420/1.4,"")</f>
        <v/>
      </c>
      <c r="S420" s="3">
        <f>IF(M420&lt;&gt;"",M420/1.56,"")</f>
        <v/>
      </c>
      <c r="T420" s="3">
        <f>IF(N420&lt;&gt;"",N420,IF(O420&lt;&gt;"",O420,IF(L420&lt;&gt;"",L420/1.56,IF(M420&lt;&gt;"",M420/1.56,""))))</f>
        <v/>
      </c>
      <c r="U420" s="3" t="n">
        <v>180</v>
      </c>
      <c r="V420" s="3" t="n">
        <v>108</v>
      </c>
      <c r="W420" s="3" t="n"/>
      <c r="X420" s="4" t="n"/>
      <c r="Y420" s="5" t="n">
        <v>0.5580000000000001</v>
      </c>
      <c r="Z420" s="4">
        <f>IF(L420&lt;&gt;"",SQRT(3)*G420*L420/1000,"")</f>
        <v/>
      </c>
      <c r="AA420" t="inlineStr">
        <is>
          <t>Source=Copeland 2D/3D/4D/4R/6D/8D/9R compressors (pdf) p10; PWS_RLA=16.3</t>
        </is>
      </c>
      <c r="AB420" t="inlineStr">
        <is>
          <t>Copeland_RLA_230_460_3ph_60Hz.xlsx</t>
        </is>
      </c>
      <c r="AC420" t="inlineStr">
        <is>
          <t>Recip_2D-9R</t>
        </is>
      </c>
    </row>
    <row r="421">
      <c r="A421" t="inlineStr">
        <is>
          <t>COPELAND</t>
        </is>
      </c>
      <c r="B421" t="inlineStr">
        <is>
          <t>4DC3R20ML-FSD</t>
        </is>
      </c>
      <c r="D421" t="inlineStr">
        <is>
          <t>Reciprocating Semi-hermetic</t>
        </is>
      </c>
      <c r="E421" s="2" t="n">
        <v>3</v>
      </c>
      <c r="F421" s="2" t="n">
        <v>60</v>
      </c>
      <c r="G421" s="2" t="n">
        <v>460</v>
      </c>
      <c r="H421" t="inlineStr">
        <is>
          <t>460</t>
        </is>
      </c>
      <c r="I421" s="2" t="n">
        <v>460</v>
      </c>
      <c r="J421" s="2" t="n">
        <v>460</v>
      </c>
      <c r="L421" s="3" t="n"/>
      <c r="M421" s="3" t="n"/>
      <c r="N421" s="3" t="n">
        <v>40.7</v>
      </c>
      <c r="O421" s="3" t="n"/>
      <c r="P421" s="3">
        <f>IF(L421&lt;&gt;"",L421/1.4,"")</f>
        <v/>
      </c>
      <c r="Q421" s="3">
        <f>IF(L421&lt;&gt;"",L421/1.56,"")</f>
        <v/>
      </c>
      <c r="R421" s="3">
        <f>IF(M421&lt;&gt;"",M421/1.4,"")</f>
        <v/>
      </c>
      <c r="S421" s="3">
        <f>IF(M421&lt;&gt;"",M421/1.56,"")</f>
        <v/>
      </c>
      <c r="T421" s="3">
        <f>IF(N421&lt;&gt;"",N421,IF(O421&lt;&gt;"",O421,IF(L421&lt;&gt;"",L421/1.56,IF(M421&lt;&gt;"",M421/1.56,""))))</f>
        <v/>
      </c>
      <c r="U421" s="3" t="n">
        <v>180</v>
      </c>
      <c r="V421" s="3" t="n">
        <v>108</v>
      </c>
      <c r="W421" s="3" t="n"/>
      <c r="X421" s="4" t="n"/>
      <c r="Y421" s="5" t="n">
        <v>0.5580000000000001</v>
      </c>
      <c r="Z421" s="4">
        <f>IF(L421&lt;&gt;"",SQRT(3)*G421*L421/1000,"")</f>
        <v/>
      </c>
      <c r="AA421" t="inlineStr">
        <is>
          <t>Source=Copeland 2D/3D/4D/4R/6D/8D/9R compressors (pdf) p10; PWS_RLA=20.4</t>
        </is>
      </c>
      <c r="AB421" t="inlineStr">
        <is>
          <t>Copeland_RLA_230_460_3ph_60Hz.xlsx</t>
        </is>
      </c>
      <c r="AC421" t="inlineStr">
        <is>
          <t>Recip_2D-9R</t>
        </is>
      </c>
    </row>
    <row r="422">
      <c r="A422" t="inlineStr">
        <is>
          <t>COPELAND</t>
        </is>
      </c>
      <c r="B422" t="inlineStr">
        <is>
          <t>4DC3R20ML-TSK</t>
        </is>
      </c>
      <c r="D422" t="inlineStr">
        <is>
          <t>Reciprocating Semi-hermetic</t>
        </is>
      </c>
      <c r="E422" s="2" t="n">
        <v>3</v>
      </c>
      <c r="F422" s="2" t="n">
        <v>60</v>
      </c>
      <c r="G422" s="2" t="n">
        <v>230</v>
      </c>
      <c r="H422" t="inlineStr">
        <is>
          <t>208/230</t>
        </is>
      </c>
      <c r="I422" s="2" t="n">
        <v>208</v>
      </c>
      <c r="J422" s="2" t="n">
        <v>230</v>
      </c>
      <c r="L422" s="3" t="n"/>
      <c r="M422" s="3" t="n"/>
      <c r="N422" s="3" t="n">
        <v>65.59999999999999</v>
      </c>
      <c r="O422" s="3" t="n"/>
      <c r="P422" s="3">
        <f>IF(L422&lt;&gt;"",L422/1.4,"")</f>
        <v/>
      </c>
      <c r="Q422" s="3">
        <f>IF(L422&lt;&gt;"",L422/1.56,"")</f>
        <v/>
      </c>
      <c r="R422" s="3">
        <f>IF(M422&lt;&gt;"",M422/1.4,"")</f>
        <v/>
      </c>
      <c r="S422" s="3">
        <f>IF(M422&lt;&gt;"",M422/1.56,"")</f>
        <v/>
      </c>
      <c r="T422" s="3">
        <f>IF(N422&lt;&gt;"",N422,IF(O422&lt;&gt;"",O422,IF(L422&lt;&gt;"",L422/1.56,IF(M422&lt;&gt;"",M422/1.56,""))))</f>
        <v/>
      </c>
      <c r="U422" s="3" t="n">
        <v>374</v>
      </c>
      <c r="V422" s="3" t="n">
        <v>222</v>
      </c>
      <c r="W422" s="3" t="n"/>
      <c r="X422" s="4" t="n"/>
      <c r="Y422" s="5" t="n">
        <v>0.14</v>
      </c>
      <c r="Z422" s="4">
        <f>IF(L422&lt;&gt;"",SQRT(3)*G422*L422/1000,"")</f>
        <v/>
      </c>
      <c r="AA422" t="inlineStr">
        <is>
          <t>Source=Copeland 2D/3D/4D/4R/6D/8D/9R compressors (pdf) p10; PWS_RLA=32.8</t>
        </is>
      </c>
      <c r="AB422" t="inlineStr">
        <is>
          <t>Copeland_RLA_230_460_3ph_60Hz.xlsx</t>
        </is>
      </c>
      <c r="AC422" t="inlineStr">
        <is>
          <t>Recip_2D-9R</t>
        </is>
      </c>
    </row>
    <row r="423">
      <c r="A423" t="inlineStr">
        <is>
          <t>COPELAND</t>
        </is>
      </c>
      <c r="B423" t="inlineStr">
        <is>
          <t>4DC3R20ML-TSK</t>
        </is>
      </c>
      <c r="D423" t="inlineStr">
        <is>
          <t>Reciprocating Semi-hermetic</t>
        </is>
      </c>
      <c r="E423" s="2" t="n">
        <v>3</v>
      </c>
      <c r="F423" s="2" t="n">
        <v>60</v>
      </c>
      <c r="G423" s="2" t="n">
        <v>230</v>
      </c>
      <c r="H423" t="inlineStr">
        <is>
          <t>208/230</t>
        </is>
      </c>
      <c r="I423" s="2" t="n">
        <v>208</v>
      </c>
      <c r="J423" s="2" t="n">
        <v>230</v>
      </c>
      <c r="L423" s="3" t="n"/>
      <c r="M423" s="3" t="n"/>
      <c r="N423" s="3" t="n">
        <v>92.90000000000001</v>
      </c>
      <c r="O423" s="3" t="n"/>
      <c r="P423" s="3">
        <f>IF(L423&lt;&gt;"",L423/1.4,"")</f>
        <v/>
      </c>
      <c r="Q423" s="3">
        <f>IF(L423&lt;&gt;"",L423/1.56,"")</f>
        <v/>
      </c>
      <c r="R423" s="3">
        <f>IF(M423&lt;&gt;"",M423/1.4,"")</f>
        <v/>
      </c>
      <c r="S423" s="3">
        <f>IF(M423&lt;&gt;"",M423/1.56,"")</f>
        <v/>
      </c>
      <c r="T423" s="3">
        <f>IF(N423&lt;&gt;"",N423,IF(O423&lt;&gt;"",O423,IF(L423&lt;&gt;"",L423/1.56,IF(M423&lt;&gt;"",M423/1.56,""))))</f>
        <v/>
      </c>
      <c r="U423" s="3" t="n">
        <v>374</v>
      </c>
      <c r="V423" s="3" t="n">
        <v>222</v>
      </c>
      <c r="W423" s="3" t="n"/>
      <c r="X423" s="4" t="n"/>
      <c r="Y423" s="5" t="n">
        <v>0.14</v>
      </c>
      <c r="Z423" s="4">
        <f>IF(L423&lt;&gt;"",SQRT(3)*G423*L423/1000,"")</f>
        <v/>
      </c>
      <c r="AA423" t="inlineStr">
        <is>
          <t>Source=Copeland 2D/3D/4D/4R/6D/8D/9R compressors (pdf) p10; PWS_RLA=46.4</t>
        </is>
      </c>
      <c r="AB423" t="inlineStr">
        <is>
          <t>Copeland_RLA_230_460_3ph_60Hz.xlsx</t>
        </is>
      </c>
      <c r="AC423" t="inlineStr">
        <is>
          <t>Recip_2D-9R</t>
        </is>
      </c>
    </row>
    <row r="424">
      <c r="A424" t="inlineStr">
        <is>
          <t>COPELAND</t>
        </is>
      </c>
      <c r="B424" t="inlineStr">
        <is>
          <t>4DC3R20ML-TSK</t>
        </is>
      </c>
      <c r="D424" t="inlineStr">
        <is>
          <t>Reciprocating Semi-hermetic</t>
        </is>
      </c>
      <c r="E424" s="2" t="n">
        <v>3</v>
      </c>
      <c r="F424" s="2" t="n">
        <v>60</v>
      </c>
      <c r="G424" s="2" t="n">
        <v>460</v>
      </c>
      <c r="H424" t="inlineStr">
        <is>
          <t>460</t>
        </is>
      </c>
      <c r="I424" s="2" t="n">
        <v>460</v>
      </c>
      <c r="J424" s="2" t="n">
        <v>460</v>
      </c>
      <c r="L424" s="3" t="n"/>
      <c r="M424" s="3" t="n"/>
      <c r="N424" s="3" t="n">
        <v>46.4</v>
      </c>
      <c r="O424" s="3" t="n"/>
      <c r="P424" s="3">
        <f>IF(L424&lt;&gt;"",L424/1.4,"")</f>
        <v/>
      </c>
      <c r="Q424" s="3">
        <f>IF(L424&lt;&gt;"",L424/1.56,"")</f>
        <v/>
      </c>
      <c r="R424" s="3">
        <f>IF(M424&lt;&gt;"",M424/1.4,"")</f>
        <v/>
      </c>
      <c r="S424" s="3">
        <f>IF(M424&lt;&gt;"",M424/1.56,"")</f>
        <v/>
      </c>
      <c r="T424" s="3">
        <f>IF(N424&lt;&gt;"",N424,IF(O424&lt;&gt;"",O424,IF(L424&lt;&gt;"",L424/1.56,IF(M424&lt;&gt;"",M424/1.56,""))))</f>
        <v/>
      </c>
      <c r="U424" s="3" t="n">
        <v>187</v>
      </c>
      <c r="V424" s="3" t="n"/>
      <c r="W424" s="3" t="n"/>
      <c r="X424" s="4" t="n"/>
      <c r="Y424" s="5" t="n">
        <v>0.5600000000000001</v>
      </c>
      <c r="Z424" s="4">
        <f>IF(L424&lt;&gt;"",SQRT(3)*G424*L424/1000,"")</f>
        <v/>
      </c>
      <c r="AA424" t="inlineStr">
        <is>
          <t>Source=Copeland 2D/3D/4D/4R/6D/8D/9R compressors (pdf) p10</t>
        </is>
      </c>
      <c r="AB424" t="inlineStr">
        <is>
          <t>Copeland_RLA_230_460_3ph_60Hz.xlsx</t>
        </is>
      </c>
      <c r="AC424" t="inlineStr">
        <is>
          <t>Recip_2D-9R</t>
        </is>
      </c>
    </row>
    <row r="425">
      <c r="A425" t="inlineStr">
        <is>
          <t>COPELAND</t>
        </is>
      </c>
      <c r="B425" t="inlineStr">
        <is>
          <t>4DC3R21ME-TSK</t>
        </is>
      </c>
      <c r="D425" t="inlineStr">
        <is>
          <t>Reciprocating Semi-hermetic</t>
        </is>
      </c>
      <c r="E425" s="2" t="n">
        <v>3</v>
      </c>
      <c r="F425" s="2" t="n">
        <v>60</v>
      </c>
      <c r="G425" s="2" t="n">
        <v>230</v>
      </c>
      <c r="H425" t="inlineStr">
        <is>
          <t>208/230</t>
        </is>
      </c>
      <c r="I425" s="2" t="n">
        <v>208</v>
      </c>
      <c r="J425" s="2" t="n">
        <v>230</v>
      </c>
      <c r="L425" s="3" t="n"/>
      <c r="M425" s="3" t="n"/>
      <c r="N425" s="3" t="n">
        <v>85.7</v>
      </c>
      <c r="O425" s="3" t="n"/>
      <c r="P425" s="3">
        <f>IF(L425&lt;&gt;"",L425/1.4,"")</f>
        <v/>
      </c>
      <c r="Q425" s="3">
        <f>IF(L425&lt;&gt;"",L425/1.56,"")</f>
        <v/>
      </c>
      <c r="R425" s="3">
        <f>IF(M425&lt;&gt;"",M425/1.4,"")</f>
        <v/>
      </c>
      <c r="S425" s="3">
        <f>IF(M425&lt;&gt;"",M425/1.56,"")</f>
        <v/>
      </c>
      <c r="T425" s="3">
        <f>IF(N425&lt;&gt;"",N425,IF(O425&lt;&gt;"",O425,IF(L425&lt;&gt;"",L425/1.56,IF(M425&lt;&gt;"",M425/1.56,""))))</f>
        <v/>
      </c>
      <c r="U425" s="3" t="n">
        <v>374</v>
      </c>
      <c r="V425" s="3" t="n">
        <v>222</v>
      </c>
      <c r="W425" s="3" t="n"/>
      <c r="X425" s="4" t="n"/>
      <c r="Y425" s="5" t="n">
        <v>0.14</v>
      </c>
      <c r="Z425" s="4">
        <f>IF(L425&lt;&gt;"",SQRT(3)*G425*L425/1000,"")</f>
        <v/>
      </c>
      <c r="AA425" t="inlineStr">
        <is>
          <t>Source=Copeland 2D/3D/4D/4R/6D/8D/9R compressors (pdf) p10; PWS_RLA=42.9</t>
        </is>
      </c>
      <c r="AB425" t="inlineStr">
        <is>
          <t>Copeland_RLA_230_460_3ph_60Hz.xlsx</t>
        </is>
      </c>
      <c r="AC425" t="inlineStr">
        <is>
          <t>Recip_2D-9R</t>
        </is>
      </c>
    </row>
    <row r="426">
      <c r="A426" t="inlineStr">
        <is>
          <t>COPELAND</t>
        </is>
      </c>
      <c r="B426" t="inlineStr">
        <is>
          <t>4DC3R21ME-TSK</t>
        </is>
      </c>
      <c r="D426" t="inlineStr">
        <is>
          <t>Reciprocating Semi-hermetic</t>
        </is>
      </c>
      <c r="E426" s="2" t="n">
        <v>3</v>
      </c>
      <c r="F426" s="2" t="n">
        <v>60</v>
      </c>
      <c r="G426" s="2" t="n">
        <v>460</v>
      </c>
      <c r="H426" t="inlineStr">
        <is>
          <t>460</t>
        </is>
      </c>
      <c r="I426" s="2" t="n">
        <v>460</v>
      </c>
      <c r="J426" s="2" t="n">
        <v>460</v>
      </c>
      <c r="L426" s="3" t="n"/>
      <c r="M426" s="3" t="n"/>
      <c r="N426" s="3" t="n">
        <v>42.9</v>
      </c>
      <c r="O426" s="3" t="n"/>
      <c r="P426" s="3">
        <f>IF(L426&lt;&gt;"",L426/1.4,"")</f>
        <v/>
      </c>
      <c r="Q426" s="3">
        <f>IF(L426&lt;&gt;"",L426/1.56,"")</f>
        <v/>
      </c>
      <c r="R426" s="3">
        <f>IF(M426&lt;&gt;"",M426/1.4,"")</f>
        <v/>
      </c>
      <c r="S426" s="3">
        <f>IF(M426&lt;&gt;"",M426/1.56,"")</f>
        <v/>
      </c>
      <c r="T426" s="3">
        <f>IF(N426&lt;&gt;"",N426,IF(O426&lt;&gt;"",O426,IF(L426&lt;&gt;"",L426/1.56,IF(M426&lt;&gt;"",M426/1.56,""))))</f>
        <v/>
      </c>
      <c r="U426" s="3" t="n">
        <v>187</v>
      </c>
      <c r="V426" s="3" t="n"/>
      <c r="W426" s="3" t="n"/>
      <c r="X426" s="4" t="n"/>
      <c r="Y426" s="5" t="n">
        <v>0.5600000000000001</v>
      </c>
      <c r="Z426" s="4">
        <f>IF(L426&lt;&gt;"",SQRT(3)*G426*L426/1000,"")</f>
        <v/>
      </c>
      <c r="AA426" t="inlineStr">
        <is>
          <t>Source=Copeland 2D/3D/4D/4R/6D/8D/9R compressors (pdf) p10</t>
        </is>
      </c>
      <c r="AB426" t="inlineStr">
        <is>
          <t>Copeland_RLA_230_460_3ph_60Hz.xlsx</t>
        </is>
      </c>
      <c r="AC426" t="inlineStr">
        <is>
          <t>Recip_2D-9R</t>
        </is>
      </c>
    </row>
    <row r="427">
      <c r="A427" t="inlineStr">
        <is>
          <t>COPELAND</t>
        </is>
      </c>
      <c r="B427" t="inlineStr">
        <is>
          <t>4DE1-1000-TSK</t>
        </is>
      </c>
      <c r="D427" t="inlineStr">
        <is>
          <t>Reciprocating Semi-hermetic</t>
        </is>
      </c>
      <c r="E427" s="2" t="n">
        <v>3</v>
      </c>
      <c r="F427" s="2" t="n">
        <v>60</v>
      </c>
      <c r="G427" s="2" t="n">
        <v>230</v>
      </c>
      <c r="H427" t="inlineStr">
        <is>
          <t>208/230</t>
        </is>
      </c>
      <c r="I427" s="2" t="n">
        <v>208</v>
      </c>
      <c r="J427" s="2" t="n">
        <v>230</v>
      </c>
      <c r="L427" s="3" t="n"/>
      <c r="M427" s="3" t="n"/>
      <c r="N427" s="3" t="n">
        <v>53.6</v>
      </c>
      <c r="O427" s="3" t="n"/>
      <c r="P427" s="3">
        <f>IF(L427&lt;&gt;"",L427/1.4,"")</f>
        <v/>
      </c>
      <c r="Q427" s="3">
        <f>IF(L427&lt;&gt;"",L427/1.56,"")</f>
        <v/>
      </c>
      <c r="R427" s="3">
        <f>IF(M427&lt;&gt;"",M427/1.4,"")</f>
        <v/>
      </c>
      <c r="S427" s="3">
        <f>IF(M427&lt;&gt;"",M427/1.56,"")</f>
        <v/>
      </c>
      <c r="T427" s="3">
        <f>IF(N427&lt;&gt;"",N427,IF(O427&lt;&gt;"",O427,IF(L427&lt;&gt;"",L427/1.56,IF(M427&lt;&gt;"",M427/1.56,""))))</f>
        <v/>
      </c>
      <c r="U427" s="3" t="n">
        <v>240</v>
      </c>
      <c r="V427" s="3" t="n">
        <v>140</v>
      </c>
      <c r="W427" s="3" t="n"/>
      <c r="X427" s="4" t="n"/>
      <c r="Y427" s="5" t="n">
        <v>0.259</v>
      </c>
      <c r="Z427" s="4">
        <f>IF(L427&lt;&gt;"",SQRT(3)*G427*L427/1000,"")</f>
        <v/>
      </c>
      <c r="AA427" t="inlineStr">
        <is>
          <t>Source=Copeland 2D/3D/4D/4R/6D/8D/9R compressors (pdf) p10; PWS_RLA=26.8</t>
        </is>
      </c>
      <c r="AB427" t="inlineStr">
        <is>
          <t>Copeland_RLA_230_460_3ph_60Hz.xlsx</t>
        </is>
      </c>
      <c r="AC427" t="inlineStr">
        <is>
          <t>Recip_2D-9R</t>
        </is>
      </c>
    </row>
    <row r="428">
      <c r="A428" t="inlineStr">
        <is>
          <t>COPELAND</t>
        </is>
      </c>
      <c r="B428" t="inlineStr">
        <is>
          <t>4DE1-1000-TSK</t>
        </is>
      </c>
      <c r="D428" t="inlineStr">
        <is>
          <t>Reciprocating Semi-hermetic</t>
        </is>
      </c>
      <c r="E428" s="2" t="n">
        <v>3</v>
      </c>
      <c r="F428" s="2" t="n">
        <v>60</v>
      </c>
      <c r="G428" s="2" t="n">
        <v>460</v>
      </c>
      <c r="H428" t="inlineStr">
        <is>
          <t>460</t>
        </is>
      </c>
      <c r="I428" s="2" t="n">
        <v>460</v>
      </c>
      <c r="J428" s="2" t="n">
        <v>460</v>
      </c>
      <c r="L428" s="3" t="n"/>
      <c r="M428" s="3" t="n"/>
      <c r="N428" s="3" t="n">
        <v>26.8</v>
      </c>
      <c r="O428" s="3" t="n"/>
      <c r="P428" s="3">
        <f>IF(L428&lt;&gt;"",L428/1.4,"")</f>
        <v/>
      </c>
      <c r="Q428" s="3">
        <f>IF(L428&lt;&gt;"",L428/1.56,"")</f>
        <v/>
      </c>
      <c r="R428" s="3">
        <f>IF(M428&lt;&gt;"",M428/1.4,"")</f>
        <v/>
      </c>
      <c r="S428" s="3">
        <f>IF(M428&lt;&gt;"",M428/1.56,"")</f>
        <v/>
      </c>
      <c r="T428" s="3">
        <f>IF(N428&lt;&gt;"",N428,IF(O428&lt;&gt;"",O428,IF(L428&lt;&gt;"",L428/1.56,IF(M428&lt;&gt;"",M428/1.56,""))))</f>
        <v/>
      </c>
      <c r="U428" s="3" t="n">
        <v>120</v>
      </c>
      <c r="V428" s="3" t="n"/>
      <c r="W428" s="3" t="n"/>
      <c r="X428" s="4" t="n"/>
      <c r="Y428" s="5" t="n">
        <v>1.036</v>
      </c>
      <c r="Z428" s="4">
        <f>IF(L428&lt;&gt;"",SQRT(3)*G428*L428/1000,"")</f>
        <v/>
      </c>
      <c r="AA428" t="inlineStr">
        <is>
          <t>Source=Copeland 2D/3D/4D/4R/6D/8D/9R compressors (pdf) p10</t>
        </is>
      </c>
      <c r="AB428" t="inlineStr">
        <is>
          <t>Copeland_RLA_230_460_3ph_60Hz.xlsx</t>
        </is>
      </c>
      <c r="AC428" t="inlineStr">
        <is>
          <t>Recip_2D-9R</t>
        </is>
      </c>
    </row>
    <row r="429">
      <c r="A429" t="inlineStr">
        <is>
          <t>COPELAND</t>
        </is>
      </c>
      <c r="B429" t="inlineStr">
        <is>
          <t>4DE1-2000-FSD</t>
        </is>
      </c>
      <c r="D429" t="inlineStr">
        <is>
          <t>Reciprocating Semi-hermetic</t>
        </is>
      </c>
      <c r="E429" s="2" t="n">
        <v>3</v>
      </c>
      <c r="F429" s="2" t="n">
        <v>60</v>
      </c>
      <c r="G429" s="2" t="n">
        <v>460</v>
      </c>
      <c r="H429" t="inlineStr">
        <is>
          <t>460</t>
        </is>
      </c>
      <c r="I429" s="2" t="n">
        <v>460</v>
      </c>
      <c r="J429" s="2" t="n">
        <v>460</v>
      </c>
      <c r="L429" s="3" t="n"/>
      <c r="M429" s="3" t="n"/>
      <c r="N429" s="3" t="n">
        <v>32.1</v>
      </c>
      <c r="O429" s="3" t="n"/>
      <c r="P429" s="3">
        <f>IF(L429&lt;&gt;"",L429/1.4,"")</f>
        <v/>
      </c>
      <c r="Q429" s="3">
        <f>IF(L429&lt;&gt;"",L429/1.56,"")</f>
        <v/>
      </c>
      <c r="R429" s="3">
        <f>IF(M429&lt;&gt;"",M429/1.4,"")</f>
        <v/>
      </c>
      <c r="S429" s="3">
        <f>IF(M429&lt;&gt;"",M429/1.56,"")</f>
        <v/>
      </c>
      <c r="T429" s="3">
        <f>IF(N429&lt;&gt;"",N429,IF(O429&lt;&gt;"",O429,IF(L429&lt;&gt;"",L429/1.56,IF(M429&lt;&gt;"",M429/1.56,""))))</f>
        <v/>
      </c>
      <c r="U429" s="3" t="n">
        <v>140</v>
      </c>
      <c r="V429" s="3" t="n">
        <v>84</v>
      </c>
      <c r="W429" s="3" t="n"/>
      <c r="X429" s="4" t="n"/>
      <c r="Y429" s="5" t="n">
        <v>0.757</v>
      </c>
      <c r="Z429" s="4">
        <f>IF(L429&lt;&gt;"",SQRT(3)*G429*L429/1000,"")</f>
        <v/>
      </c>
      <c r="AA429" t="inlineStr">
        <is>
          <t>Source=Copeland 2D/3D/4D/4R/6D/8D/9R compressors (pdf) p10; PWS_RLA=16.1</t>
        </is>
      </c>
      <c r="AB429" t="inlineStr">
        <is>
          <t>Copeland_RLA_230_460_3ph_60Hz.xlsx</t>
        </is>
      </c>
      <c r="AC429" t="inlineStr">
        <is>
          <t>Recip_2D-9R</t>
        </is>
      </c>
    </row>
    <row r="430">
      <c r="A430" t="inlineStr">
        <is>
          <t>COPELAND</t>
        </is>
      </c>
      <c r="B430" t="inlineStr">
        <is>
          <t>4DE1-2000-TSK</t>
        </is>
      </c>
      <c r="D430" t="inlineStr">
        <is>
          <t>Reciprocating Semi-hermetic</t>
        </is>
      </c>
      <c r="E430" s="2" t="n">
        <v>3</v>
      </c>
      <c r="F430" s="2" t="n">
        <v>60</v>
      </c>
      <c r="G430" s="2" t="n">
        <v>230</v>
      </c>
      <c r="H430" t="inlineStr">
        <is>
          <t>208/230</t>
        </is>
      </c>
      <c r="I430" s="2" t="n">
        <v>208</v>
      </c>
      <c r="J430" s="2" t="n">
        <v>230</v>
      </c>
      <c r="L430" s="3" t="n"/>
      <c r="M430" s="3" t="n"/>
      <c r="N430" s="3" t="n">
        <v>70</v>
      </c>
      <c r="O430" s="3" t="n"/>
      <c r="P430" s="3">
        <f>IF(L430&lt;&gt;"",L430/1.4,"")</f>
        <v/>
      </c>
      <c r="Q430" s="3">
        <f>IF(L430&lt;&gt;"",L430/1.56,"")</f>
        <v/>
      </c>
      <c r="R430" s="3">
        <f>IF(M430&lt;&gt;"",M430/1.4,"")</f>
        <v/>
      </c>
      <c r="S430" s="3">
        <f>IF(M430&lt;&gt;"",M430/1.56,"")</f>
        <v/>
      </c>
      <c r="T430" s="3">
        <f>IF(N430&lt;&gt;"",N430,IF(O430&lt;&gt;"",O430,IF(L430&lt;&gt;"",L430/1.56,IF(M430&lt;&gt;"",M430/1.56,""))))</f>
        <v/>
      </c>
      <c r="U430" s="3" t="n">
        <v>308</v>
      </c>
      <c r="V430" s="3" t="n">
        <v>188</v>
      </c>
      <c r="W430" s="3" t="n"/>
      <c r="X430" s="4" t="n"/>
      <c r="Y430" s="5" t="n">
        <v>0.174</v>
      </c>
      <c r="Z430" s="4">
        <f>IF(L430&lt;&gt;"",SQRT(3)*G430*L430/1000,"")</f>
        <v/>
      </c>
      <c r="AA430" t="inlineStr">
        <is>
          <t>Source=Copeland 2D/3D/4D/4R/6D/8D/9R compressors (pdf) p11; PWS_RLA=35.0</t>
        </is>
      </c>
      <c r="AB430" t="inlineStr">
        <is>
          <t>Copeland_RLA_230_460_3ph_60Hz.xlsx</t>
        </is>
      </c>
      <c r="AC430" t="inlineStr">
        <is>
          <t>Recip_2D-9R</t>
        </is>
      </c>
    </row>
    <row r="431">
      <c r="A431" t="inlineStr">
        <is>
          <t>COPELAND</t>
        </is>
      </c>
      <c r="B431" t="inlineStr">
        <is>
          <t>4DE1-2000-TSK</t>
        </is>
      </c>
      <c r="D431" t="inlineStr">
        <is>
          <t>Reciprocating Semi-hermetic</t>
        </is>
      </c>
      <c r="E431" s="2" t="n">
        <v>3</v>
      </c>
      <c r="F431" s="2" t="n">
        <v>60</v>
      </c>
      <c r="G431" s="2" t="n">
        <v>460</v>
      </c>
      <c r="H431" t="inlineStr">
        <is>
          <t>460</t>
        </is>
      </c>
      <c r="I431" s="2" t="n">
        <v>460</v>
      </c>
      <c r="J431" s="2" t="n">
        <v>460</v>
      </c>
      <c r="L431" s="3" t="n"/>
      <c r="M431" s="3" t="n"/>
      <c r="N431" s="3" t="n">
        <v>35</v>
      </c>
      <c r="O431" s="3" t="n"/>
      <c r="P431" s="3">
        <f>IF(L431&lt;&gt;"",L431/1.4,"")</f>
        <v/>
      </c>
      <c r="Q431" s="3">
        <f>IF(L431&lt;&gt;"",L431/1.56,"")</f>
        <v/>
      </c>
      <c r="R431" s="3">
        <f>IF(M431&lt;&gt;"",M431/1.4,"")</f>
        <v/>
      </c>
      <c r="S431" s="3">
        <f>IF(M431&lt;&gt;"",M431/1.56,"")</f>
        <v/>
      </c>
      <c r="T431" s="3">
        <f>IF(N431&lt;&gt;"",N431,IF(O431&lt;&gt;"",O431,IF(L431&lt;&gt;"",L431/1.56,IF(M431&lt;&gt;"",M431/1.56,""))))</f>
        <v/>
      </c>
      <c r="U431" s="3" t="n">
        <v>154</v>
      </c>
      <c r="V431" s="3" t="n"/>
      <c r="W431" s="3" t="n"/>
      <c r="X431" s="4" t="n"/>
      <c r="Y431" s="5" t="n">
        <v>0.696</v>
      </c>
      <c r="Z431" s="4">
        <f>IF(L431&lt;&gt;"",SQRT(3)*G431*L431/1000,"")</f>
        <v/>
      </c>
      <c r="AA431" t="inlineStr">
        <is>
          <t>Source=Copeland 2D/3D/4D/4R/6D/8D/9R compressors (pdf) p11</t>
        </is>
      </c>
      <c r="AB431" t="inlineStr">
        <is>
          <t>Copeland_RLA_230_460_3ph_60Hz.xlsx</t>
        </is>
      </c>
      <c r="AC431" t="inlineStr">
        <is>
          <t>Recip_2D-9R</t>
        </is>
      </c>
    </row>
    <row r="432">
      <c r="A432" t="inlineStr">
        <is>
          <t>COPELAND</t>
        </is>
      </c>
      <c r="B432" t="inlineStr">
        <is>
          <t>4DE1-2000-TXK</t>
        </is>
      </c>
      <c r="D432" t="inlineStr">
        <is>
          <t>Reciprocating Semi-hermetic</t>
        </is>
      </c>
      <c r="E432" s="2" t="n">
        <v>3</v>
      </c>
      <c r="F432" s="2" t="n">
        <v>60</v>
      </c>
      <c r="G432" s="2" t="n">
        <v>230</v>
      </c>
      <c r="H432" t="inlineStr">
        <is>
          <t>208/230</t>
        </is>
      </c>
      <c r="I432" s="2" t="n">
        <v>208</v>
      </c>
      <c r="J432" s="2" t="n">
        <v>230</v>
      </c>
      <c r="L432" s="3" t="n"/>
      <c r="M432" s="3" t="n"/>
      <c r="N432" s="3" t="n"/>
      <c r="O432" s="3" t="n"/>
      <c r="P432" s="3">
        <f>IF(L432&lt;&gt;"",L432/1.4,"")</f>
        <v/>
      </c>
      <c r="Q432" s="3">
        <f>IF(L432&lt;&gt;"",L432/1.56,"")</f>
        <v/>
      </c>
      <c r="R432" s="3">
        <f>IF(M432&lt;&gt;"",M432/1.4,"")</f>
        <v/>
      </c>
      <c r="S432" s="3">
        <f>IF(M432&lt;&gt;"",M432/1.56,"")</f>
        <v/>
      </c>
      <c r="T432" s="3">
        <f>IF(N432&lt;&gt;"",N432,IF(O432&lt;&gt;"",O432,IF(L432&lt;&gt;"",L432/1.56,IF(M432&lt;&gt;"",M432/1.56,""))))</f>
        <v/>
      </c>
      <c r="U432" s="3" t="n">
        <v>308</v>
      </c>
      <c r="V432" s="3" t="n">
        <v>188</v>
      </c>
      <c r="W432" s="3" t="n"/>
      <c r="X432" s="4" t="n"/>
      <c r="Y432" s="5" t="n">
        <v>0.174</v>
      </c>
      <c r="Z432" s="4">
        <f>IF(L432&lt;&gt;"",SQRT(3)*G432*L432/1000,"")</f>
        <v/>
      </c>
      <c r="AA432" t="inlineStr">
        <is>
          <t>Source=Copeland 2D/3D/4D/4R/6D/8D/9R compressors (pdf) p11; PWS_RLA=35.0</t>
        </is>
      </c>
      <c r="AB432" t="inlineStr">
        <is>
          <t>Copeland_RLA_230_460_3ph_60Hz.xlsx</t>
        </is>
      </c>
      <c r="AC432" t="inlineStr">
        <is>
          <t>Recip_2D-9R</t>
        </is>
      </c>
    </row>
    <row r="433">
      <c r="A433" t="inlineStr">
        <is>
          <t>COPELAND</t>
        </is>
      </c>
      <c r="B433" t="inlineStr">
        <is>
          <t>4DE1-2000-TXK</t>
        </is>
      </c>
      <c r="D433" t="inlineStr">
        <is>
          <t>Reciprocating Semi-hermetic</t>
        </is>
      </c>
      <c r="E433" s="2" t="n">
        <v>3</v>
      </c>
      <c r="F433" s="2" t="n">
        <v>60</v>
      </c>
      <c r="G433" s="2" t="n">
        <v>460</v>
      </c>
      <c r="H433" t="inlineStr">
        <is>
          <t>460</t>
        </is>
      </c>
      <c r="I433" s="2" t="n">
        <v>460</v>
      </c>
      <c r="J433" s="2" t="n">
        <v>460</v>
      </c>
      <c r="L433" s="3" t="n"/>
      <c r="M433" s="3" t="n"/>
      <c r="N433" s="3" t="n"/>
      <c r="O433" s="3" t="n"/>
      <c r="P433" s="3">
        <f>IF(L433&lt;&gt;"",L433/1.4,"")</f>
        <v/>
      </c>
      <c r="Q433" s="3">
        <f>IF(L433&lt;&gt;"",L433/1.56,"")</f>
        <v/>
      </c>
      <c r="R433" s="3">
        <f>IF(M433&lt;&gt;"",M433/1.4,"")</f>
        <v/>
      </c>
      <c r="S433" s="3">
        <f>IF(M433&lt;&gt;"",M433/1.56,"")</f>
        <v/>
      </c>
      <c r="T433" s="3">
        <f>IF(N433&lt;&gt;"",N433,IF(O433&lt;&gt;"",O433,IF(L433&lt;&gt;"",L433/1.56,IF(M433&lt;&gt;"",M433/1.56,""))))</f>
        <v/>
      </c>
      <c r="U433" s="3" t="n">
        <v>154</v>
      </c>
      <c r="V433" s="3" t="n"/>
      <c r="W433" s="3" t="n"/>
      <c r="X433" s="4" t="n"/>
      <c r="Y433" s="5" t="n">
        <v>0.696</v>
      </c>
      <c r="Z433" s="4">
        <f>IF(L433&lt;&gt;"",SQRT(3)*G433*L433/1000,"")</f>
        <v/>
      </c>
      <c r="AA433" t="inlineStr">
        <is>
          <t>Source=Copeland 2D/3D/4D/4R/6D/8D/9R compressors (pdf) p11</t>
        </is>
      </c>
      <c r="AB433" t="inlineStr">
        <is>
          <t>Copeland_RLA_230_460_3ph_60Hz.xlsx</t>
        </is>
      </c>
      <c r="AC433" t="inlineStr">
        <is>
          <t>Recip_2D-9R</t>
        </is>
      </c>
    </row>
    <row r="434">
      <c r="A434" t="inlineStr">
        <is>
          <t>COPELAND</t>
        </is>
      </c>
      <c r="B434" t="inlineStr">
        <is>
          <t>4DE1A1000-TSK</t>
        </is>
      </c>
      <c r="D434" t="inlineStr">
        <is>
          <t>Reciprocating Semi-hermetic</t>
        </is>
      </c>
      <c r="E434" s="2" t="n">
        <v>3</v>
      </c>
      <c r="F434" s="2" t="n">
        <v>60</v>
      </c>
      <c r="G434" s="2" t="n">
        <v>230</v>
      </c>
      <c r="H434" t="inlineStr">
        <is>
          <t>208/230</t>
        </is>
      </c>
      <c r="I434" s="2" t="n">
        <v>208</v>
      </c>
      <c r="J434" s="2" t="n">
        <v>230</v>
      </c>
      <c r="L434" s="3" t="n"/>
      <c r="M434" s="3" t="n"/>
      <c r="N434" s="3" t="n">
        <v>53.6</v>
      </c>
      <c r="O434" s="3" t="n"/>
      <c r="P434" s="3">
        <f>IF(L434&lt;&gt;"",L434/1.4,"")</f>
        <v/>
      </c>
      <c r="Q434" s="3">
        <f>IF(L434&lt;&gt;"",L434/1.56,"")</f>
        <v/>
      </c>
      <c r="R434" s="3">
        <f>IF(M434&lt;&gt;"",M434/1.4,"")</f>
        <v/>
      </c>
      <c r="S434" s="3">
        <f>IF(M434&lt;&gt;"",M434/1.56,"")</f>
        <v/>
      </c>
      <c r="T434" s="3">
        <f>IF(N434&lt;&gt;"",N434,IF(O434&lt;&gt;"",O434,IF(L434&lt;&gt;"",L434/1.56,IF(M434&lt;&gt;"",M434/1.56,""))))</f>
        <v/>
      </c>
      <c r="U434" s="3" t="n">
        <v>240</v>
      </c>
      <c r="V434" s="3" t="n">
        <v>140</v>
      </c>
      <c r="W434" s="3" t="n"/>
      <c r="X434" s="4" t="n"/>
      <c r="Y434" s="5" t="n">
        <v>0.259</v>
      </c>
      <c r="Z434" s="4">
        <f>IF(L434&lt;&gt;"",SQRT(3)*G434*L434/1000,"")</f>
        <v/>
      </c>
      <c r="AA434" t="inlineStr">
        <is>
          <t>Source=Copeland 2D/3D/4D/4R/6D/8D/9R compressors (pdf) p11; PWS_RLA=26.8</t>
        </is>
      </c>
      <c r="AB434" t="inlineStr">
        <is>
          <t>Copeland_RLA_230_460_3ph_60Hz.xlsx</t>
        </is>
      </c>
      <c r="AC434" t="inlineStr">
        <is>
          <t>Recip_2D-9R</t>
        </is>
      </c>
    </row>
    <row r="435">
      <c r="A435" t="inlineStr">
        <is>
          <t>COPELAND</t>
        </is>
      </c>
      <c r="B435" t="inlineStr">
        <is>
          <t>4DE1A1000-TSK</t>
        </is>
      </c>
      <c r="D435" t="inlineStr">
        <is>
          <t>Reciprocating Semi-hermetic</t>
        </is>
      </c>
      <c r="E435" s="2" t="n">
        <v>3</v>
      </c>
      <c r="F435" s="2" t="n">
        <v>60</v>
      </c>
      <c r="G435" s="2" t="n">
        <v>460</v>
      </c>
      <c r="H435" t="inlineStr">
        <is>
          <t>460</t>
        </is>
      </c>
      <c r="I435" s="2" t="n">
        <v>460</v>
      </c>
      <c r="J435" s="2" t="n">
        <v>460</v>
      </c>
      <c r="L435" s="3" t="n"/>
      <c r="M435" s="3" t="n"/>
      <c r="N435" s="3" t="n">
        <v>26.8</v>
      </c>
      <c r="O435" s="3" t="n"/>
      <c r="P435" s="3">
        <f>IF(L435&lt;&gt;"",L435/1.4,"")</f>
        <v/>
      </c>
      <c r="Q435" s="3">
        <f>IF(L435&lt;&gt;"",L435/1.56,"")</f>
        <v/>
      </c>
      <c r="R435" s="3">
        <f>IF(M435&lt;&gt;"",M435/1.4,"")</f>
        <v/>
      </c>
      <c r="S435" s="3">
        <f>IF(M435&lt;&gt;"",M435/1.56,"")</f>
        <v/>
      </c>
      <c r="T435" s="3">
        <f>IF(N435&lt;&gt;"",N435,IF(O435&lt;&gt;"",O435,IF(L435&lt;&gt;"",L435/1.56,IF(M435&lt;&gt;"",M435/1.56,""))))</f>
        <v/>
      </c>
      <c r="U435" s="3" t="n">
        <v>120</v>
      </c>
      <c r="V435" s="3" t="n"/>
      <c r="W435" s="3" t="n"/>
      <c r="X435" s="4" t="n"/>
      <c r="Y435" s="5" t="n">
        <v>1.036</v>
      </c>
      <c r="Z435" s="4">
        <f>IF(L435&lt;&gt;"",SQRT(3)*G435*L435/1000,"")</f>
        <v/>
      </c>
      <c r="AA435" t="inlineStr">
        <is>
          <t>Source=Copeland 2D/3D/4D/4R/6D/8D/9R compressors (pdf) p11</t>
        </is>
      </c>
      <c r="AB435" t="inlineStr">
        <is>
          <t>Copeland_RLA_230_460_3ph_60Hz.xlsx</t>
        </is>
      </c>
      <c r="AC435" t="inlineStr">
        <is>
          <t>Recip_2D-9R</t>
        </is>
      </c>
    </row>
    <row r="436">
      <c r="A436" t="inlineStr">
        <is>
          <t>COPELAND</t>
        </is>
      </c>
      <c r="B436" t="inlineStr">
        <is>
          <t>4DE1A2000-FSD</t>
        </is>
      </c>
      <c r="D436" t="inlineStr">
        <is>
          <t>Reciprocating Semi-hermetic</t>
        </is>
      </c>
      <c r="E436" s="2" t="n">
        <v>3</v>
      </c>
      <c r="F436" s="2" t="n">
        <v>60</v>
      </c>
      <c r="G436" s="2" t="n">
        <v>460</v>
      </c>
      <c r="H436" t="inlineStr">
        <is>
          <t>460</t>
        </is>
      </c>
      <c r="I436" s="2" t="n">
        <v>460</v>
      </c>
      <c r="J436" s="2" t="n">
        <v>460</v>
      </c>
      <c r="L436" s="3" t="n"/>
      <c r="M436" s="3" t="n"/>
      <c r="N436" s="3" t="n">
        <v>32.1</v>
      </c>
      <c r="O436" s="3" t="n"/>
      <c r="P436" s="3">
        <f>IF(L436&lt;&gt;"",L436/1.4,"")</f>
        <v/>
      </c>
      <c r="Q436" s="3">
        <f>IF(L436&lt;&gt;"",L436/1.56,"")</f>
        <v/>
      </c>
      <c r="R436" s="3">
        <f>IF(M436&lt;&gt;"",M436/1.4,"")</f>
        <v/>
      </c>
      <c r="S436" s="3">
        <f>IF(M436&lt;&gt;"",M436/1.56,"")</f>
        <v/>
      </c>
      <c r="T436" s="3">
        <f>IF(N436&lt;&gt;"",N436,IF(O436&lt;&gt;"",O436,IF(L436&lt;&gt;"",L436/1.56,IF(M436&lt;&gt;"",M436/1.56,""))))</f>
        <v/>
      </c>
      <c r="U436" s="3" t="n">
        <v>140</v>
      </c>
      <c r="V436" s="3" t="n">
        <v>84</v>
      </c>
      <c r="W436" s="3" t="n"/>
      <c r="X436" s="4" t="n"/>
      <c r="Y436" s="5" t="n">
        <v>0.757</v>
      </c>
      <c r="Z436" s="4">
        <f>IF(L436&lt;&gt;"",SQRT(3)*G436*L436/1000,"")</f>
        <v/>
      </c>
      <c r="AA436" t="inlineStr">
        <is>
          <t>Source=Copeland 2D/3D/4D/4R/6D/8D/9R compressors (pdf) p11; PWS_RLA=16.1</t>
        </is>
      </c>
      <c r="AB436" t="inlineStr">
        <is>
          <t>Copeland_RLA_230_460_3ph_60Hz.xlsx</t>
        </is>
      </c>
      <c r="AC436" t="inlineStr">
        <is>
          <t>Recip_2D-9R</t>
        </is>
      </c>
    </row>
    <row r="437">
      <c r="A437" t="inlineStr">
        <is>
          <t>COPELAND</t>
        </is>
      </c>
      <c r="B437" t="inlineStr">
        <is>
          <t>4DE1A2000-TSK</t>
        </is>
      </c>
      <c r="D437" t="inlineStr">
        <is>
          <t>Reciprocating Semi-hermetic</t>
        </is>
      </c>
      <c r="E437" s="2" t="n">
        <v>3</v>
      </c>
      <c r="F437" s="2" t="n">
        <v>60</v>
      </c>
      <c r="G437" s="2" t="n">
        <v>230</v>
      </c>
      <c r="H437" t="inlineStr">
        <is>
          <t>208/230</t>
        </is>
      </c>
      <c r="I437" s="2" t="n">
        <v>208</v>
      </c>
      <c r="J437" s="2" t="n">
        <v>230</v>
      </c>
      <c r="L437" s="3" t="n"/>
      <c r="M437" s="3" t="n"/>
      <c r="N437" s="3" t="n">
        <v>70</v>
      </c>
      <c r="O437" s="3" t="n"/>
      <c r="P437" s="3">
        <f>IF(L437&lt;&gt;"",L437/1.4,"")</f>
        <v/>
      </c>
      <c r="Q437" s="3">
        <f>IF(L437&lt;&gt;"",L437/1.56,"")</f>
        <v/>
      </c>
      <c r="R437" s="3">
        <f>IF(M437&lt;&gt;"",M437/1.4,"")</f>
        <v/>
      </c>
      <c r="S437" s="3">
        <f>IF(M437&lt;&gt;"",M437/1.56,"")</f>
        <v/>
      </c>
      <c r="T437" s="3">
        <f>IF(N437&lt;&gt;"",N437,IF(O437&lt;&gt;"",O437,IF(L437&lt;&gt;"",L437/1.56,IF(M437&lt;&gt;"",M437/1.56,""))))</f>
        <v/>
      </c>
      <c r="U437" s="3" t="n">
        <v>308</v>
      </c>
      <c r="V437" s="3" t="n">
        <v>188</v>
      </c>
      <c r="W437" s="3" t="n"/>
      <c r="X437" s="4" t="n"/>
      <c r="Y437" s="5" t="n">
        <v>0.174</v>
      </c>
      <c r="Z437" s="4">
        <f>IF(L437&lt;&gt;"",SQRT(3)*G437*L437/1000,"")</f>
        <v/>
      </c>
      <c r="AA437" t="inlineStr">
        <is>
          <t>Source=Copeland 2D/3D/4D/4R/6D/8D/9R compressors (pdf) p11; PWS_RLA=35.0</t>
        </is>
      </c>
      <c r="AB437" t="inlineStr">
        <is>
          <t>Copeland_RLA_230_460_3ph_60Hz.xlsx</t>
        </is>
      </c>
      <c r="AC437" t="inlineStr">
        <is>
          <t>Recip_2D-9R</t>
        </is>
      </c>
    </row>
    <row r="438">
      <c r="A438" t="inlineStr">
        <is>
          <t>COPELAND</t>
        </is>
      </c>
      <c r="B438" t="inlineStr">
        <is>
          <t>4DE1A2000-TSK</t>
        </is>
      </c>
      <c r="D438" t="inlineStr">
        <is>
          <t>Reciprocating Semi-hermetic</t>
        </is>
      </c>
      <c r="E438" s="2" t="n">
        <v>3</v>
      </c>
      <c r="F438" s="2" t="n">
        <v>60</v>
      </c>
      <c r="G438" s="2" t="n">
        <v>460</v>
      </c>
      <c r="H438" t="inlineStr">
        <is>
          <t>460</t>
        </is>
      </c>
      <c r="I438" s="2" t="n">
        <v>460</v>
      </c>
      <c r="J438" s="2" t="n">
        <v>460</v>
      </c>
      <c r="L438" s="3" t="n"/>
      <c r="M438" s="3" t="n"/>
      <c r="N438" s="3" t="n">
        <v>35</v>
      </c>
      <c r="O438" s="3" t="n"/>
      <c r="P438" s="3">
        <f>IF(L438&lt;&gt;"",L438/1.4,"")</f>
        <v/>
      </c>
      <c r="Q438" s="3">
        <f>IF(L438&lt;&gt;"",L438/1.56,"")</f>
        <v/>
      </c>
      <c r="R438" s="3">
        <f>IF(M438&lt;&gt;"",M438/1.4,"")</f>
        <v/>
      </c>
      <c r="S438" s="3">
        <f>IF(M438&lt;&gt;"",M438/1.56,"")</f>
        <v/>
      </c>
      <c r="T438" s="3">
        <f>IF(N438&lt;&gt;"",N438,IF(O438&lt;&gt;"",O438,IF(L438&lt;&gt;"",L438/1.56,IF(M438&lt;&gt;"",M438/1.56,""))))</f>
        <v/>
      </c>
      <c r="U438" s="3" t="n">
        <v>154</v>
      </c>
      <c r="V438" s="3" t="n"/>
      <c r="W438" s="3" t="n"/>
      <c r="X438" s="4" t="n"/>
      <c r="Y438" s="5" t="n">
        <v>0.696</v>
      </c>
      <c r="Z438" s="4">
        <f>IF(L438&lt;&gt;"",SQRT(3)*G438*L438/1000,"")</f>
        <v/>
      </c>
      <c r="AA438" t="inlineStr">
        <is>
          <t>Source=Copeland 2D/3D/4D/4R/6D/8D/9R compressors (pdf) p11</t>
        </is>
      </c>
      <c r="AB438" t="inlineStr">
        <is>
          <t>Copeland_RLA_230_460_3ph_60Hz.xlsx</t>
        </is>
      </c>
      <c r="AC438" t="inlineStr">
        <is>
          <t>Recip_2D-9R</t>
        </is>
      </c>
    </row>
    <row r="439">
      <c r="A439" t="inlineStr">
        <is>
          <t>COPELAND</t>
        </is>
      </c>
      <c r="B439" t="inlineStr">
        <is>
          <t>4DE1A2000-TXK</t>
        </is>
      </c>
      <c r="D439" t="inlineStr">
        <is>
          <t>Reciprocating Semi-hermetic</t>
        </is>
      </c>
      <c r="E439" s="2" t="n">
        <v>3</v>
      </c>
      <c r="F439" s="2" t="n">
        <v>60</v>
      </c>
      <c r="G439" s="2" t="n">
        <v>230</v>
      </c>
      <c r="H439" t="inlineStr">
        <is>
          <t>208/230</t>
        </is>
      </c>
      <c r="I439" s="2" t="n">
        <v>208</v>
      </c>
      <c r="J439" s="2" t="n">
        <v>230</v>
      </c>
      <c r="L439" s="3" t="n"/>
      <c r="M439" s="3" t="n"/>
      <c r="N439" s="3" t="n"/>
      <c r="O439" s="3" t="n"/>
      <c r="P439" s="3">
        <f>IF(L439&lt;&gt;"",L439/1.4,"")</f>
        <v/>
      </c>
      <c r="Q439" s="3">
        <f>IF(L439&lt;&gt;"",L439/1.56,"")</f>
        <v/>
      </c>
      <c r="R439" s="3">
        <f>IF(M439&lt;&gt;"",M439/1.4,"")</f>
        <v/>
      </c>
      <c r="S439" s="3">
        <f>IF(M439&lt;&gt;"",M439/1.56,"")</f>
        <v/>
      </c>
      <c r="T439" s="3">
        <f>IF(N439&lt;&gt;"",N439,IF(O439&lt;&gt;"",O439,IF(L439&lt;&gt;"",L439/1.56,IF(M439&lt;&gt;"",M439/1.56,""))))</f>
        <v/>
      </c>
      <c r="U439" s="3" t="n">
        <v>308</v>
      </c>
      <c r="V439" s="3" t="n">
        <v>188</v>
      </c>
      <c r="W439" s="3" t="n"/>
      <c r="X439" s="4" t="n"/>
      <c r="Y439" s="5" t="n">
        <v>0.174</v>
      </c>
      <c r="Z439" s="4">
        <f>IF(L439&lt;&gt;"",SQRT(3)*G439*L439/1000,"")</f>
        <v/>
      </c>
      <c r="AA439" t="inlineStr">
        <is>
          <t>Source=Copeland 2D/3D/4D/4R/6D/8D/9R compressors (pdf) p11; PWS_RLA=35.0</t>
        </is>
      </c>
      <c r="AB439" t="inlineStr">
        <is>
          <t>Copeland_RLA_230_460_3ph_60Hz.xlsx</t>
        </is>
      </c>
      <c r="AC439" t="inlineStr">
        <is>
          <t>Recip_2D-9R</t>
        </is>
      </c>
    </row>
    <row r="440">
      <c r="A440" t="inlineStr">
        <is>
          <t>COPELAND</t>
        </is>
      </c>
      <c r="B440" t="inlineStr">
        <is>
          <t>4DE1A2000-TXK</t>
        </is>
      </c>
      <c r="D440" t="inlineStr">
        <is>
          <t>Reciprocating Semi-hermetic</t>
        </is>
      </c>
      <c r="E440" s="2" t="n">
        <v>3</v>
      </c>
      <c r="F440" s="2" t="n">
        <v>60</v>
      </c>
      <c r="G440" s="2" t="n">
        <v>460</v>
      </c>
      <c r="H440" t="inlineStr">
        <is>
          <t>460</t>
        </is>
      </c>
      <c r="I440" s="2" t="n">
        <v>460</v>
      </c>
      <c r="J440" s="2" t="n">
        <v>460</v>
      </c>
      <c r="L440" s="3" t="n"/>
      <c r="M440" s="3" t="n"/>
      <c r="N440" s="3" t="n"/>
      <c r="O440" s="3" t="n"/>
      <c r="P440" s="3">
        <f>IF(L440&lt;&gt;"",L440/1.4,"")</f>
        <v/>
      </c>
      <c r="Q440" s="3">
        <f>IF(L440&lt;&gt;"",L440/1.56,"")</f>
        <v/>
      </c>
      <c r="R440" s="3">
        <f>IF(M440&lt;&gt;"",M440/1.4,"")</f>
        <v/>
      </c>
      <c r="S440" s="3">
        <f>IF(M440&lt;&gt;"",M440/1.56,"")</f>
        <v/>
      </c>
      <c r="T440" s="3">
        <f>IF(N440&lt;&gt;"",N440,IF(O440&lt;&gt;"",O440,IF(L440&lt;&gt;"",L440/1.56,IF(M440&lt;&gt;"",M440/1.56,""))))</f>
        <v/>
      </c>
      <c r="U440" s="3" t="n">
        <v>154</v>
      </c>
      <c r="V440" s="3" t="n"/>
      <c r="W440" s="3" t="n"/>
      <c r="X440" s="4" t="n"/>
      <c r="Y440" s="5" t="n">
        <v>0.696</v>
      </c>
      <c r="Z440" s="4">
        <f>IF(L440&lt;&gt;"",SQRT(3)*G440*L440/1000,"")</f>
        <v/>
      </c>
      <c r="AA440" t="inlineStr">
        <is>
          <t>Source=Copeland 2D/3D/4D/4R/6D/8D/9R compressors (pdf) p11</t>
        </is>
      </c>
      <c r="AB440" t="inlineStr">
        <is>
          <t>Copeland_RLA_230_460_3ph_60Hz.xlsx</t>
        </is>
      </c>
      <c r="AC440" t="inlineStr">
        <is>
          <t>Recip_2D-9R</t>
        </is>
      </c>
    </row>
    <row r="441">
      <c r="A441" t="inlineStr">
        <is>
          <t>COPELAND</t>
        </is>
      </c>
      <c r="B441" t="inlineStr">
        <is>
          <t>4DE1R18M0-FSD</t>
        </is>
      </c>
      <c r="D441" t="inlineStr">
        <is>
          <t>Reciprocating Semi-hermetic</t>
        </is>
      </c>
      <c r="E441" s="2" t="n">
        <v>3</v>
      </c>
      <c r="F441" s="2" t="n">
        <v>60</v>
      </c>
      <c r="G441" s="2" t="n">
        <v>460</v>
      </c>
      <c r="H441" t="inlineStr">
        <is>
          <t>460</t>
        </is>
      </c>
      <c r="I441" s="2" t="n">
        <v>460</v>
      </c>
      <c r="J441" s="2" t="n">
        <v>460</v>
      </c>
      <c r="L441" s="3" t="n"/>
      <c r="M441" s="3" t="n"/>
      <c r="N441" s="3" t="n">
        <v>32.1</v>
      </c>
      <c r="O441" s="3" t="n"/>
      <c r="P441" s="3">
        <f>IF(L441&lt;&gt;"",L441/1.4,"")</f>
        <v/>
      </c>
      <c r="Q441" s="3">
        <f>IF(L441&lt;&gt;"",L441/1.56,"")</f>
        <v/>
      </c>
      <c r="R441" s="3">
        <f>IF(M441&lt;&gt;"",M441/1.4,"")</f>
        <v/>
      </c>
      <c r="S441" s="3">
        <f>IF(M441&lt;&gt;"",M441/1.56,"")</f>
        <v/>
      </c>
      <c r="T441" s="3">
        <f>IF(N441&lt;&gt;"",N441,IF(O441&lt;&gt;"",O441,IF(L441&lt;&gt;"",L441/1.56,IF(M441&lt;&gt;"",M441/1.56,""))))</f>
        <v/>
      </c>
      <c r="U441" s="3" t="n">
        <v>140</v>
      </c>
      <c r="V441" s="3" t="n">
        <v>84</v>
      </c>
      <c r="W441" s="3" t="n"/>
      <c r="X441" s="4" t="n"/>
      <c r="Y441" s="5" t="n">
        <v>0.757</v>
      </c>
      <c r="Z441" s="4">
        <f>IF(L441&lt;&gt;"",SQRT(3)*G441*L441/1000,"")</f>
        <v/>
      </c>
      <c r="AA441" t="inlineStr">
        <is>
          <t>Source=Copeland 2D/3D/4D/4R/6D/8D/9R compressors (pdf) p11; PWS_RLA=16.1</t>
        </is>
      </c>
      <c r="AB441" t="inlineStr">
        <is>
          <t>Copeland_RLA_230_460_3ph_60Hz.xlsx</t>
        </is>
      </c>
      <c r="AC441" t="inlineStr">
        <is>
          <t>Recip_2D-9R</t>
        </is>
      </c>
    </row>
    <row r="442">
      <c r="A442" t="inlineStr">
        <is>
          <t>COPELAND</t>
        </is>
      </c>
      <c r="B442" t="inlineStr">
        <is>
          <t>4DE1R18M0-TSK</t>
        </is>
      </c>
      <c r="D442" t="inlineStr">
        <is>
          <t>Reciprocating Semi-hermetic</t>
        </is>
      </c>
      <c r="E442" s="2" t="n">
        <v>3</v>
      </c>
      <c r="F442" s="2" t="n">
        <v>60</v>
      </c>
      <c r="G442" s="2" t="n">
        <v>230</v>
      </c>
      <c r="H442" t="inlineStr">
        <is>
          <t>208/230</t>
        </is>
      </c>
      <c r="I442" s="2" t="n">
        <v>208</v>
      </c>
      <c r="J442" s="2" t="n">
        <v>230</v>
      </c>
      <c r="L442" s="3" t="n"/>
      <c r="M442" s="3" t="n"/>
      <c r="N442" s="3" t="n">
        <v>70</v>
      </c>
      <c r="O442" s="3" t="n"/>
      <c r="P442" s="3">
        <f>IF(L442&lt;&gt;"",L442/1.4,"")</f>
        <v/>
      </c>
      <c r="Q442" s="3">
        <f>IF(L442&lt;&gt;"",L442/1.56,"")</f>
        <v/>
      </c>
      <c r="R442" s="3">
        <f>IF(M442&lt;&gt;"",M442/1.4,"")</f>
        <v/>
      </c>
      <c r="S442" s="3">
        <f>IF(M442&lt;&gt;"",M442/1.56,"")</f>
        <v/>
      </c>
      <c r="T442" s="3">
        <f>IF(N442&lt;&gt;"",N442,IF(O442&lt;&gt;"",O442,IF(L442&lt;&gt;"",L442/1.56,IF(M442&lt;&gt;"",M442/1.56,""))))</f>
        <v/>
      </c>
      <c r="U442" s="3" t="n">
        <v>308</v>
      </c>
      <c r="V442" s="3" t="n">
        <v>188</v>
      </c>
      <c r="W442" s="3" t="n"/>
      <c r="X442" s="4" t="n"/>
      <c r="Y442" s="5" t="n">
        <v>0.174</v>
      </c>
      <c r="Z442" s="4">
        <f>IF(L442&lt;&gt;"",SQRT(3)*G442*L442/1000,"")</f>
        <v/>
      </c>
      <c r="AA442" t="inlineStr">
        <is>
          <t>Source=Copeland 2D/3D/4D/4R/6D/8D/9R compressors (pdf) p11; PWS_RLA=35.0</t>
        </is>
      </c>
      <c r="AB442" t="inlineStr">
        <is>
          <t>Copeland_RLA_230_460_3ph_60Hz.xlsx</t>
        </is>
      </c>
      <c r="AC442" t="inlineStr">
        <is>
          <t>Recip_2D-9R</t>
        </is>
      </c>
    </row>
    <row r="443">
      <c r="A443" t="inlineStr">
        <is>
          <t>COPELAND</t>
        </is>
      </c>
      <c r="B443" t="inlineStr">
        <is>
          <t>4DE1R18M0-TSK</t>
        </is>
      </c>
      <c r="D443" t="inlineStr">
        <is>
          <t>Reciprocating Semi-hermetic</t>
        </is>
      </c>
      <c r="E443" s="2" t="n">
        <v>3</v>
      </c>
      <c r="F443" s="2" t="n">
        <v>60</v>
      </c>
      <c r="G443" s="2" t="n">
        <v>460</v>
      </c>
      <c r="H443" t="inlineStr">
        <is>
          <t>460</t>
        </is>
      </c>
      <c r="I443" s="2" t="n">
        <v>460</v>
      </c>
      <c r="J443" s="2" t="n">
        <v>460</v>
      </c>
      <c r="L443" s="3" t="n"/>
      <c r="M443" s="3" t="n"/>
      <c r="N443" s="3" t="n">
        <v>35</v>
      </c>
      <c r="O443" s="3" t="n"/>
      <c r="P443" s="3">
        <f>IF(L443&lt;&gt;"",L443/1.4,"")</f>
        <v/>
      </c>
      <c r="Q443" s="3">
        <f>IF(L443&lt;&gt;"",L443/1.56,"")</f>
        <v/>
      </c>
      <c r="R443" s="3">
        <f>IF(M443&lt;&gt;"",M443/1.4,"")</f>
        <v/>
      </c>
      <c r="S443" s="3">
        <f>IF(M443&lt;&gt;"",M443/1.56,"")</f>
        <v/>
      </c>
      <c r="T443" s="3">
        <f>IF(N443&lt;&gt;"",N443,IF(O443&lt;&gt;"",O443,IF(L443&lt;&gt;"",L443/1.56,IF(M443&lt;&gt;"",M443/1.56,""))))</f>
        <v/>
      </c>
      <c r="U443" s="3" t="n">
        <v>154</v>
      </c>
      <c r="V443" s="3" t="n"/>
      <c r="W443" s="3" t="n"/>
      <c r="X443" s="4" t="n"/>
      <c r="Y443" s="5" t="n">
        <v>0.696</v>
      </c>
      <c r="Z443" s="4">
        <f>IF(L443&lt;&gt;"",SQRT(3)*G443*L443/1000,"")</f>
        <v/>
      </c>
      <c r="AA443" t="inlineStr">
        <is>
          <t>Source=Copeland 2D/3D/4D/4R/6D/8D/9R compressors (pdf) p11</t>
        </is>
      </c>
      <c r="AB443" t="inlineStr">
        <is>
          <t>Copeland_RLA_230_460_3ph_60Hz.xlsx</t>
        </is>
      </c>
      <c r="AC443" t="inlineStr">
        <is>
          <t>Recip_2D-9R</t>
        </is>
      </c>
    </row>
    <row r="444">
      <c r="A444" t="inlineStr">
        <is>
          <t>COPELAND</t>
        </is>
      </c>
      <c r="B444" t="inlineStr">
        <is>
          <t>4DE2-2000-TSK</t>
        </is>
      </c>
      <c r="D444" t="inlineStr">
        <is>
          <t>Reciprocating Semi-hermetic</t>
        </is>
      </c>
      <c r="E444" s="2" t="n">
        <v>3</v>
      </c>
      <c r="F444" s="2" t="n">
        <v>60</v>
      </c>
      <c r="G444" s="2" t="n">
        <v>230</v>
      </c>
      <c r="H444" t="inlineStr">
        <is>
          <t>208/230</t>
        </is>
      </c>
      <c r="I444" s="2" t="n">
        <v>208</v>
      </c>
      <c r="J444" s="2" t="n">
        <v>230</v>
      </c>
      <c r="L444" s="3" t="n"/>
      <c r="M444" s="3" t="n"/>
      <c r="N444" s="3" t="n">
        <v>70</v>
      </c>
      <c r="O444" s="3" t="n"/>
      <c r="P444" s="3">
        <f>IF(L444&lt;&gt;"",L444/1.4,"")</f>
        <v/>
      </c>
      <c r="Q444" s="3">
        <f>IF(L444&lt;&gt;"",L444/1.56,"")</f>
        <v/>
      </c>
      <c r="R444" s="3">
        <f>IF(M444&lt;&gt;"",M444/1.4,"")</f>
        <v/>
      </c>
      <c r="S444" s="3">
        <f>IF(M444&lt;&gt;"",M444/1.56,"")</f>
        <v/>
      </c>
      <c r="T444" s="3">
        <f>IF(N444&lt;&gt;"",N444,IF(O444&lt;&gt;"",O444,IF(L444&lt;&gt;"",L444/1.56,IF(M444&lt;&gt;"",M444/1.56,""))))</f>
        <v/>
      </c>
      <c r="U444" s="3" t="n">
        <v>308</v>
      </c>
      <c r="V444" s="3" t="n">
        <v>188</v>
      </c>
      <c r="W444" s="3" t="n"/>
      <c r="X444" s="4" t="n"/>
      <c r="Y444" s="5" t="n">
        <v>0.174</v>
      </c>
      <c r="Z444" s="4">
        <f>IF(L444&lt;&gt;"",SQRT(3)*G444*L444/1000,"")</f>
        <v/>
      </c>
      <c r="AA444" t="inlineStr">
        <is>
          <t>Source=Copeland 2D/3D/4D/4R/6D/8D/9R compressors (pdf) p11; PWS_RLA=35.0</t>
        </is>
      </c>
      <c r="AB444" t="inlineStr">
        <is>
          <t>Copeland_RLA_230_460_3ph_60Hz.xlsx</t>
        </is>
      </c>
      <c r="AC444" t="inlineStr">
        <is>
          <t>Recip_2D-9R</t>
        </is>
      </c>
    </row>
    <row r="445">
      <c r="A445" t="inlineStr">
        <is>
          <t>COPELAND</t>
        </is>
      </c>
      <c r="B445" t="inlineStr">
        <is>
          <t>4DE2-2000-TSK</t>
        </is>
      </c>
      <c r="D445" t="inlineStr">
        <is>
          <t>Reciprocating Semi-hermetic</t>
        </is>
      </c>
      <c r="E445" s="2" t="n">
        <v>3</v>
      </c>
      <c r="F445" s="2" t="n">
        <v>60</v>
      </c>
      <c r="G445" s="2" t="n">
        <v>460</v>
      </c>
      <c r="H445" t="inlineStr">
        <is>
          <t>460</t>
        </is>
      </c>
      <c r="I445" s="2" t="n">
        <v>460</v>
      </c>
      <c r="J445" s="2" t="n">
        <v>460</v>
      </c>
      <c r="L445" s="3" t="n"/>
      <c r="M445" s="3" t="n"/>
      <c r="N445" s="3" t="n">
        <v>35</v>
      </c>
      <c r="O445" s="3" t="n"/>
      <c r="P445" s="3">
        <f>IF(L445&lt;&gt;"",L445/1.4,"")</f>
        <v/>
      </c>
      <c r="Q445" s="3">
        <f>IF(L445&lt;&gt;"",L445/1.56,"")</f>
        <v/>
      </c>
      <c r="R445" s="3">
        <f>IF(M445&lt;&gt;"",M445/1.4,"")</f>
        <v/>
      </c>
      <c r="S445" s="3">
        <f>IF(M445&lt;&gt;"",M445/1.56,"")</f>
        <v/>
      </c>
      <c r="T445" s="3">
        <f>IF(N445&lt;&gt;"",N445,IF(O445&lt;&gt;"",O445,IF(L445&lt;&gt;"",L445/1.56,IF(M445&lt;&gt;"",M445/1.56,""))))</f>
        <v/>
      </c>
      <c r="U445" s="3" t="n">
        <v>154</v>
      </c>
      <c r="V445" s="3" t="n"/>
      <c r="W445" s="3" t="n"/>
      <c r="X445" s="4" t="n"/>
      <c r="Y445" s="5" t="n">
        <v>0.696</v>
      </c>
      <c r="Z445" s="4">
        <f>IF(L445&lt;&gt;"",SQRT(3)*G445*L445/1000,"")</f>
        <v/>
      </c>
      <c r="AA445" t="inlineStr">
        <is>
          <t>Source=Copeland 2D/3D/4D/4R/6D/8D/9R compressors (pdf) p11</t>
        </is>
      </c>
      <c r="AB445" t="inlineStr">
        <is>
          <t>Copeland_RLA_230_460_3ph_60Hz.xlsx</t>
        </is>
      </c>
      <c r="AC445" t="inlineStr">
        <is>
          <t>Recip_2D-9R</t>
        </is>
      </c>
    </row>
    <row r="446">
      <c r="A446" t="inlineStr">
        <is>
          <t>COPELAND</t>
        </is>
      </c>
      <c r="B446" t="inlineStr">
        <is>
          <t>4DE3-1010-TSK</t>
        </is>
      </c>
      <c r="D446" t="inlineStr">
        <is>
          <t>Reciprocating Semi-hermetic</t>
        </is>
      </c>
      <c r="E446" s="2" t="n">
        <v>3</v>
      </c>
      <c r="F446" s="2" t="n">
        <v>60</v>
      </c>
      <c r="G446" s="2" t="n">
        <v>230</v>
      </c>
      <c r="H446" t="inlineStr">
        <is>
          <t>208/230</t>
        </is>
      </c>
      <c r="I446" s="2" t="n">
        <v>208</v>
      </c>
      <c r="J446" s="2" t="n">
        <v>230</v>
      </c>
      <c r="L446" s="3" t="n"/>
      <c r="M446" s="3" t="n"/>
      <c r="N446" s="3" t="n">
        <v>42</v>
      </c>
      <c r="O446" s="3" t="n"/>
      <c r="P446" s="3">
        <f>IF(L446&lt;&gt;"",L446/1.4,"")</f>
        <v/>
      </c>
      <c r="Q446" s="3">
        <f>IF(L446&lt;&gt;"",L446/1.56,"")</f>
        <v/>
      </c>
      <c r="R446" s="3">
        <f>IF(M446&lt;&gt;"",M446/1.4,"")</f>
        <v/>
      </c>
      <c r="S446" s="3">
        <f>IF(M446&lt;&gt;"",M446/1.56,"")</f>
        <v/>
      </c>
      <c r="T446" s="3">
        <f>IF(N446&lt;&gt;"",N446,IF(O446&lt;&gt;"",O446,IF(L446&lt;&gt;"",L446/1.56,IF(M446&lt;&gt;"",M446/1.56,""))))</f>
        <v/>
      </c>
      <c r="U446" s="3" t="n">
        <v>220</v>
      </c>
      <c r="V446" s="3" t="n">
        <v>134</v>
      </c>
      <c r="W446" s="3" t="n"/>
      <c r="X446" s="4" t="n"/>
      <c r="Y446" s="5" t="n">
        <v>0.244</v>
      </c>
      <c r="Z446" s="4">
        <f>IF(L446&lt;&gt;"",SQRT(3)*G446*L446/1000,"")</f>
        <v/>
      </c>
      <c r="AA446" t="inlineStr">
        <is>
          <t>Source=Copeland 2D/3D/4D/4R/6D/8D/9R compressors (pdf) p11; PWS_RLA=22.6</t>
        </is>
      </c>
      <c r="AB446" t="inlineStr">
        <is>
          <t>Copeland_RLA_230_460_3ph_60Hz.xlsx</t>
        </is>
      </c>
      <c r="AC446" t="inlineStr">
        <is>
          <t>Recip_2D-9R</t>
        </is>
      </c>
    </row>
    <row r="447">
      <c r="A447" t="inlineStr">
        <is>
          <t>COPELAND</t>
        </is>
      </c>
      <c r="B447" t="inlineStr">
        <is>
          <t>4DE3-1010-TSK</t>
        </is>
      </c>
      <c r="D447" t="inlineStr">
        <is>
          <t>Reciprocating Semi-hermetic</t>
        </is>
      </c>
      <c r="E447" s="2" t="n">
        <v>3</v>
      </c>
      <c r="F447" s="2" t="n">
        <v>60</v>
      </c>
      <c r="G447" s="2" t="n">
        <v>460</v>
      </c>
      <c r="H447" t="inlineStr">
        <is>
          <t>460</t>
        </is>
      </c>
      <c r="I447" s="2" t="n">
        <v>460</v>
      </c>
      <c r="J447" s="2" t="n">
        <v>460</v>
      </c>
      <c r="L447" s="3" t="n"/>
      <c r="M447" s="3" t="n"/>
      <c r="N447" s="3" t="n">
        <v>21</v>
      </c>
      <c r="O447" s="3" t="n"/>
      <c r="P447" s="3">
        <f>IF(L447&lt;&gt;"",L447/1.4,"")</f>
        <v/>
      </c>
      <c r="Q447" s="3">
        <f>IF(L447&lt;&gt;"",L447/1.56,"")</f>
        <v/>
      </c>
      <c r="R447" s="3">
        <f>IF(M447&lt;&gt;"",M447/1.4,"")</f>
        <v/>
      </c>
      <c r="S447" s="3">
        <f>IF(M447&lt;&gt;"",M447/1.56,"")</f>
        <v/>
      </c>
      <c r="T447" s="3">
        <f>IF(N447&lt;&gt;"",N447,IF(O447&lt;&gt;"",O447,IF(L447&lt;&gt;"",L447/1.56,IF(M447&lt;&gt;"",M447/1.56,""))))</f>
        <v/>
      </c>
      <c r="U447" s="3" t="n">
        <v>110</v>
      </c>
      <c r="V447" s="3" t="n"/>
      <c r="W447" s="3" t="n"/>
      <c r="X447" s="4" t="n"/>
      <c r="Y447" s="5" t="n">
        <v>0.976</v>
      </c>
      <c r="Z447" s="4">
        <f>IF(L447&lt;&gt;"",SQRT(3)*G447*L447/1000,"")</f>
        <v/>
      </c>
      <c r="AA447" t="inlineStr">
        <is>
          <t>Source=Copeland 2D/3D/4D/4R/6D/8D/9R compressors (pdf) p11</t>
        </is>
      </c>
      <c r="AB447" t="inlineStr">
        <is>
          <t>Copeland_RLA_230_460_3ph_60Hz.xlsx</t>
        </is>
      </c>
      <c r="AC447" t="inlineStr">
        <is>
          <t>Recip_2D-9R</t>
        </is>
      </c>
    </row>
    <row r="448">
      <c r="A448" t="inlineStr">
        <is>
          <t>COPELAND</t>
        </is>
      </c>
      <c r="B448" t="inlineStr">
        <is>
          <t>4DE3-101E-TSK</t>
        </is>
      </c>
      <c r="D448" t="inlineStr">
        <is>
          <t>Reciprocating Semi-hermetic</t>
        </is>
      </c>
      <c r="E448" s="2" t="n">
        <v>3</v>
      </c>
      <c r="F448" s="2" t="n">
        <v>60</v>
      </c>
      <c r="G448" s="2" t="n">
        <v>230</v>
      </c>
      <c r="H448" t="inlineStr">
        <is>
          <t>208/230</t>
        </is>
      </c>
      <c r="I448" s="2" t="n">
        <v>208</v>
      </c>
      <c r="J448" s="2" t="n">
        <v>230</v>
      </c>
      <c r="L448" s="3" t="n"/>
      <c r="M448" s="3" t="n"/>
      <c r="N448" s="3" t="n">
        <v>45.6</v>
      </c>
      <c r="O448" s="3" t="n"/>
      <c r="P448" s="3">
        <f>IF(L448&lt;&gt;"",L448/1.4,"")</f>
        <v/>
      </c>
      <c r="Q448" s="3">
        <f>IF(L448&lt;&gt;"",L448/1.56,"")</f>
        <v/>
      </c>
      <c r="R448" s="3">
        <f>IF(M448&lt;&gt;"",M448/1.4,"")</f>
        <v/>
      </c>
      <c r="S448" s="3">
        <f>IF(M448&lt;&gt;"",M448/1.56,"")</f>
        <v/>
      </c>
      <c r="T448" s="3">
        <f>IF(N448&lt;&gt;"",N448,IF(O448&lt;&gt;"",O448,IF(L448&lt;&gt;"",L448/1.56,IF(M448&lt;&gt;"",M448/1.56,""))))</f>
        <v/>
      </c>
      <c r="U448" s="3" t="n">
        <v>220</v>
      </c>
      <c r="V448" s="3" t="n">
        <v>134</v>
      </c>
      <c r="W448" s="3" t="n"/>
      <c r="X448" s="4" t="n"/>
      <c r="Y448" s="5" t="n">
        <v>0.244</v>
      </c>
      <c r="Z448" s="4">
        <f>IF(L448&lt;&gt;"",SQRT(3)*G448*L448/1000,"")</f>
        <v/>
      </c>
      <c r="AA448" t="inlineStr">
        <is>
          <t>Source=Copeland 2D/3D/4D/4R/6D/8D/9R compressors (pdf) p11; PWS_RLA=22.6</t>
        </is>
      </c>
      <c r="AB448" t="inlineStr">
        <is>
          <t>Copeland_RLA_230_460_3ph_60Hz.xlsx</t>
        </is>
      </c>
      <c r="AC448" t="inlineStr">
        <is>
          <t>Recip_2D-9R</t>
        </is>
      </c>
    </row>
    <row r="449">
      <c r="A449" t="inlineStr">
        <is>
          <t>COPELAND</t>
        </is>
      </c>
      <c r="B449" t="inlineStr">
        <is>
          <t>4DE3-101E-TSK</t>
        </is>
      </c>
      <c r="D449" t="inlineStr">
        <is>
          <t>Reciprocating Semi-hermetic</t>
        </is>
      </c>
      <c r="E449" s="2" t="n">
        <v>3</v>
      </c>
      <c r="F449" s="2" t="n">
        <v>60</v>
      </c>
      <c r="G449" s="2" t="n">
        <v>460</v>
      </c>
      <c r="H449" t="inlineStr">
        <is>
          <t>460</t>
        </is>
      </c>
      <c r="I449" s="2" t="n">
        <v>460</v>
      </c>
      <c r="J449" s="2" t="n">
        <v>460</v>
      </c>
      <c r="L449" s="3" t="n"/>
      <c r="M449" s="3" t="n"/>
      <c r="N449" s="3" t="n">
        <v>22.8</v>
      </c>
      <c r="O449" s="3" t="n"/>
      <c r="P449" s="3">
        <f>IF(L449&lt;&gt;"",L449/1.4,"")</f>
        <v/>
      </c>
      <c r="Q449" s="3">
        <f>IF(L449&lt;&gt;"",L449/1.56,"")</f>
        <v/>
      </c>
      <c r="R449" s="3">
        <f>IF(M449&lt;&gt;"",M449/1.4,"")</f>
        <v/>
      </c>
      <c r="S449" s="3">
        <f>IF(M449&lt;&gt;"",M449/1.56,"")</f>
        <v/>
      </c>
      <c r="T449" s="3">
        <f>IF(N449&lt;&gt;"",N449,IF(O449&lt;&gt;"",O449,IF(L449&lt;&gt;"",L449/1.56,IF(M449&lt;&gt;"",M449/1.56,""))))</f>
        <v/>
      </c>
      <c r="U449" s="3" t="n">
        <v>110</v>
      </c>
      <c r="V449" s="3" t="n"/>
      <c r="W449" s="3" t="n"/>
      <c r="X449" s="4" t="n"/>
      <c r="Y449" s="5" t="n">
        <v>0.976</v>
      </c>
      <c r="Z449" s="4">
        <f>IF(L449&lt;&gt;"",SQRT(3)*G449*L449/1000,"")</f>
        <v/>
      </c>
      <c r="AA449" t="inlineStr">
        <is>
          <t>Source=Copeland 2D/3D/4D/4R/6D/8D/9R compressors (pdf) p12</t>
        </is>
      </c>
      <c r="AB449" t="inlineStr">
        <is>
          <t>Copeland_RLA_230_460_3ph_60Hz.xlsx</t>
        </is>
      </c>
      <c r="AC449" t="inlineStr">
        <is>
          <t>Recip_2D-9R</t>
        </is>
      </c>
    </row>
    <row r="450">
      <c r="A450" t="inlineStr">
        <is>
          <t>COPELAND</t>
        </is>
      </c>
      <c r="B450" t="inlineStr">
        <is>
          <t>4DE3A100E-TSK</t>
        </is>
      </c>
      <c r="D450" t="inlineStr">
        <is>
          <t>Reciprocating Semi-hermetic</t>
        </is>
      </c>
      <c r="E450" s="2" t="n">
        <v>3</v>
      </c>
      <c r="F450" s="2" t="n">
        <v>60</v>
      </c>
      <c r="G450" s="2" t="n">
        <v>230</v>
      </c>
      <c r="H450" t="inlineStr">
        <is>
          <t>208/230</t>
        </is>
      </c>
      <c r="I450" s="2" t="n">
        <v>208</v>
      </c>
      <c r="J450" s="2" t="n">
        <v>230</v>
      </c>
      <c r="L450" s="3" t="n"/>
      <c r="M450" s="3" t="n"/>
      <c r="N450" s="3" t="n">
        <v>42</v>
      </c>
      <c r="O450" s="3" t="n"/>
      <c r="P450" s="3">
        <f>IF(L450&lt;&gt;"",L450/1.4,"")</f>
        <v/>
      </c>
      <c r="Q450" s="3">
        <f>IF(L450&lt;&gt;"",L450/1.56,"")</f>
        <v/>
      </c>
      <c r="R450" s="3">
        <f>IF(M450&lt;&gt;"",M450/1.4,"")</f>
        <v/>
      </c>
      <c r="S450" s="3">
        <f>IF(M450&lt;&gt;"",M450/1.56,"")</f>
        <v/>
      </c>
      <c r="T450" s="3">
        <f>IF(N450&lt;&gt;"",N450,IF(O450&lt;&gt;"",O450,IF(L450&lt;&gt;"",L450/1.56,IF(M450&lt;&gt;"",M450/1.56,""))))</f>
        <v/>
      </c>
      <c r="U450" s="3" t="n">
        <v>240</v>
      </c>
      <c r="V450" s="3" t="n">
        <v>140</v>
      </c>
      <c r="W450" s="3" t="n"/>
      <c r="X450" s="4" t="n"/>
      <c r="Y450" s="5" t="n">
        <v>0.259</v>
      </c>
      <c r="Z450" s="4">
        <f>IF(L450&lt;&gt;"",SQRT(3)*G450*L450/1000,"")</f>
        <v/>
      </c>
      <c r="AA450" t="inlineStr">
        <is>
          <t>Source=Copeland 2D/3D/4D/4R/6D/8D/9R compressors (pdf) p12; PWS_RLA=21.0</t>
        </is>
      </c>
      <c r="AB450" t="inlineStr">
        <is>
          <t>Copeland_RLA_230_460_3ph_60Hz.xlsx</t>
        </is>
      </c>
      <c r="AC450" t="inlineStr">
        <is>
          <t>Recip_2D-9R</t>
        </is>
      </c>
    </row>
    <row r="451">
      <c r="A451" t="inlineStr">
        <is>
          <t>COPELAND</t>
        </is>
      </c>
      <c r="B451" t="inlineStr">
        <is>
          <t>4DE3A100E-TSK</t>
        </is>
      </c>
      <c r="D451" t="inlineStr">
        <is>
          <t>Reciprocating Semi-hermetic</t>
        </is>
      </c>
      <c r="E451" s="2" t="n">
        <v>3</v>
      </c>
      <c r="F451" s="2" t="n">
        <v>60</v>
      </c>
      <c r="G451" s="2" t="n">
        <v>460</v>
      </c>
      <c r="H451" t="inlineStr">
        <is>
          <t>460</t>
        </is>
      </c>
      <c r="I451" s="2" t="n">
        <v>460</v>
      </c>
      <c r="J451" s="2" t="n">
        <v>460</v>
      </c>
      <c r="L451" s="3" t="n"/>
      <c r="M451" s="3" t="n"/>
      <c r="N451" s="3" t="n">
        <v>21</v>
      </c>
      <c r="O451" s="3" t="n"/>
      <c r="P451" s="3">
        <f>IF(L451&lt;&gt;"",L451/1.4,"")</f>
        <v/>
      </c>
      <c r="Q451" s="3">
        <f>IF(L451&lt;&gt;"",L451/1.56,"")</f>
        <v/>
      </c>
      <c r="R451" s="3">
        <f>IF(M451&lt;&gt;"",M451/1.4,"")</f>
        <v/>
      </c>
      <c r="S451" s="3">
        <f>IF(M451&lt;&gt;"",M451/1.56,"")</f>
        <v/>
      </c>
      <c r="T451" s="3">
        <f>IF(N451&lt;&gt;"",N451,IF(O451&lt;&gt;"",O451,IF(L451&lt;&gt;"",L451/1.56,IF(M451&lt;&gt;"",M451/1.56,""))))</f>
        <v/>
      </c>
      <c r="U451" s="3" t="n">
        <v>120</v>
      </c>
      <c r="V451" s="3" t="n"/>
      <c r="W451" s="3" t="n"/>
      <c r="X451" s="4" t="n"/>
      <c r="Y451" s="5" t="n">
        <v>1.036</v>
      </c>
      <c r="Z451" s="4">
        <f>IF(L451&lt;&gt;"",SQRT(3)*G451*L451/1000,"")</f>
        <v/>
      </c>
      <c r="AA451" t="inlineStr">
        <is>
          <t>Source=Copeland 2D/3D/4D/4R/6D/8D/9R compressors (pdf) p12</t>
        </is>
      </c>
      <c r="AB451" t="inlineStr">
        <is>
          <t>Copeland_RLA_230_460_3ph_60Hz.xlsx</t>
        </is>
      </c>
      <c r="AC451" t="inlineStr">
        <is>
          <t>Recip_2D-9R</t>
        </is>
      </c>
    </row>
    <row r="452">
      <c r="A452" t="inlineStr">
        <is>
          <t>COPELAND</t>
        </is>
      </c>
      <c r="B452" t="inlineStr">
        <is>
          <t>4DE3A100L-TSK</t>
        </is>
      </c>
      <c r="D452" t="inlineStr">
        <is>
          <t>Reciprocating Semi-hermetic</t>
        </is>
      </c>
      <c r="E452" s="2" t="n">
        <v>3</v>
      </c>
      <c r="F452" s="2" t="n">
        <v>60</v>
      </c>
      <c r="G452" s="2" t="n">
        <v>230</v>
      </c>
      <c r="H452" t="inlineStr">
        <is>
          <t>208/230</t>
        </is>
      </c>
      <c r="I452" s="2" t="n">
        <v>208</v>
      </c>
      <c r="J452" s="2" t="n">
        <v>230</v>
      </c>
      <c r="L452" s="3" t="n"/>
      <c r="M452" s="3" t="n"/>
      <c r="N452" s="3" t="n">
        <v>42</v>
      </c>
      <c r="O452" s="3" t="n"/>
      <c r="P452" s="3">
        <f>IF(L452&lt;&gt;"",L452/1.4,"")</f>
        <v/>
      </c>
      <c r="Q452" s="3">
        <f>IF(L452&lt;&gt;"",L452/1.56,"")</f>
        <v/>
      </c>
      <c r="R452" s="3">
        <f>IF(M452&lt;&gt;"",M452/1.4,"")</f>
        <v/>
      </c>
      <c r="S452" s="3">
        <f>IF(M452&lt;&gt;"",M452/1.56,"")</f>
        <v/>
      </c>
      <c r="T452" s="3">
        <f>IF(N452&lt;&gt;"",N452,IF(O452&lt;&gt;"",O452,IF(L452&lt;&gt;"",L452/1.56,IF(M452&lt;&gt;"",M452/1.56,""))))</f>
        <v/>
      </c>
      <c r="U452" s="3" t="n">
        <v>240</v>
      </c>
      <c r="V452" s="3" t="n">
        <v>140</v>
      </c>
      <c r="W452" s="3" t="n"/>
      <c r="X452" s="4" t="n"/>
      <c r="Y452" s="5" t="n">
        <v>0.259</v>
      </c>
      <c r="Z452" s="4">
        <f>IF(L452&lt;&gt;"",SQRT(3)*G452*L452/1000,"")</f>
        <v/>
      </c>
      <c r="AA452" t="inlineStr">
        <is>
          <t>Source=Copeland 2D/3D/4D/4R/6D/8D/9R compressors (pdf) p12; PWS_RLA=21.0</t>
        </is>
      </c>
      <c r="AB452" t="inlineStr">
        <is>
          <t>Copeland_RLA_230_460_3ph_60Hz.xlsx</t>
        </is>
      </c>
      <c r="AC452" t="inlineStr">
        <is>
          <t>Recip_2D-9R</t>
        </is>
      </c>
    </row>
    <row r="453">
      <c r="A453" t="inlineStr">
        <is>
          <t>COPELAND</t>
        </is>
      </c>
      <c r="B453" t="inlineStr">
        <is>
          <t>4DE3A100L-TSK</t>
        </is>
      </c>
      <c r="D453" t="inlineStr">
        <is>
          <t>Reciprocating Semi-hermetic</t>
        </is>
      </c>
      <c r="E453" s="2" t="n">
        <v>3</v>
      </c>
      <c r="F453" s="2" t="n">
        <v>60</v>
      </c>
      <c r="G453" s="2" t="n">
        <v>460</v>
      </c>
      <c r="H453" t="inlineStr">
        <is>
          <t>460</t>
        </is>
      </c>
      <c r="I453" s="2" t="n">
        <v>460</v>
      </c>
      <c r="J453" s="2" t="n">
        <v>460</v>
      </c>
      <c r="L453" s="3" t="n"/>
      <c r="M453" s="3" t="n"/>
      <c r="N453" s="3" t="n">
        <v>21</v>
      </c>
      <c r="O453" s="3" t="n"/>
      <c r="P453" s="3">
        <f>IF(L453&lt;&gt;"",L453/1.4,"")</f>
        <v/>
      </c>
      <c r="Q453" s="3">
        <f>IF(L453&lt;&gt;"",L453/1.56,"")</f>
        <v/>
      </c>
      <c r="R453" s="3">
        <f>IF(M453&lt;&gt;"",M453/1.4,"")</f>
        <v/>
      </c>
      <c r="S453" s="3">
        <f>IF(M453&lt;&gt;"",M453/1.56,"")</f>
        <v/>
      </c>
      <c r="T453" s="3">
        <f>IF(N453&lt;&gt;"",N453,IF(O453&lt;&gt;"",O453,IF(L453&lt;&gt;"",L453/1.56,IF(M453&lt;&gt;"",M453/1.56,""))))</f>
        <v/>
      </c>
      <c r="U453" s="3" t="n">
        <v>120</v>
      </c>
      <c r="V453" s="3" t="n"/>
      <c r="W453" s="3" t="n"/>
      <c r="X453" s="4" t="n"/>
      <c r="Y453" s="5" t="n">
        <v>1.036</v>
      </c>
      <c r="Z453" s="4">
        <f>IF(L453&lt;&gt;"",SQRT(3)*G453*L453/1000,"")</f>
        <v/>
      </c>
      <c r="AA453" t="inlineStr">
        <is>
          <t>Source=Copeland 2D/3D/4D/4R/6D/8D/9R compressors (pdf) p12</t>
        </is>
      </c>
      <c r="AB453" t="inlineStr">
        <is>
          <t>Copeland_RLA_230_460_3ph_60Hz.xlsx</t>
        </is>
      </c>
      <c r="AC453" t="inlineStr">
        <is>
          <t>Recip_2D-9R</t>
        </is>
      </c>
    </row>
    <row r="454">
      <c r="A454" t="inlineStr">
        <is>
          <t>COPELAND</t>
        </is>
      </c>
      <c r="B454" t="inlineStr">
        <is>
          <t>4DE3A1010-TSK</t>
        </is>
      </c>
      <c r="D454" t="inlineStr">
        <is>
          <t>Reciprocating Semi-hermetic</t>
        </is>
      </c>
      <c r="E454" s="2" t="n">
        <v>3</v>
      </c>
      <c r="F454" s="2" t="n">
        <v>60</v>
      </c>
      <c r="G454" s="2" t="n">
        <v>230</v>
      </c>
      <c r="H454" t="inlineStr">
        <is>
          <t>208/230</t>
        </is>
      </c>
      <c r="I454" s="2" t="n">
        <v>208</v>
      </c>
      <c r="J454" s="2" t="n">
        <v>230</v>
      </c>
      <c r="L454" s="3" t="n"/>
      <c r="M454" s="3" t="n"/>
      <c r="N454" s="3" t="n">
        <v>42</v>
      </c>
      <c r="O454" s="3" t="n"/>
      <c r="P454" s="3">
        <f>IF(L454&lt;&gt;"",L454/1.4,"")</f>
        <v/>
      </c>
      <c r="Q454" s="3">
        <f>IF(L454&lt;&gt;"",L454/1.56,"")</f>
        <v/>
      </c>
      <c r="R454" s="3">
        <f>IF(M454&lt;&gt;"",M454/1.4,"")</f>
        <v/>
      </c>
      <c r="S454" s="3">
        <f>IF(M454&lt;&gt;"",M454/1.56,"")</f>
        <v/>
      </c>
      <c r="T454" s="3">
        <f>IF(N454&lt;&gt;"",N454,IF(O454&lt;&gt;"",O454,IF(L454&lt;&gt;"",L454/1.56,IF(M454&lt;&gt;"",M454/1.56,""))))</f>
        <v/>
      </c>
      <c r="U454" s="3" t="n">
        <v>220</v>
      </c>
      <c r="V454" s="3" t="n">
        <v>134</v>
      </c>
      <c r="W454" s="3" t="n"/>
      <c r="X454" s="4" t="n"/>
      <c r="Y454" s="5" t="n">
        <v>0.244</v>
      </c>
      <c r="Z454" s="4">
        <f>IF(L454&lt;&gt;"",SQRT(3)*G454*L454/1000,"")</f>
        <v/>
      </c>
      <c r="AA454" t="inlineStr">
        <is>
          <t>Source=Copeland 2D/3D/4D/4R/6D/8D/9R compressors (pdf) p12; PWS_RLA=22.6</t>
        </is>
      </c>
      <c r="AB454" t="inlineStr">
        <is>
          <t>Copeland_RLA_230_460_3ph_60Hz.xlsx</t>
        </is>
      </c>
      <c r="AC454" t="inlineStr">
        <is>
          <t>Recip_2D-9R</t>
        </is>
      </c>
    </row>
    <row r="455">
      <c r="A455" t="inlineStr">
        <is>
          <t>COPELAND</t>
        </is>
      </c>
      <c r="B455" t="inlineStr">
        <is>
          <t>4DE3A1010-TSK</t>
        </is>
      </c>
      <c r="D455" t="inlineStr">
        <is>
          <t>Reciprocating Semi-hermetic</t>
        </is>
      </c>
      <c r="E455" s="2" t="n">
        <v>3</v>
      </c>
      <c r="F455" s="2" t="n">
        <v>60</v>
      </c>
      <c r="G455" s="2" t="n">
        <v>460</v>
      </c>
      <c r="H455" t="inlineStr">
        <is>
          <t>460</t>
        </is>
      </c>
      <c r="I455" s="2" t="n">
        <v>460</v>
      </c>
      <c r="J455" s="2" t="n">
        <v>460</v>
      </c>
      <c r="L455" s="3" t="n"/>
      <c r="M455" s="3" t="n"/>
      <c r="N455" s="3" t="n">
        <v>21</v>
      </c>
      <c r="O455" s="3" t="n"/>
      <c r="P455" s="3">
        <f>IF(L455&lt;&gt;"",L455/1.4,"")</f>
        <v/>
      </c>
      <c r="Q455" s="3">
        <f>IF(L455&lt;&gt;"",L455/1.56,"")</f>
        <v/>
      </c>
      <c r="R455" s="3">
        <f>IF(M455&lt;&gt;"",M455/1.4,"")</f>
        <v/>
      </c>
      <c r="S455" s="3">
        <f>IF(M455&lt;&gt;"",M455/1.56,"")</f>
        <v/>
      </c>
      <c r="T455" s="3">
        <f>IF(N455&lt;&gt;"",N455,IF(O455&lt;&gt;"",O455,IF(L455&lt;&gt;"",L455/1.56,IF(M455&lt;&gt;"",M455/1.56,""))))</f>
        <v/>
      </c>
      <c r="U455" s="3" t="n">
        <v>110</v>
      </c>
      <c r="V455" s="3" t="n"/>
      <c r="W455" s="3" t="n"/>
      <c r="X455" s="4" t="n"/>
      <c r="Y455" s="5" t="n">
        <v>0.976</v>
      </c>
      <c r="Z455" s="4">
        <f>IF(L455&lt;&gt;"",SQRT(3)*G455*L455/1000,"")</f>
        <v/>
      </c>
      <c r="AA455" t="inlineStr">
        <is>
          <t>Source=Copeland 2D/3D/4D/4R/6D/8D/9R compressors (pdf) p12</t>
        </is>
      </c>
      <c r="AB455" t="inlineStr">
        <is>
          <t>Copeland_RLA_230_460_3ph_60Hz.xlsx</t>
        </is>
      </c>
      <c r="AC455" t="inlineStr">
        <is>
          <t>Recip_2D-9R</t>
        </is>
      </c>
    </row>
    <row r="456">
      <c r="A456" t="inlineStr">
        <is>
          <t>COPELAND</t>
        </is>
      </c>
      <c r="B456" t="inlineStr">
        <is>
          <t>4DE3A101E-TSK</t>
        </is>
      </c>
      <c r="D456" t="inlineStr">
        <is>
          <t>Reciprocating Semi-hermetic</t>
        </is>
      </c>
      <c r="E456" s="2" t="n">
        <v>3</v>
      </c>
      <c r="F456" s="2" t="n">
        <v>60</v>
      </c>
      <c r="G456" s="2" t="n">
        <v>230</v>
      </c>
      <c r="H456" t="inlineStr">
        <is>
          <t>208/230</t>
        </is>
      </c>
      <c r="I456" s="2" t="n">
        <v>208</v>
      </c>
      <c r="J456" s="2" t="n">
        <v>230</v>
      </c>
      <c r="L456" s="3" t="n"/>
      <c r="M456" s="3" t="n"/>
      <c r="N456" s="3" t="n">
        <v>45.6</v>
      </c>
      <c r="O456" s="3" t="n"/>
      <c r="P456" s="3">
        <f>IF(L456&lt;&gt;"",L456/1.4,"")</f>
        <v/>
      </c>
      <c r="Q456" s="3">
        <f>IF(L456&lt;&gt;"",L456/1.56,"")</f>
        <v/>
      </c>
      <c r="R456" s="3">
        <f>IF(M456&lt;&gt;"",M456/1.4,"")</f>
        <v/>
      </c>
      <c r="S456" s="3">
        <f>IF(M456&lt;&gt;"",M456/1.56,"")</f>
        <v/>
      </c>
      <c r="T456" s="3">
        <f>IF(N456&lt;&gt;"",N456,IF(O456&lt;&gt;"",O456,IF(L456&lt;&gt;"",L456/1.56,IF(M456&lt;&gt;"",M456/1.56,""))))</f>
        <v/>
      </c>
      <c r="U456" s="3" t="n">
        <v>220</v>
      </c>
      <c r="V456" s="3" t="n">
        <v>134</v>
      </c>
      <c r="W456" s="3" t="n"/>
      <c r="X456" s="4" t="n"/>
      <c r="Y456" s="5" t="n">
        <v>0.244</v>
      </c>
      <c r="Z456" s="4">
        <f>IF(L456&lt;&gt;"",SQRT(3)*G456*L456/1000,"")</f>
        <v/>
      </c>
      <c r="AA456" t="inlineStr">
        <is>
          <t>Source=Copeland 2D/3D/4D/4R/6D/8D/9R compressors (pdf) p12; PWS_RLA=22.6</t>
        </is>
      </c>
      <c r="AB456" t="inlineStr">
        <is>
          <t>Copeland_RLA_230_460_3ph_60Hz.xlsx</t>
        </is>
      </c>
      <c r="AC456" t="inlineStr">
        <is>
          <t>Recip_2D-9R</t>
        </is>
      </c>
    </row>
    <row r="457">
      <c r="A457" t="inlineStr">
        <is>
          <t>COPELAND</t>
        </is>
      </c>
      <c r="B457" t="inlineStr">
        <is>
          <t>4DE3A101E-TSK</t>
        </is>
      </c>
      <c r="D457" t="inlineStr">
        <is>
          <t>Reciprocating Semi-hermetic</t>
        </is>
      </c>
      <c r="E457" s="2" t="n">
        <v>3</v>
      </c>
      <c r="F457" s="2" t="n">
        <v>60</v>
      </c>
      <c r="G457" s="2" t="n">
        <v>460</v>
      </c>
      <c r="H457" t="inlineStr">
        <is>
          <t>460</t>
        </is>
      </c>
      <c r="I457" s="2" t="n">
        <v>460</v>
      </c>
      <c r="J457" s="2" t="n">
        <v>460</v>
      </c>
      <c r="L457" s="3" t="n"/>
      <c r="M457" s="3" t="n"/>
      <c r="N457" s="3" t="n">
        <v>22.8</v>
      </c>
      <c r="O457" s="3" t="n"/>
      <c r="P457" s="3">
        <f>IF(L457&lt;&gt;"",L457/1.4,"")</f>
        <v/>
      </c>
      <c r="Q457" s="3">
        <f>IF(L457&lt;&gt;"",L457/1.56,"")</f>
        <v/>
      </c>
      <c r="R457" s="3">
        <f>IF(M457&lt;&gt;"",M457/1.4,"")</f>
        <v/>
      </c>
      <c r="S457" s="3">
        <f>IF(M457&lt;&gt;"",M457/1.56,"")</f>
        <v/>
      </c>
      <c r="T457" s="3">
        <f>IF(N457&lt;&gt;"",N457,IF(O457&lt;&gt;"",O457,IF(L457&lt;&gt;"",L457/1.56,IF(M457&lt;&gt;"",M457/1.56,""))))</f>
        <v/>
      </c>
      <c r="U457" s="3" t="n">
        <v>110</v>
      </c>
      <c r="V457" s="3" t="n"/>
      <c r="W457" s="3" t="n"/>
      <c r="X457" s="4" t="n"/>
      <c r="Y457" s="5" t="n">
        <v>0.976</v>
      </c>
      <c r="Z457" s="4">
        <f>IF(L457&lt;&gt;"",SQRT(3)*G457*L457/1000,"")</f>
        <v/>
      </c>
      <c r="AA457" t="inlineStr">
        <is>
          <t>Source=Copeland 2D/3D/4D/4R/6D/8D/9R compressors (pdf) p12</t>
        </is>
      </c>
      <c r="AB457" t="inlineStr">
        <is>
          <t>Copeland_RLA_230_460_3ph_60Hz.xlsx</t>
        </is>
      </c>
      <c r="AC457" t="inlineStr">
        <is>
          <t>Recip_2D-9R</t>
        </is>
      </c>
    </row>
    <row r="458">
      <c r="A458" t="inlineStr">
        <is>
          <t>COPELAND</t>
        </is>
      </c>
      <c r="B458" t="inlineStr">
        <is>
          <t>4DE3A2000-FSD</t>
        </is>
      </c>
      <c r="D458" t="inlineStr">
        <is>
          <t>Reciprocating Semi-hermetic</t>
        </is>
      </c>
      <c r="E458" s="2" t="n">
        <v>3</v>
      </c>
      <c r="F458" s="2" t="n">
        <v>60</v>
      </c>
      <c r="G458" s="2" t="n">
        <v>460</v>
      </c>
      <c r="H458" t="inlineStr">
        <is>
          <t>460</t>
        </is>
      </c>
      <c r="I458" s="2" t="n">
        <v>460</v>
      </c>
      <c r="J458" s="2" t="n">
        <v>460</v>
      </c>
      <c r="L458" s="3" t="n"/>
      <c r="M458" s="3" t="n"/>
      <c r="N458" s="3" t="n">
        <v>33.6</v>
      </c>
      <c r="O458" s="3" t="n"/>
      <c r="P458" s="3">
        <f>IF(L458&lt;&gt;"",L458/1.4,"")</f>
        <v/>
      </c>
      <c r="Q458" s="3">
        <f>IF(L458&lt;&gt;"",L458/1.56,"")</f>
        <v/>
      </c>
      <c r="R458" s="3">
        <f>IF(M458&lt;&gt;"",M458/1.4,"")</f>
        <v/>
      </c>
      <c r="S458" s="3">
        <f>IF(M458&lt;&gt;"",M458/1.56,"")</f>
        <v/>
      </c>
      <c r="T458" s="3">
        <f>IF(N458&lt;&gt;"",N458,IF(O458&lt;&gt;"",O458,IF(L458&lt;&gt;"",L458/1.56,IF(M458&lt;&gt;"",M458/1.56,""))))</f>
        <v/>
      </c>
      <c r="U458" s="3" t="n">
        <v>173</v>
      </c>
      <c r="V458" s="3" t="n">
        <v>104</v>
      </c>
      <c r="W458" s="3" t="n"/>
      <c r="X458" s="4" t="n"/>
      <c r="Y458" s="5" t="n">
        <v>0.603</v>
      </c>
      <c r="Z458" s="4">
        <f>IF(L458&lt;&gt;"",SQRT(3)*G458*L458/1000,"")</f>
        <v/>
      </c>
      <c r="AA458" t="inlineStr">
        <is>
          <t>Source=Copeland 2D/3D/4D/4R/6D/8D/9R compressors (pdf) p12; PWS_RLA=16.8</t>
        </is>
      </c>
      <c r="AB458" t="inlineStr">
        <is>
          <t>Copeland_RLA_230_460_3ph_60Hz.xlsx</t>
        </is>
      </c>
      <c r="AC458" t="inlineStr">
        <is>
          <t>Recip_2D-9R</t>
        </is>
      </c>
    </row>
    <row r="459">
      <c r="A459" t="inlineStr">
        <is>
          <t>COPELAND</t>
        </is>
      </c>
      <c r="B459" t="inlineStr">
        <is>
          <t>4DE3A2000-FXD</t>
        </is>
      </c>
      <c r="D459" t="inlineStr">
        <is>
          <t>Reciprocating Semi-hermetic</t>
        </is>
      </c>
      <c r="E459" s="2" t="n">
        <v>3</v>
      </c>
      <c r="F459" s="2" t="n">
        <v>60</v>
      </c>
      <c r="G459" s="2" t="n">
        <v>460</v>
      </c>
      <c r="H459" t="inlineStr">
        <is>
          <t>460</t>
        </is>
      </c>
      <c r="I459" s="2" t="n">
        <v>460</v>
      </c>
      <c r="J459" s="2" t="n">
        <v>460</v>
      </c>
      <c r="L459" s="3" t="n"/>
      <c r="M459" s="3" t="n"/>
      <c r="N459" s="3" t="n"/>
      <c r="O459" s="3" t="n"/>
      <c r="P459" s="3">
        <f>IF(L459&lt;&gt;"",L459/1.4,"")</f>
        <v/>
      </c>
      <c r="Q459" s="3">
        <f>IF(L459&lt;&gt;"",L459/1.56,"")</f>
        <v/>
      </c>
      <c r="R459" s="3">
        <f>IF(M459&lt;&gt;"",M459/1.4,"")</f>
        <v/>
      </c>
      <c r="S459" s="3">
        <f>IF(M459&lt;&gt;"",M459/1.56,"")</f>
        <v/>
      </c>
      <c r="T459" s="3">
        <f>IF(N459&lt;&gt;"",N459,IF(O459&lt;&gt;"",O459,IF(L459&lt;&gt;"",L459/1.56,IF(M459&lt;&gt;"",M459/1.56,""))))</f>
        <v/>
      </c>
      <c r="U459" s="3" t="n">
        <v>173</v>
      </c>
      <c r="V459" s="3" t="n">
        <v>104</v>
      </c>
      <c r="W459" s="3" t="n"/>
      <c r="X459" s="4" t="n"/>
      <c r="Y459" s="5" t="n">
        <v>0.603</v>
      </c>
      <c r="Z459" s="4">
        <f>IF(L459&lt;&gt;"",SQRT(3)*G459*L459/1000,"")</f>
        <v/>
      </c>
      <c r="AA459" t="inlineStr">
        <is>
          <t>Source=Copeland 2D/3D/4D/4R/6D/8D/9R compressors (pdf) p12</t>
        </is>
      </c>
      <c r="AB459" t="inlineStr">
        <is>
          <t>Copeland_RLA_230_460_3ph_60Hz.xlsx</t>
        </is>
      </c>
      <c r="AC459" t="inlineStr">
        <is>
          <t>Recip_2D-9R</t>
        </is>
      </c>
    </row>
    <row r="460">
      <c r="A460" t="inlineStr">
        <is>
          <t>COPELAND</t>
        </is>
      </c>
      <c r="B460" t="inlineStr">
        <is>
          <t>4DE3A2000-TSK</t>
        </is>
      </c>
      <c r="D460" t="inlineStr">
        <is>
          <t>Reciprocating Semi-hermetic</t>
        </is>
      </c>
      <c r="E460" s="2" t="n">
        <v>3</v>
      </c>
      <c r="F460" s="2" t="n">
        <v>60</v>
      </c>
      <c r="G460" s="2" t="n">
        <v>230</v>
      </c>
      <c r="H460" t="inlineStr">
        <is>
          <t>208/230</t>
        </is>
      </c>
      <c r="I460" s="2" t="n">
        <v>208</v>
      </c>
      <c r="J460" s="2" t="n">
        <v>230</v>
      </c>
      <c r="L460" s="3" t="n"/>
      <c r="M460" s="3" t="n"/>
      <c r="N460" s="3" t="n">
        <v>66.59999999999999</v>
      </c>
      <c r="O460" s="3" t="n"/>
      <c r="P460" s="3">
        <f>IF(L460&lt;&gt;"",L460/1.4,"")</f>
        <v/>
      </c>
      <c r="Q460" s="3">
        <f>IF(L460&lt;&gt;"",L460/1.56,"")</f>
        <v/>
      </c>
      <c r="R460" s="3">
        <f>IF(M460&lt;&gt;"",M460/1.4,"")</f>
        <v/>
      </c>
      <c r="S460" s="3">
        <f>IF(M460&lt;&gt;"",M460/1.56,"")</f>
        <v/>
      </c>
      <c r="T460" s="3">
        <f>IF(N460&lt;&gt;"",N460,IF(O460&lt;&gt;"",O460,IF(L460&lt;&gt;"",L460/1.56,IF(M460&lt;&gt;"",M460/1.56,""))))</f>
        <v/>
      </c>
      <c r="U460" s="3" t="n">
        <v>308</v>
      </c>
      <c r="V460" s="3" t="n">
        <v>188</v>
      </c>
      <c r="W460" s="3" t="n"/>
      <c r="X460" s="4" t="n"/>
      <c r="Y460" s="5" t="n">
        <v>0.174</v>
      </c>
      <c r="Z460" s="4">
        <f>IF(L460&lt;&gt;"",SQRT(3)*G460*L460/1000,"")</f>
        <v/>
      </c>
      <c r="AA460" t="inlineStr">
        <is>
          <t>Source=Copeland 2D/3D/4D/4R/6D/8D/9R compressors (pdf) p12; PWS_RLA=33.0</t>
        </is>
      </c>
      <c r="AB460" t="inlineStr">
        <is>
          <t>Copeland_RLA_230_460_3ph_60Hz.xlsx</t>
        </is>
      </c>
      <c r="AC460" t="inlineStr">
        <is>
          <t>Recip_2D-9R</t>
        </is>
      </c>
    </row>
    <row r="461">
      <c r="A461" t="inlineStr">
        <is>
          <t>COPELAND</t>
        </is>
      </c>
      <c r="B461" t="inlineStr">
        <is>
          <t>4DE3A2000-TSK</t>
        </is>
      </c>
      <c r="D461" t="inlineStr">
        <is>
          <t>Reciprocating Semi-hermetic</t>
        </is>
      </c>
      <c r="E461" s="2" t="n">
        <v>3</v>
      </c>
      <c r="F461" s="2" t="n">
        <v>60</v>
      </c>
      <c r="G461" s="2" t="n">
        <v>460</v>
      </c>
      <c r="H461" t="inlineStr">
        <is>
          <t>460</t>
        </is>
      </c>
      <c r="I461" s="2" t="n">
        <v>460</v>
      </c>
      <c r="J461" s="2" t="n">
        <v>460</v>
      </c>
      <c r="L461" s="3" t="n"/>
      <c r="M461" s="3" t="n"/>
      <c r="N461" s="3" t="n">
        <v>33.3</v>
      </c>
      <c r="O461" s="3" t="n"/>
      <c r="P461" s="3">
        <f>IF(L461&lt;&gt;"",L461/1.4,"")</f>
        <v/>
      </c>
      <c r="Q461" s="3">
        <f>IF(L461&lt;&gt;"",L461/1.56,"")</f>
        <v/>
      </c>
      <c r="R461" s="3">
        <f>IF(M461&lt;&gt;"",M461/1.4,"")</f>
        <v/>
      </c>
      <c r="S461" s="3">
        <f>IF(M461&lt;&gt;"",M461/1.56,"")</f>
        <v/>
      </c>
      <c r="T461" s="3">
        <f>IF(N461&lt;&gt;"",N461,IF(O461&lt;&gt;"",O461,IF(L461&lt;&gt;"",L461/1.56,IF(M461&lt;&gt;"",M461/1.56,""))))</f>
        <v/>
      </c>
      <c r="U461" s="3" t="n">
        <v>154</v>
      </c>
      <c r="V461" s="3" t="n"/>
      <c r="W461" s="3" t="n"/>
      <c r="X461" s="4" t="n"/>
      <c r="Y461" s="5" t="n">
        <v>0.696</v>
      </c>
      <c r="Z461" s="4">
        <f>IF(L461&lt;&gt;"",SQRT(3)*G461*L461/1000,"")</f>
        <v/>
      </c>
      <c r="AA461" t="inlineStr">
        <is>
          <t>Source=Copeland 2D/3D/4D/4R/6D/8D/9R compressors (pdf) p12</t>
        </is>
      </c>
      <c r="AB461" t="inlineStr">
        <is>
          <t>Copeland_RLA_230_460_3ph_60Hz.xlsx</t>
        </is>
      </c>
      <c r="AC461" t="inlineStr">
        <is>
          <t>Recip_2D-9R</t>
        </is>
      </c>
    </row>
    <row r="462">
      <c r="A462" t="inlineStr">
        <is>
          <t>COPELAND</t>
        </is>
      </c>
      <c r="B462" t="inlineStr">
        <is>
          <t>4DE3A2000-TXK</t>
        </is>
      </c>
      <c r="D462" t="inlineStr">
        <is>
          <t>Reciprocating Semi-hermetic</t>
        </is>
      </c>
      <c r="E462" s="2" t="n">
        <v>3</v>
      </c>
      <c r="F462" s="2" t="n">
        <v>60</v>
      </c>
      <c r="G462" s="2" t="n">
        <v>230</v>
      </c>
      <c r="H462" t="inlineStr">
        <is>
          <t>208/230</t>
        </is>
      </c>
      <c r="I462" s="2" t="n">
        <v>208</v>
      </c>
      <c r="J462" s="2" t="n">
        <v>230</v>
      </c>
      <c r="L462" s="3" t="n"/>
      <c r="M462" s="3" t="n"/>
      <c r="N462" s="3" t="n"/>
      <c r="O462" s="3" t="n"/>
      <c r="P462" s="3">
        <f>IF(L462&lt;&gt;"",L462/1.4,"")</f>
        <v/>
      </c>
      <c r="Q462" s="3">
        <f>IF(L462&lt;&gt;"",L462/1.56,"")</f>
        <v/>
      </c>
      <c r="R462" s="3">
        <f>IF(M462&lt;&gt;"",M462/1.4,"")</f>
        <v/>
      </c>
      <c r="S462" s="3">
        <f>IF(M462&lt;&gt;"",M462/1.56,"")</f>
        <v/>
      </c>
      <c r="T462" s="3">
        <f>IF(N462&lt;&gt;"",N462,IF(O462&lt;&gt;"",O462,IF(L462&lt;&gt;"",L462/1.56,IF(M462&lt;&gt;"",M462/1.56,""))))</f>
        <v/>
      </c>
      <c r="U462" s="3" t="n">
        <v>308</v>
      </c>
      <c r="V462" s="3" t="n">
        <v>188</v>
      </c>
      <c r="W462" s="3" t="n"/>
      <c r="X462" s="4" t="n"/>
      <c r="Y462" s="5" t="n">
        <v>0.174</v>
      </c>
      <c r="Z462" s="4">
        <f>IF(L462&lt;&gt;"",SQRT(3)*G462*L462/1000,"")</f>
        <v/>
      </c>
      <c r="AA462" t="inlineStr">
        <is>
          <t>Source=Copeland 2D/3D/4D/4R/6D/8D/9R compressors (pdf) p12; PWS_RLA=33.0</t>
        </is>
      </c>
      <c r="AB462" t="inlineStr">
        <is>
          <t>Copeland_RLA_230_460_3ph_60Hz.xlsx</t>
        </is>
      </c>
      <c r="AC462" t="inlineStr">
        <is>
          <t>Recip_2D-9R</t>
        </is>
      </c>
    </row>
    <row r="463">
      <c r="A463" t="inlineStr">
        <is>
          <t>COPELAND</t>
        </is>
      </c>
      <c r="B463" t="inlineStr">
        <is>
          <t>4DE3A2000-TXK</t>
        </is>
      </c>
      <c r="D463" t="inlineStr">
        <is>
          <t>Reciprocating Semi-hermetic</t>
        </is>
      </c>
      <c r="E463" s="2" t="n">
        <v>3</v>
      </c>
      <c r="F463" s="2" t="n">
        <v>60</v>
      </c>
      <c r="G463" s="2" t="n">
        <v>460</v>
      </c>
      <c r="H463" t="inlineStr">
        <is>
          <t>460</t>
        </is>
      </c>
      <c r="I463" s="2" t="n">
        <v>460</v>
      </c>
      <c r="J463" s="2" t="n">
        <v>460</v>
      </c>
      <c r="L463" s="3" t="n"/>
      <c r="M463" s="3" t="n"/>
      <c r="N463" s="3" t="n"/>
      <c r="O463" s="3" t="n"/>
      <c r="P463" s="3">
        <f>IF(L463&lt;&gt;"",L463/1.4,"")</f>
        <v/>
      </c>
      <c r="Q463" s="3">
        <f>IF(L463&lt;&gt;"",L463/1.56,"")</f>
        <v/>
      </c>
      <c r="R463" s="3">
        <f>IF(M463&lt;&gt;"",M463/1.4,"")</f>
        <v/>
      </c>
      <c r="S463" s="3">
        <f>IF(M463&lt;&gt;"",M463/1.56,"")</f>
        <v/>
      </c>
      <c r="T463" s="3">
        <f>IF(N463&lt;&gt;"",N463,IF(O463&lt;&gt;"",O463,IF(L463&lt;&gt;"",L463/1.56,IF(M463&lt;&gt;"",M463/1.56,""))))</f>
        <v/>
      </c>
      <c r="U463" s="3" t="n">
        <v>154</v>
      </c>
      <c r="V463" s="3" t="n"/>
      <c r="W463" s="3" t="n"/>
      <c r="X463" s="4" t="n"/>
      <c r="Y463" s="5" t="n">
        <v>0.696</v>
      </c>
      <c r="Z463" s="4">
        <f>IF(L463&lt;&gt;"",SQRT(3)*G463*L463/1000,"")</f>
        <v/>
      </c>
      <c r="AA463" t="inlineStr">
        <is>
          <t>Source=Copeland 2D/3D/4D/4R/6D/8D/9R compressors (pdf) p12</t>
        </is>
      </c>
      <c r="AB463" t="inlineStr">
        <is>
          <t>Copeland_RLA_230_460_3ph_60Hz.xlsx</t>
        </is>
      </c>
      <c r="AC463" t="inlineStr">
        <is>
          <t>Recip_2D-9R</t>
        </is>
      </c>
    </row>
    <row r="464">
      <c r="A464" t="inlineStr">
        <is>
          <t>COPELAND</t>
        </is>
      </c>
      <c r="B464" t="inlineStr">
        <is>
          <t>4DE3A200E-FSD</t>
        </is>
      </c>
      <c r="D464" t="inlineStr">
        <is>
          <t>Reciprocating Semi-hermetic</t>
        </is>
      </c>
      <c r="E464" s="2" t="n">
        <v>3</v>
      </c>
      <c r="F464" s="2" t="n">
        <v>60</v>
      </c>
      <c r="G464" s="2" t="n">
        <v>460</v>
      </c>
      <c r="H464" t="inlineStr">
        <is>
          <t>460</t>
        </is>
      </c>
      <c r="I464" s="2" t="n">
        <v>460</v>
      </c>
      <c r="J464" s="2" t="n">
        <v>460</v>
      </c>
      <c r="L464" s="3" t="n"/>
      <c r="M464" s="3" t="n"/>
      <c r="N464" s="3" t="n">
        <v>33.6</v>
      </c>
      <c r="O464" s="3" t="n"/>
      <c r="P464" s="3">
        <f>IF(L464&lt;&gt;"",L464/1.4,"")</f>
        <v/>
      </c>
      <c r="Q464" s="3">
        <f>IF(L464&lt;&gt;"",L464/1.56,"")</f>
        <v/>
      </c>
      <c r="R464" s="3">
        <f>IF(M464&lt;&gt;"",M464/1.4,"")</f>
        <v/>
      </c>
      <c r="S464" s="3">
        <f>IF(M464&lt;&gt;"",M464/1.56,"")</f>
        <v/>
      </c>
      <c r="T464" s="3">
        <f>IF(N464&lt;&gt;"",N464,IF(O464&lt;&gt;"",O464,IF(L464&lt;&gt;"",L464/1.56,IF(M464&lt;&gt;"",M464/1.56,""))))</f>
        <v/>
      </c>
      <c r="U464" s="3" t="n">
        <v>173</v>
      </c>
      <c r="V464" s="3" t="n">
        <v>104</v>
      </c>
      <c r="W464" s="3" t="n"/>
      <c r="X464" s="4" t="n"/>
      <c r="Y464" s="5" t="n">
        <v>0.603</v>
      </c>
      <c r="Z464" s="4">
        <f>IF(L464&lt;&gt;"",SQRT(3)*G464*L464/1000,"")</f>
        <v/>
      </c>
      <c r="AA464" t="inlineStr">
        <is>
          <t>Source=Copeland 2D/3D/4D/4R/6D/8D/9R compressors (pdf) p12; PWS_RLA=16.8</t>
        </is>
      </c>
      <c r="AB464" t="inlineStr">
        <is>
          <t>Copeland_RLA_230_460_3ph_60Hz.xlsx</t>
        </is>
      </c>
      <c r="AC464" t="inlineStr">
        <is>
          <t>Recip_2D-9R</t>
        </is>
      </c>
    </row>
    <row r="465">
      <c r="A465" t="inlineStr">
        <is>
          <t>COPELAND</t>
        </is>
      </c>
      <c r="B465" t="inlineStr">
        <is>
          <t>4DE3A200E-TSK</t>
        </is>
      </c>
      <c r="D465" t="inlineStr">
        <is>
          <t>Reciprocating Semi-hermetic</t>
        </is>
      </c>
      <c r="E465" s="2" t="n">
        <v>3</v>
      </c>
      <c r="F465" s="2" t="n">
        <v>60</v>
      </c>
      <c r="G465" s="2" t="n">
        <v>230</v>
      </c>
      <c r="H465" t="inlineStr">
        <is>
          <t>208/230</t>
        </is>
      </c>
      <c r="I465" s="2" t="n">
        <v>208</v>
      </c>
      <c r="J465" s="2" t="n">
        <v>230</v>
      </c>
      <c r="L465" s="3" t="n"/>
      <c r="M465" s="3" t="n"/>
      <c r="N465" s="3" t="n">
        <v>82.90000000000001</v>
      </c>
      <c r="O465" s="3" t="n"/>
      <c r="P465" s="3">
        <f>IF(L465&lt;&gt;"",L465/1.4,"")</f>
        <v/>
      </c>
      <c r="Q465" s="3">
        <f>IF(L465&lt;&gt;"",L465/1.56,"")</f>
        <v/>
      </c>
      <c r="R465" s="3">
        <f>IF(M465&lt;&gt;"",M465/1.4,"")</f>
        <v/>
      </c>
      <c r="S465" s="3">
        <f>IF(M465&lt;&gt;"",M465/1.56,"")</f>
        <v/>
      </c>
      <c r="T465" s="3">
        <f>IF(N465&lt;&gt;"",N465,IF(O465&lt;&gt;"",O465,IF(L465&lt;&gt;"",L465/1.56,IF(M465&lt;&gt;"",M465/1.56,""))))</f>
        <v/>
      </c>
      <c r="U465" s="3" t="n">
        <v>308</v>
      </c>
      <c r="V465" s="3" t="n">
        <v>188</v>
      </c>
      <c r="W465" s="3" t="n"/>
      <c r="X465" s="4" t="n"/>
      <c r="Y465" s="5" t="n">
        <v>0.174</v>
      </c>
      <c r="Z465" s="4">
        <f>IF(L465&lt;&gt;"",SQRT(3)*G465*L465/1000,"")</f>
        <v/>
      </c>
      <c r="AA465" t="inlineStr">
        <is>
          <t>Source=Copeland 2D/3D/4D/4R/6D/8D/9R compressors (pdf) p12; PWS_RLA=33.0</t>
        </is>
      </c>
      <c r="AB465" t="inlineStr">
        <is>
          <t>Copeland_RLA_230_460_3ph_60Hz.xlsx</t>
        </is>
      </c>
      <c r="AC465" t="inlineStr">
        <is>
          <t>Recip_2D-9R</t>
        </is>
      </c>
    </row>
    <row r="466">
      <c r="A466" t="inlineStr">
        <is>
          <t>COPELAND</t>
        </is>
      </c>
      <c r="B466" t="inlineStr">
        <is>
          <t>4DE3A200E-TSK</t>
        </is>
      </c>
      <c r="D466" t="inlineStr">
        <is>
          <t>Reciprocating Semi-hermetic</t>
        </is>
      </c>
      <c r="E466" s="2" t="n">
        <v>3</v>
      </c>
      <c r="F466" s="2" t="n">
        <v>60</v>
      </c>
      <c r="G466" s="2" t="n">
        <v>460</v>
      </c>
      <c r="H466" t="inlineStr">
        <is>
          <t>460</t>
        </is>
      </c>
      <c r="I466" s="2" t="n">
        <v>460</v>
      </c>
      <c r="J466" s="2" t="n">
        <v>460</v>
      </c>
      <c r="L466" s="3" t="n"/>
      <c r="M466" s="3" t="n"/>
      <c r="N466" s="3" t="n">
        <v>41.4</v>
      </c>
      <c r="O466" s="3" t="n"/>
      <c r="P466" s="3">
        <f>IF(L466&lt;&gt;"",L466/1.4,"")</f>
        <v/>
      </c>
      <c r="Q466" s="3">
        <f>IF(L466&lt;&gt;"",L466/1.56,"")</f>
        <v/>
      </c>
      <c r="R466" s="3">
        <f>IF(M466&lt;&gt;"",M466/1.4,"")</f>
        <v/>
      </c>
      <c r="S466" s="3">
        <f>IF(M466&lt;&gt;"",M466/1.56,"")</f>
        <v/>
      </c>
      <c r="T466" s="3">
        <f>IF(N466&lt;&gt;"",N466,IF(O466&lt;&gt;"",O466,IF(L466&lt;&gt;"",L466/1.56,IF(M466&lt;&gt;"",M466/1.56,""))))</f>
        <v/>
      </c>
      <c r="U466" s="3" t="n">
        <v>154</v>
      </c>
      <c r="V466" s="3" t="n"/>
      <c r="W466" s="3" t="n"/>
      <c r="X466" s="4" t="n"/>
      <c r="Y466" s="5" t="n">
        <v>0.696</v>
      </c>
      <c r="Z466" s="4">
        <f>IF(L466&lt;&gt;"",SQRT(3)*G466*L466/1000,"")</f>
        <v/>
      </c>
      <c r="AA466" t="inlineStr">
        <is>
          <t>Source=Copeland 2D/3D/4D/4R/6D/8D/9R compressors (pdf) p12</t>
        </is>
      </c>
      <c r="AB466" t="inlineStr">
        <is>
          <t>Copeland_RLA_230_460_3ph_60Hz.xlsx</t>
        </is>
      </c>
      <c r="AC466" t="inlineStr">
        <is>
          <t>Recip_2D-9R</t>
        </is>
      </c>
    </row>
    <row r="467">
      <c r="A467" t="inlineStr">
        <is>
          <t>COPELAND</t>
        </is>
      </c>
      <c r="B467" t="inlineStr">
        <is>
          <t>4DE3A200L-FSD</t>
        </is>
      </c>
      <c r="D467" t="inlineStr">
        <is>
          <t>Reciprocating Semi-hermetic</t>
        </is>
      </c>
      <c r="E467" s="2" t="n">
        <v>3</v>
      </c>
      <c r="F467" s="2" t="n">
        <v>60</v>
      </c>
      <c r="G467" s="2" t="n">
        <v>460</v>
      </c>
      <c r="H467" t="inlineStr">
        <is>
          <t>460</t>
        </is>
      </c>
      <c r="I467" s="2" t="n">
        <v>460</v>
      </c>
      <c r="J467" s="2" t="n">
        <v>460</v>
      </c>
      <c r="L467" s="3" t="n"/>
      <c r="M467" s="3" t="n"/>
      <c r="N467" s="3" t="n">
        <v>33.6</v>
      </c>
      <c r="O467" s="3" t="n"/>
      <c r="P467" s="3">
        <f>IF(L467&lt;&gt;"",L467/1.4,"")</f>
        <v/>
      </c>
      <c r="Q467" s="3">
        <f>IF(L467&lt;&gt;"",L467/1.56,"")</f>
        <v/>
      </c>
      <c r="R467" s="3">
        <f>IF(M467&lt;&gt;"",M467/1.4,"")</f>
        <v/>
      </c>
      <c r="S467" s="3">
        <f>IF(M467&lt;&gt;"",M467/1.56,"")</f>
        <v/>
      </c>
      <c r="T467" s="3">
        <f>IF(N467&lt;&gt;"",N467,IF(O467&lt;&gt;"",O467,IF(L467&lt;&gt;"",L467/1.56,IF(M467&lt;&gt;"",M467/1.56,""))))</f>
        <v/>
      </c>
      <c r="U467" s="3" t="n">
        <v>173</v>
      </c>
      <c r="V467" s="3" t="n">
        <v>104</v>
      </c>
      <c r="W467" s="3" t="n"/>
      <c r="X467" s="4" t="n"/>
      <c r="Y467" s="5" t="n">
        <v>0.603</v>
      </c>
      <c r="Z467" s="4">
        <f>IF(L467&lt;&gt;"",SQRT(3)*G467*L467/1000,"")</f>
        <v/>
      </c>
      <c r="AA467" t="inlineStr">
        <is>
          <t>Source=Copeland 2D/3D/4D/4R/6D/8D/9R compressors (pdf) p12; PWS_RLA=16.8</t>
        </is>
      </c>
      <c r="AB467" t="inlineStr">
        <is>
          <t>Copeland_RLA_230_460_3ph_60Hz.xlsx</t>
        </is>
      </c>
      <c r="AC467" t="inlineStr">
        <is>
          <t>Recip_2D-9R</t>
        </is>
      </c>
    </row>
    <row r="468">
      <c r="A468" t="inlineStr">
        <is>
          <t>COPELAND</t>
        </is>
      </c>
      <c r="B468" t="inlineStr">
        <is>
          <t>4DE3A200L-TSK</t>
        </is>
      </c>
      <c r="D468" t="inlineStr">
        <is>
          <t>Reciprocating Semi-hermetic</t>
        </is>
      </c>
      <c r="E468" s="2" t="n">
        <v>3</v>
      </c>
      <c r="F468" s="2" t="n">
        <v>60</v>
      </c>
      <c r="G468" s="2" t="n">
        <v>230</v>
      </c>
      <c r="H468" t="inlineStr">
        <is>
          <t>208/230</t>
        </is>
      </c>
      <c r="I468" s="2" t="n">
        <v>208</v>
      </c>
      <c r="J468" s="2" t="n">
        <v>230</v>
      </c>
      <c r="L468" s="3" t="n"/>
      <c r="M468" s="3" t="n"/>
      <c r="N468" s="3" t="n">
        <v>82.90000000000001</v>
      </c>
      <c r="O468" s="3" t="n"/>
      <c r="P468" s="3">
        <f>IF(L468&lt;&gt;"",L468/1.4,"")</f>
        <v/>
      </c>
      <c r="Q468" s="3">
        <f>IF(L468&lt;&gt;"",L468/1.56,"")</f>
        <v/>
      </c>
      <c r="R468" s="3">
        <f>IF(M468&lt;&gt;"",M468/1.4,"")</f>
        <v/>
      </c>
      <c r="S468" s="3">
        <f>IF(M468&lt;&gt;"",M468/1.56,"")</f>
        <v/>
      </c>
      <c r="T468" s="3">
        <f>IF(N468&lt;&gt;"",N468,IF(O468&lt;&gt;"",O468,IF(L468&lt;&gt;"",L468/1.56,IF(M468&lt;&gt;"",M468/1.56,""))))</f>
        <v/>
      </c>
      <c r="U468" s="3" t="n">
        <v>308</v>
      </c>
      <c r="V468" s="3" t="n">
        <v>188</v>
      </c>
      <c r="W468" s="3" t="n"/>
      <c r="X468" s="4" t="n"/>
      <c r="Y468" s="5" t="n">
        <v>0.174</v>
      </c>
      <c r="Z468" s="4">
        <f>IF(L468&lt;&gt;"",SQRT(3)*G468*L468/1000,"")</f>
        <v/>
      </c>
      <c r="AA468" t="inlineStr">
        <is>
          <t>Source=Copeland 2D/3D/4D/4R/6D/8D/9R compressors (pdf) p13; PWS_RLA=33.0</t>
        </is>
      </c>
      <c r="AB468" t="inlineStr">
        <is>
          <t>Copeland_RLA_230_460_3ph_60Hz.xlsx</t>
        </is>
      </c>
      <c r="AC468" t="inlineStr">
        <is>
          <t>Recip_2D-9R</t>
        </is>
      </c>
    </row>
    <row r="469">
      <c r="A469" t="inlineStr">
        <is>
          <t>COPELAND</t>
        </is>
      </c>
      <c r="B469" t="inlineStr">
        <is>
          <t>4DE3A200L-TSK</t>
        </is>
      </c>
      <c r="D469" t="inlineStr">
        <is>
          <t>Reciprocating Semi-hermetic</t>
        </is>
      </c>
      <c r="E469" s="2" t="n">
        <v>3</v>
      </c>
      <c r="F469" s="2" t="n">
        <v>60</v>
      </c>
      <c r="G469" s="2" t="n">
        <v>460</v>
      </c>
      <c r="H469" t="inlineStr">
        <is>
          <t>460</t>
        </is>
      </c>
      <c r="I469" s="2" t="n">
        <v>460</v>
      </c>
      <c r="J469" s="2" t="n">
        <v>460</v>
      </c>
      <c r="L469" s="3" t="n"/>
      <c r="M469" s="3" t="n"/>
      <c r="N469" s="3" t="n">
        <v>41.4</v>
      </c>
      <c r="O469" s="3" t="n"/>
      <c r="P469" s="3">
        <f>IF(L469&lt;&gt;"",L469/1.4,"")</f>
        <v/>
      </c>
      <c r="Q469" s="3">
        <f>IF(L469&lt;&gt;"",L469/1.56,"")</f>
        <v/>
      </c>
      <c r="R469" s="3">
        <f>IF(M469&lt;&gt;"",M469/1.4,"")</f>
        <v/>
      </c>
      <c r="S469" s="3">
        <f>IF(M469&lt;&gt;"",M469/1.56,"")</f>
        <v/>
      </c>
      <c r="T469" s="3">
        <f>IF(N469&lt;&gt;"",N469,IF(O469&lt;&gt;"",O469,IF(L469&lt;&gt;"",L469/1.56,IF(M469&lt;&gt;"",M469/1.56,""))))</f>
        <v/>
      </c>
      <c r="U469" s="3" t="n">
        <v>154</v>
      </c>
      <c r="V469" s="3" t="n"/>
      <c r="W469" s="3" t="n"/>
      <c r="X469" s="4" t="n"/>
      <c r="Y469" s="5" t="n">
        <v>0.696</v>
      </c>
      <c r="Z469" s="4">
        <f>IF(L469&lt;&gt;"",SQRT(3)*G469*L469/1000,"")</f>
        <v/>
      </c>
      <c r="AA469" t="inlineStr">
        <is>
          <t>Source=Copeland 2D/3D/4D/4R/6D/8D/9R compressors (pdf) p13</t>
        </is>
      </c>
      <c r="AB469" t="inlineStr">
        <is>
          <t>Copeland_RLA_230_460_3ph_60Hz.xlsx</t>
        </is>
      </c>
      <c r="AC469" t="inlineStr">
        <is>
          <t>Recip_2D-9R</t>
        </is>
      </c>
    </row>
    <row r="470">
      <c r="A470" t="inlineStr">
        <is>
          <t>COPELAND</t>
        </is>
      </c>
      <c r="B470" t="inlineStr">
        <is>
          <t>4DE3F47KE-TSK</t>
        </is>
      </c>
      <c r="D470" t="inlineStr">
        <is>
          <t>Reciprocating Semi-hermetic</t>
        </is>
      </c>
      <c r="E470" s="2" t="n">
        <v>3</v>
      </c>
      <c r="F470" s="2" t="n">
        <v>60</v>
      </c>
      <c r="G470" s="2" t="n">
        <v>230</v>
      </c>
      <c r="H470" t="inlineStr">
        <is>
          <t>208/230</t>
        </is>
      </c>
      <c r="I470" s="2" t="n">
        <v>208</v>
      </c>
      <c r="J470" s="2" t="n">
        <v>230</v>
      </c>
      <c r="L470" s="3" t="n"/>
      <c r="M470" s="3" t="n"/>
      <c r="N470" s="3" t="n">
        <v>45.6</v>
      </c>
      <c r="O470" s="3" t="n"/>
      <c r="P470" s="3">
        <f>IF(L470&lt;&gt;"",L470/1.4,"")</f>
        <v/>
      </c>
      <c r="Q470" s="3">
        <f>IF(L470&lt;&gt;"",L470/1.56,"")</f>
        <v/>
      </c>
      <c r="R470" s="3">
        <f>IF(M470&lt;&gt;"",M470/1.4,"")</f>
        <v/>
      </c>
      <c r="S470" s="3">
        <f>IF(M470&lt;&gt;"",M470/1.56,"")</f>
        <v/>
      </c>
      <c r="T470" s="3">
        <f>IF(N470&lt;&gt;"",N470,IF(O470&lt;&gt;"",O470,IF(L470&lt;&gt;"",L470/1.56,IF(M470&lt;&gt;"",M470/1.56,""))))</f>
        <v/>
      </c>
      <c r="U470" s="3" t="n">
        <v>220</v>
      </c>
      <c r="V470" s="3" t="n">
        <v>134</v>
      </c>
      <c r="W470" s="3" t="n"/>
      <c r="X470" s="4" t="n"/>
      <c r="Y470" s="5" t="n">
        <v>0.244</v>
      </c>
      <c r="Z470" s="4">
        <f>IF(L470&lt;&gt;"",SQRT(3)*G470*L470/1000,"")</f>
        <v/>
      </c>
      <c r="AA470" t="inlineStr">
        <is>
          <t>Source=Copeland 2D/3D/4D/4R/6D/8D/9R compressors (pdf) p13; PWS_RLA=22.6</t>
        </is>
      </c>
      <c r="AB470" t="inlineStr">
        <is>
          <t>Copeland_RLA_230_460_3ph_60Hz.xlsx</t>
        </is>
      </c>
      <c r="AC470" t="inlineStr">
        <is>
          <t>Recip_2D-9R</t>
        </is>
      </c>
    </row>
    <row r="471">
      <c r="A471" t="inlineStr">
        <is>
          <t>COPELAND</t>
        </is>
      </c>
      <c r="B471" t="inlineStr">
        <is>
          <t>4DE3F47KE-TSK</t>
        </is>
      </c>
      <c r="D471" t="inlineStr">
        <is>
          <t>Reciprocating Semi-hermetic</t>
        </is>
      </c>
      <c r="E471" s="2" t="n">
        <v>3</v>
      </c>
      <c r="F471" s="2" t="n">
        <v>60</v>
      </c>
      <c r="G471" s="2" t="n">
        <v>460</v>
      </c>
      <c r="H471" t="inlineStr">
        <is>
          <t>460</t>
        </is>
      </c>
      <c r="I471" s="2" t="n">
        <v>460</v>
      </c>
      <c r="J471" s="2" t="n">
        <v>460</v>
      </c>
      <c r="L471" s="3" t="n"/>
      <c r="M471" s="3" t="n"/>
      <c r="N471" s="3" t="n">
        <v>22.8</v>
      </c>
      <c r="O471" s="3" t="n"/>
      <c r="P471" s="3">
        <f>IF(L471&lt;&gt;"",L471/1.4,"")</f>
        <v/>
      </c>
      <c r="Q471" s="3">
        <f>IF(L471&lt;&gt;"",L471/1.56,"")</f>
        <v/>
      </c>
      <c r="R471" s="3">
        <f>IF(M471&lt;&gt;"",M471/1.4,"")</f>
        <v/>
      </c>
      <c r="S471" s="3">
        <f>IF(M471&lt;&gt;"",M471/1.56,"")</f>
        <v/>
      </c>
      <c r="T471" s="3">
        <f>IF(N471&lt;&gt;"",N471,IF(O471&lt;&gt;"",O471,IF(L471&lt;&gt;"",L471/1.56,IF(M471&lt;&gt;"",M471/1.56,""))))</f>
        <v/>
      </c>
      <c r="U471" s="3" t="n">
        <v>110</v>
      </c>
      <c r="V471" s="3" t="n"/>
      <c r="W471" s="3" t="n"/>
      <c r="X471" s="4" t="n"/>
      <c r="Y471" s="5" t="n">
        <v>0.976</v>
      </c>
      <c r="Z471" s="4">
        <f>IF(L471&lt;&gt;"",SQRT(3)*G471*L471/1000,"")</f>
        <v/>
      </c>
      <c r="AA471" t="inlineStr">
        <is>
          <t>Source=Copeland 2D/3D/4D/4R/6D/8D/9R compressors (pdf) p13</t>
        </is>
      </c>
      <c r="AB471" t="inlineStr">
        <is>
          <t>Copeland_RLA_230_460_3ph_60Hz.xlsx</t>
        </is>
      </c>
      <c r="AC471" t="inlineStr">
        <is>
          <t>Recip_2D-9R</t>
        </is>
      </c>
    </row>
    <row r="472">
      <c r="A472" t="inlineStr">
        <is>
          <t>COPELAND</t>
        </is>
      </c>
      <c r="B472" t="inlineStr">
        <is>
          <t>4DE3F47KL-TSK</t>
        </is>
      </c>
      <c r="D472" t="inlineStr">
        <is>
          <t>Reciprocating Semi-hermetic</t>
        </is>
      </c>
      <c r="E472" s="2" t="n">
        <v>3</v>
      </c>
      <c r="F472" s="2" t="n">
        <v>60</v>
      </c>
      <c r="G472" s="2" t="n">
        <v>230</v>
      </c>
      <c r="H472" t="inlineStr">
        <is>
          <t>208/230</t>
        </is>
      </c>
      <c r="I472" s="2" t="n">
        <v>208</v>
      </c>
      <c r="J472" s="2" t="n">
        <v>230</v>
      </c>
      <c r="L472" s="3" t="n"/>
      <c r="M472" s="3" t="n"/>
      <c r="N472" s="3" t="n">
        <v>45.6</v>
      </c>
      <c r="O472" s="3" t="n"/>
      <c r="P472" s="3">
        <f>IF(L472&lt;&gt;"",L472/1.4,"")</f>
        <v/>
      </c>
      <c r="Q472" s="3">
        <f>IF(L472&lt;&gt;"",L472/1.56,"")</f>
        <v/>
      </c>
      <c r="R472" s="3">
        <f>IF(M472&lt;&gt;"",M472/1.4,"")</f>
        <v/>
      </c>
      <c r="S472" s="3">
        <f>IF(M472&lt;&gt;"",M472/1.56,"")</f>
        <v/>
      </c>
      <c r="T472" s="3">
        <f>IF(N472&lt;&gt;"",N472,IF(O472&lt;&gt;"",O472,IF(L472&lt;&gt;"",L472/1.56,IF(M472&lt;&gt;"",M472/1.56,""))))</f>
        <v/>
      </c>
      <c r="U472" s="3" t="n">
        <v>220</v>
      </c>
      <c r="V472" s="3" t="n">
        <v>134</v>
      </c>
      <c r="W472" s="3" t="n"/>
      <c r="X472" s="4" t="n"/>
      <c r="Y472" s="5" t="n">
        <v>0.244</v>
      </c>
      <c r="Z472" s="4">
        <f>IF(L472&lt;&gt;"",SQRT(3)*G472*L472/1000,"")</f>
        <v/>
      </c>
      <c r="AA472" t="inlineStr">
        <is>
          <t>Source=Copeland 2D/3D/4D/4R/6D/8D/9R compressors (pdf) p13; PWS_RLA=22.6</t>
        </is>
      </c>
      <c r="AB472" t="inlineStr">
        <is>
          <t>Copeland_RLA_230_460_3ph_60Hz.xlsx</t>
        </is>
      </c>
      <c r="AC472" t="inlineStr">
        <is>
          <t>Recip_2D-9R</t>
        </is>
      </c>
    </row>
    <row r="473">
      <c r="A473" t="inlineStr">
        <is>
          <t>COPELAND</t>
        </is>
      </c>
      <c r="B473" t="inlineStr">
        <is>
          <t>4DE3F47KL-TSK</t>
        </is>
      </c>
      <c r="D473" t="inlineStr">
        <is>
          <t>Reciprocating Semi-hermetic</t>
        </is>
      </c>
      <c r="E473" s="2" t="n">
        <v>3</v>
      </c>
      <c r="F473" s="2" t="n">
        <v>60</v>
      </c>
      <c r="G473" s="2" t="n">
        <v>460</v>
      </c>
      <c r="H473" t="inlineStr">
        <is>
          <t>460</t>
        </is>
      </c>
      <c r="I473" s="2" t="n">
        <v>460</v>
      </c>
      <c r="J473" s="2" t="n">
        <v>460</v>
      </c>
      <c r="L473" s="3" t="n"/>
      <c r="M473" s="3" t="n"/>
      <c r="N473" s="3" t="n">
        <v>22.8</v>
      </c>
      <c r="O473" s="3" t="n"/>
      <c r="P473" s="3">
        <f>IF(L473&lt;&gt;"",L473/1.4,"")</f>
        <v/>
      </c>
      <c r="Q473" s="3">
        <f>IF(L473&lt;&gt;"",L473/1.56,"")</f>
        <v/>
      </c>
      <c r="R473" s="3">
        <f>IF(M473&lt;&gt;"",M473/1.4,"")</f>
        <v/>
      </c>
      <c r="S473" s="3">
        <f>IF(M473&lt;&gt;"",M473/1.56,"")</f>
        <v/>
      </c>
      <c r="T473" s="3">
        <f>IF(N473&lt;&gt;"",N473,IF(O473&lt;&gt;"",O473,IF(L473&lt;&gt;"",L473/1.56,IF(M473&lt;&gt;"",M473/1.56,""))))</f>
        <v/>
      </c>
      <c r="U473" s="3" t="n">
        <v>110</v>
      </c>
      <c r="V473" s="3" t="n"/>
      <c r="W473" s="3" t="n"/>
      <c r="X473" s="4" t="n"/>
      <c r="Y473" s="5" t="n">
        <v>0.976</v>
      </c>
      <c r="Z473" s="4">
        <f>IF(L473&lt;&gt;"",SQRT(3)*G473*L473/1000,"")</f>
        <v/>
      </c>
      <c r="AA473" t="inlineStr">
        <is>
          <t>Source=Copeland 2D/3D/4D/4R/6D/8D/9R compressors (pdf) p13</t>
        </is>
      </c>
      <c r="AB473" t="inlineStr">
        <is>
          <t>Copeland_RLA_230_460_3ph_60Hz.xlsx</t>
        </is>
      </c>
      <c r="AC473" t="inlineStr">
        <is>
          <t>Recip_2D-9R</t>
        </is>
      </c>
    </row>
    <row r="474">
      <c r="A474" t="inlineStr">
        <is>
          <t>COPELAND</t>
        </is>
      </c>
      <c r="B474" t="inlineStr">
        <is>
          <t>4DE3R12ME-TSK</t>
        </is>
      </c>
      <c r="D474" t="inlineStr">
        <is>
          <t>Reciprocating Semi-hermetic</t>
        </is>
      </c>
      <c r="E474" s="2" t="n">
        <v>3</v>
      </c>
      <c r="F474" s="2" t="n">
        <v>60</v>
      </c>
      <c r="G474" s="2" t="n">
        <v>230</v>
      </c>
      <c r="H474" t="inlineStr">
        <is>
          <t>208/230</t>
        </is>
      </c>
      <c r="I474" s="2" t="n">
        <v>208</v>
      </c>
      <c r="J474" s="2" t="n">
        <v>230</v>
      </c>
      <c r="L474" s="3" t="n"/>
      <c r="M474" s="3" t="n"/>
      <c r="N474" s="3" t="n">
        <v>42</v>
      </c>
      <c r="O474" s="3" t="n"/>
      <c r="P474" s="3">
        <f>IF(L474&lt;&gt;"",L474/1.4,"")</f>
        <v/>
      </c>
      <c r="Q474" s="3">
        <f>IF(L474&lt;&gt;"",L474/1.56,"")</f>
        <v/>
      </c>
      <c r="R474" s="3">
        <f>IF(M474&lt;&gt;"",M474/1.4,"")</f>
        <v/>
      </c>
      <c r="S474" s="3">
        <f>IF(M474&lt;&gt;"",M474/1.56,"")</f>
        <v/>
      </c>
      <c r="T474" s="3">
        <f>IF(N474&lt;&gt;"",N474,IF(O474&lt;&gt;"",O474,IF(L474&lt;&gt;"",L474/1.56,IF(M474&lt;&gt;"",M474/1.56,""))))</f>
        <v/>
      </c>
      <c r="U474" s="3" t="n">
        <v>240</v>
      </c>
      <c r="V474" s="3" t="n">
        <v>140</v>
      </c>
      <c r="W474" s="3" t="n"/>
      <c r="X474" s="4" t="n"/>
      <c r="Y474" s="5" t="n">
        <v>0.259</v>
      </c>
      <c r="Z474" s="4">
        <f>IF(L474&lt;&gt;"",SQRT(3)*G474*L474/1000,"")</f>
        <v/>
      </c>
      <c r="AA474" t="inlineStr">
        <is>
          <t>Source=Copeland 2D/3D/4D/4R/6D/8D/9R compressors (pdf) p13; PWS_RLA=21.0</t>
        </is>
      </c>
      <c r="AB474" t="inlineStr">
        <is>
          <t>Copeland_RLA_230_460_3ph_60Hz.xlsx</t>
        </is>
      </c>
      <c r="AC474" t="inlineStr">
        <is>
          <t>Recip_2D-9R</t>
        </is>
      </c>
    </row>
    <row r="475">
      <c r="A475" t="inlineStr">
        <is>
          <t>COPELAND</t>
        </is>
      </c>
      <c r="B475" t="inlineStr">
        <is>
          <t>4DE3R12ME-TSK</t>
        </is>
      </c>
      <c r="D475" t="inlineStr">
        <is>
          <t>Reciprocating Semi-hermetic</t>
        </is>
      </c>
      <c r="E475" s="2" t="n">
        <v>3</v>
      </c>
      <c r="F475" s="2" t="n">
        <v>60</v>
      </c>
      <c r="G475" s="2" t="n">
        <v>460</v>
      </c>
      <c r="H475" t="inlineStr">
        <is>
          <t>460</t>
        </is>
      </c>
      <c r="I475" s="2" t="n">
        <v>460</v>
      </c>
      <c r="J475" s="2" t="n">
        <v>460</v>
      </c>
      <c r="L475" s="3" t="n"/>
      <c r="M475" s="3" t="n"/>
      <c r="N475" s="3" t="n">
        <v>21</v>
      </c>
      <c r="O475" s="3" t="n"/>
      <c r="P475" s="3">
        <f>IF(L475&lt;&gt;"",L475/1.4,"")</f>
        <v/>
      </c>
      <c r="Q475" s="3">
        <f>IF(L475&lt;&gt;"",L475/1.56,"")</f>
        <v/>
      </c>
      <c r="R475" s="3">
        <f>IF(M475&lt;&gt;"",M475/1.4,"")</f>
        <v/>
      </c>
      <c r="S475" s="3">
        <f>IF(M475&lt;&gt;"",M475/1.56,"")</f>
        <v/>
      </c>
      <c r="T475" s="3">
        <f>IF(N475&lt;&gt;"",N475,IF(O475&lt;&gt;"",O475,IF(L475&lt;&gt;"",L475/1.56,IF(M475&lt;&gt;"",M475/1.56,""))))</f>
        <v/>
      </c>
      <c r="U475" s="3" t="n">
        <v>120</v>
      </c>
      <c r="V475" s="3" t="n"/>
      <c r="W475" s="3" t="n"/>
      <c r="X475" s="4" t="n"/>
      <c r="Y475" s="5" t="n">
        <v>1.036</v>
      </c>
      <c r="Z475" s="4">
        <f>IF(L475&lt;&gt;"",SQRT(3)*G475*L475/1000,"")</f>
        <v/>
      </c>
      <c r="AA475" t="inlineStr">
        <is>
          <t>Source=Copeland 2D/3D/4D/4R/6D/8D/9R compressors (pdf) p13</t>
        </is>
      </c>
      <c r="AB475" t="inlineStr">
        <is>
          <t>Copeland_RLA_230_460_3ph_60Hz.xlsx</t>
        </is>
      </c>
      <c r="AC475" t="inlineStr">
        <is>
          <t>Recip_2D-9R</t>
        </is>
      </c>
    </row>
    <row r="476">
      <c r="A476" t="inlineStr">
        <is>
          <t>COPELAND</t>
        </is>
      </c>
      <c r="B476" t="inlineStr">
        <is>
          <t>4DE3R12ML-TSK</t>
        </is>
      </c>
      <c r="D476" t="inlineStr">
        <is>
          <t>Reciprocating Semi-hermetic</t>
        </is>
      </c>
      <c r="E476" s="2" t="n">
        <v>3</v>
      </c>
      <c r="F476" s="2" t="n">
        <v>60</v>
      </c>
      <c r="G476" s="2" t="n">
        <v>230</v>
      </c>
      <c r="H476" t="inlineStr">
        <is>
          <t>208/230</t>
        </is>
      </c>
      <c r="I476" s="2" t="n">
        <v>208</v>
      </c>
      <c r="J476" s="2" t="n">
        <v>230</v>
      </c>
      <c r="L476" s="3" t="n"/>
      <c r="M476" s="3" t="n"/>
      <c r="N476" s="3" t="n">
        <v>42</v>
      </c>
      <c r="O476" s="3" t="n"/>
      <c r="P476" s="3">
        <f>IF(L476&lt;&gt;"",L476/1.4,"")</f>
        <v/>
      </c>
      <c r="Q476" s="3">
        <f>IF(L476&lt;&gt;"",L476/1.56,"")</f>
        <v/>
      </c>
      <c r="R476" s="3">
        <f>IF(M476&lt;&gt;"",M476/1.4,"")</f>
        <v/>
      </c>
      <c r="S476" s="3">
        <f>IF(M476&lt;&gt;"",M476/1.56,"")</f>
        <v/>
      </c>
      <c r="T476" s="3">
        <f>IF(N476&lt;&gt;"",N476,IF(O476&lt;&gt;"",O476,IF(L476&lt;&gt;"",L476/1.56,IF(M476&lt;&gt;"",M476/1.56,""))))</f>
        <v/>
      </c>
      <c r="U476" s="3" t="n">
        <v>240</v>
      </c>
      <c r="V476" s="3" t="n">
        <v>140</v>
      </c>
      <c r="W476" s="3" t="n"/>
      <c r="X476" s="4" t="n"/>
      <c r="Y476" s="5" t="n">
        <v>0.259</v>
      </c>
      <c r="Z476" s="4">
        <f>IF(L476&lt;&gt;"",SQRT(3)*G476*L476/1000,"")</f>
        <v/>
      </c>
      <c r="AA476" t="inlineStr">
        <is>
          <t>Source=Copeland 2D/3D/4D/4R/6D/8D/9R compressors (pdf) p13; PWS_RLA=21.0</t>
        </is>
      </c>
      <c r="AB476" t="inlineStr">
        <is>
          <t>Copeland_RLA_230_460_3ph_60Hz.xlsx</t>
        </is>
      </c>
      <c r="AC476" t="inlineStr">
        <is>
          <t>Recip_2D-9R</t>
        </is>
      </c>
    </row>
    <row r="477">
      <c r="A477" t="inlineStr">
        <is>
          <t>COPELAND</t>
        </is>
      </c>
      <c r="B477" t="inlineStr">
        <is>
          <t>4DE3R12ML-TSK</t>
        </is>
      </c>
      <c r="D477" t="inlineStr">
        <is>
          <t>Reciprocating Semi-hermetic</t>
        </is>
      </c>
      <c r="E477" s="2" t="n">
        <v>3</v>
      </c>
      <c r="F477" s="2" t="n">
        <v>60</v>
      </c>
      <c r="G477" s="2" t="n">
        <v>460</v>
      </c>
      <c r="H477" t="inlineStr">
        <is>
          <t>460</t>
        </is>
      </c>
      <c r="I477" s="2" t="n">
        <v>460</v>
      </c>
      <c r="J477" s="2" t="n">
        <v>460</v>
      </c>
      <c r="L477" s="3" t="n"/>
      <c r="M477" s="3" t="n"/>
      <c r="N477" s="3" t="n">
        <v>21</v>
      </c>
      <c r="O477" s="3" t="n"/>
      <c r="P477" s="3">
        <f>IF(L477&lt;&gt;"",L477/1.4,"")</f>
        <v/>
      </c>
      <c r="Q477" s="3">
        <f>IF(L477&lt;&gt;"",L477/1.56,"")</f>
        <v/>
      </c>
      <c r="R477" s="3">
        <f>IF(M477&lt;&gt;"",M477/1.4,"")</f>
        <v/>
      </c>
      <c r="S477" s="3">
        <f>IF(M477&lt;&gt;"",M477/1.56,"")</f>
        <v/>
      </c>
      <c r="T477" s="3">
        <f>IF(N477&lt;&gt;"",N477,IF(O477&lt;&gt;"",O477,IF(L477&lt;&gt;"",L477/1.56,IF(M477&lt;&gt;"",M477/1.56,""))))</f>
        <v/>
      </c>
      <c r="U477" s="3" t="n">
        <v>120</v>
      </c>
      <c r="V477" s="3" t="n"/>
      <c r="W477" s="3" t="n"/>
      <c r="X477" s="4" t="n"/>
      <c r="Y477" s="5" t="n">
        <v>1.036</v>
      </c>
      <c r="Z477" s="4">
        <f>IF(L477&lt;&gt;"",SQRT(3)*G477*L477/1000,"")</f>
        <v/>
      </c>
      <c r="AA477" t="inlineStr">
        <is>
          <t>Source=Copeland 2D/3D/4D/4R/6D/8D/9R compressors (pdf) p13</t>
        </is>
      </c>
      <c r="AB477" t="inlineStr">
        <is>
          <t>Copeland_RLA_230_460_3ph_60Hz.xlsx</t>
        </is>
      </c>
      <c r="AC477" t="inlineStr">
        <is>
          <t>Recip_2D-9R</t>
        </is>
      </c>
    </row>
    <row r="478">
      <c r="A478" t="inlineStr">
        <is>
          <t>COPELAND</t>
        </is>
      </c>
      <c r="B478" t="inlineStr">
        <is>
          <t>4DE3R18M0-FSD</t>
        </is>
      </c>
      <c r="D478" t="inlineStr">
        <is>
          <t>Reciprocating Semi-hermetic</t>
        </is>
      </c>
      <c r="E478" s="2" t="n">
        <v>3</v>
      </c>
      <c r="F478" s="2" t="n">
        <v>60</v>
      </c>
      <c r="G478" s="2" t="n">
        <v>460</v>
      </c>
      <c r="H478" t="inlineStr">
        <is>
          <t>460</t>
        </is>
      </c>
      <c r="I478" s="2" t="n">
        <v>460</v>
      </c>
      <c r="J478" s="2" t="n">
        <v>460</v>
      </c>
      <c r="L478" s="3" t="n"/>
      <c r="M478" s="3" t="n"/>
      <c r="N478" s="3" t="n">
        <v>33.6</v>
      </c>
      <c r="O478" s="3" t="n"/>
      <c r="P478" s="3">
        <f>IF(L478&lt;&gt;"",L478/1.4,"")</f>
        <v/>
      </c>
      <c r="Q478" s="3">
        <f>IF(L478&lt;&gt;"",L478/1.56,"")</f>
        <v/>
      </c>
      <c r="R478" s="3">
        <f>IF(M478&lt;&gt;"",M478/1.4,"")</f>
        <v/>
      </c>
      <c r="S478" s="3">
        <f>IF(M478&lt;&gt;"",M478/1.56,"")</f>
        <v/>
      </c>
      <c r="T478" s="3">
        <f>IF(N478&lt;&gt;"",N478,IF(O478&lt;&gt;"",O478,IF(L478&lt;&gt;"",L478/1.56,IF(M478&lt;&gt;"",M478/1.56,""))))</f>
        <v/>
      </c>
      <c r="U478" s="3" t="n">
        <v>173</v>
      </c>
      <c r="V478" s="3" t="n">
        <v>104</v>
      </c>
      <c r="W478" s="3" t="n"/>
      <c r="X478" s="4" t="n"/>
      <c r="Y478" s="5" t="n">
        <v>0.603</v>
      </c>
      <c r="Z478" s="4">
        <f>IF(L478&lt;&gt;"",SQRT(3)*G478*L478/1000,"")</f>
        <v/>
      </c>
      <c r="AA478" t="inlineStr">
        <is>
          <t>Source=Copeland 2D/3D/4D/4R/6D/8D/9R compressors (pdf) p13; PWS_RLA=16.8</t>
        </is>
      </c>
      <c r="AB478" t="inlineStr">
        <is>
          <t>Copeland_RLA_230_460_3ph_60Hz.xlsx</t>
        </is>
      </c>
      <c r="AC478" t="inlineStr">
        <is>
          <t>Recip_2D-9R</t>
        </is>
      </c>
    </row>
    <row r="479">
      <c r="A479" t="inlineStr">
        <is>
          <t>COPELAND</t>
        </is>
      </c>
      <c r="B479" t="inlineStr">
        <is>
          <t>4DE3R18M0-TSK</t>
        </is>
      </c>
      <c r="D479" t="inlineStr">
        <is>
          <t>Reciprocating Semi-hermetic</t>
        </is>
      </c>
      <c r="E479" s="2" t="n">
        <v>3</v>
      </c>
      <c r="F479" s="2" t="n">
        <v>60</v>
      </c>
      <c r="G479" s="2" t="n">
        <v>230</v>
      </c>
      <c r="H479" t="inlineStr">
        <is>
          <t>208/230</t>
        </is>
      </c>
      <c r="I479" s="2" t="n">
        <v>208</v>
      </c>
      <c r="J479" s="2" t="n">
        <v>230</v>
      </c>
      <c r="L479" s="3" t="n"/>
      <c r="M479" s="3" t="n"/>
      <c r="N479" s="3" t="n">
        <v>66.59999999999999</v>
      </c>
      <c r="O479" s="3" t="n"/>
      <c r="P479" s="3">
        <f>IF(L479&lt;&gt;"",L479/1.4,"")</f>
        <v/>
      </c>
      <c r="Q479" s="3">
        <f>IF(L479&lt;&gt;"",L479/1.56,"")</f>
        <v/>
      </c>
      <c r="R479" s="3">
        <f>IF(M479&lt;&gt;"",M479/1.4,"")</f>
        <v/>
      </c>
      <c r="S479" s="3">
        <f>IF(M479&lt;&gt;"",M479/1.56,"")</f>
        <v/>
      </c>
      <c r="T479" s="3">
        <f>IF(N479&lt;&gt;"",N479,IF(O479&lt;&gt;"",O479,IF(L479&lt;&gt;"",L479/1.56,IF(M479&lt;&gt;"",M479/1.56,""))))</f>
        <v/>
      </c>
      <c r="U479" s="3" t="n">
        <v>308</v>
      </c>
      <c r="V479" s="3" t="n">
        <v>188</v>
      </c>
      <c r="W479" s="3" t="n"/>
      <c r="X479" s="4" t="n"/>
      <c r="Y479" s="5" t="n">
        <v>0.174</v>
      </c>
      <c r="Z479" s="4">
        <f>IF(L479&lt;&gt;"",SQRT(3)*G479*L479/1000,"")</f>
        <v/>
      </c>
      <c r="AA479" t="inlineStr">
        <is>
          <t>Source=Copeland 2D/3D/4D/4R/6D/8D/9R compressors (pdf) p13; PWS_RLA=33.0</t>
        </is>
      </c>
      <c r="AB479" t="inlineStr">
        <is>
          <t>Copeland_RLA_230_460_3ph_60Hz.xlsx</t>
        </is>
      </c>
      <c r="AC479" t="inlineStr">
        <is>
          <t>Recip_2D-9R</t>
        </is>
      </c>
    </row>
    <row r="480">
      <c r="A480" t="inlineStr">
        <is>
          <t>COPELAND</t>
        </is>
      </c>
      <c r="B480" t="inlineStr">
        <is>
          <t>4DE3R18M0-TSK</t>
        </is>
      </c>
      <c r="D480" t="inlineStr">
        <is>
          <t>Reciprocating Semi-hermetic</t>
        </is>
      </c>
      <c r="E480" s="2" t="n">
        <v>3</v>
      </c>
      <c r="F480" s="2" t="n">
        <v>60</v>
      </c>
      <c r="G480" s="2" t="n">
        <v>460</v>
      </c>
      <c r="H480" t="inlineStr">
        <is>
          <t>460</t>
        </is>
      </c>
      <c r="I480" s="2" t="n">
        <v>460</v>
      </c>
      <c r="J480" s="2" t="n">
        <v>460</v>
      </c>
      <c r="L480" s="3" t="n"/>
      <c r="M480" s="3" t="n"/>
      <c r="N480" s="3" t="n">
        <v>33.3</v>
      </c>
      <c r="O480" s="3" t="n"/>
      <c r="P480" s="3">
        <f>IF(L480&lt;&gt;"",L480/1.4,"")</f>
        <v/>
      </c>
      <c r="Q480" s="3">
        <f>IF(L480&lt;&gt;"",L480/1.56,"")</f>
        <v/>
      </c>
      <c r="R480" s="3">
        <f>IF(M480&lt;&gt;"",M480/1.4,"")</f>
        <v/>
      </c>
      <c r="S480" s="3">
        <f>IF(M480&lt;&gt;"",M480/1.56,"")</f>
        <v/>
      </c>
      <c r="T480" s="3">
        <f>IF(N480&lt;&gt;"",N480,IF(O480&lt;&gt;"",O480,IF(L480&lt;&gt;"",L480/1.56,IF(M480&lt;&gt;"",M480/1.56,""))))</f>
        <v/>
      </c>
      <c r="U480" s="3" t="n">
        <v>154</v>
      </c>
      <c r="V480" s="3" t="n"/>
      <c r="W480" s="3" t="n"/>
      <c r="X480" s="4" t="n"/>
      <c r="Y480" s="5" t="n">
        <v>0.696</v>
      </c>
      <c r="Z480" s="4">
        <f>IF(L480&lt;&gt;"",SQRT(3)*G480*L480/1000,"")</f>
        <v/>
      </c>
      <c r="AA480" t="inlineStr">
        <is>
          <t>Source=Copeland 2D/3D/4D/4R/6D/8D/9R compressors (pdf) p13</t>
        </is>
      </c>
      <c r="AB480" t="inlineStr">
        <is>
          <t>Copeland_RLA_230_460_3ph_60Hz.xlsx</t>
        </is>
      </c>
      <c r="AC480" t="inlineStr">
        <is>
          <t>Recip_2D-9R</t>
        </is>
      </c>
    </row>
    <row r="481">
      <c r="A481" t="inlineStr">
        <is>
          <t>COPELAND</t>
        </is>
      </c>
      <c r="B481" t="inlineStr">
        <is>
          <t>4DE3R18ME-FSD</t>
        </is>
      </c>
      <c r="D481" t="inlineStr">
        <is>
          <t>Reciprocating Semi-hermetic</t>
        </is>
      </c>
      <c r="E481" s="2" t="n">
        <v>3</v>
      </c>
      <c r="F481" s="2" t="n">
        <v>60</v>
      </c>
      <c r="G481" s="2" t="n">
        <v>460</v>
      </c>
      <c r="H481" t="inlineStr">
        <is>
          <t>460</t>
        </is>
      </c>
      <c r="I481" s="2" t="n">
        <v>460</v>
      </c>
      <c r="J481" s="2" t="n">
        <v>460</v>
      </c>
      <c r="L481" s="3" t="n"/>
      <c r="M481" s="3" t="n"/>
      <c r="N481" s="3" t="n">
        <v>33.6</v>
      </c>
      <c r="O481" s="3" t="n"/>
      <c r="P481" s="3">
        <f>IF(L481&lt;&gt;"",L481/1.4,"")</f>
        <v/>
      </c>
      <c r="Q481" s="3">
        <f>IF(L481&lt;&gt;"",L481/1.56,"")</f>
        <v/>
      </c>
      <c r="R481" s="3">
        <f>IF(M481&lt;&gt;"",M481/1.4,"")</f>
        <v/>
      </c>
      <c r="S481" s="3">
        <f>IF(M481&lt;&gt;"",M481/1.56,"")</f>
        <v/>
      </c>
      <c r="T481" s="3">
        <f>IF(N481&lt;&gt;"",N481,IF(O481&lt;&gt;"",O481,IF(L481&lt;&gt;"",L481/1.56,IF(M481&lt;&gt;"",M481/1.56,""))))</f>
        <v/>
      </c>
      <c r="U481" s="3" t="n">
        <v>173</v>
      </c>
      <c r="V481" s="3" t="n">
        <v>104</v>
      </c>
      <c r="W481" s="3" t="n"/>
      <c r="X481" s="4" t="n"/>
      <c r="Y481" s="5" t="n">
        <v>0.603</v>
      </c>
      <c r="Z481" s="4">
        <f>IF(L481&lt;&gt;"",SQRT(3)*G481*L481/1000,"")</f>
        <v/>
      </c>
      <c r="AA481" t="inlineStr">
        <is>
          <t>Source=Copeland 2D/3D/4D/4R/6D/8D/9R compressors (pdf) p13; PWS_RLA=16.8</t>
        </is>
      </c>
      <c r="AB481" t="inlineStr">
        <is>
          <t>Copeland_RLA_230_460_3ph_60Hz.xlsx</t>
        </is>
      </c>
      <c r="AC481" t="inlineStr">
        <is>
          <t>Recip_2D-9R</t>
        </is>
      </c>
    </row>
    <row r="482">
      <c r="A482" t="inlineStr">
        <is>
          <t>COPELAND</t>
        </is>
      </c>
      <c r="B482" t="inlineStr">
        <is>
          <t>4DE3R18ME-FSD</t>
        </is>
      </c>
      <c r="D482" t="inlineStr">
        <is>
          <t>Reciprocating Semi-hermetic</t>
        </is>
      </c>
      <c r="E482" s="2" t="n">
        <v>3</v>
      </c>
      <c r="F482" s="2" t="n">
        <v>60</v>
      </c>
      <c r="G482" s="2" t="n">
        <v>460</v>
      </c>
      <c r="H482" t="inlineStr">
        <is>
          <t>460</t>
        </is>
      </c>
      <c r="I482" s="2" t="n">
        <v>460</v>
      </c>
      <c r="J482" s="2" t="n">
        <v>460</v>
      </c>
      <c r="L482" s="3" t="n"/>
      <c r="M482" s="3" t="n"/>
      <c r="N482" s="3" t="n">
        <v>42.1</v>
      </c>
      <c r="O482" s="3" t="n"/>
      <c r="P482" s="3">
        <f>IF(L482&lt;&gt;"",L482/1.4,"")</f>
        <v/>
      </c>
      <c r="Q482" s="3">
        <f>IF(L482&lt;&gt;"",L482/1.56,"")</f>
        <v/>
      </c>
      <c r="R482" s="3">
        <f>IF(M482&lt;&gt;"",M482/1.4,"")</f>
        <v/>
      </c>
      <c r="S482" s="3">
        <f>IF(M482&lt;&gt;"",M482/1.56,"")</f>
        <v/>
      </c>
      <c r="T482" s="3">
        <f>IF(N482&lt;&gt;"",N482,IF(O482&lt;&gt;"",O482,IF(L482&lt;&gt;"",L482/1.56,IF(M482&lt;&gt;"",M482/1.56,""))))</f>
        <v/>
      </c>
      <c r="U482" s="3" t="n">
        <v>173</v>
      </c>
      <c r="V482" s="3" t="n">
        <v>104</v>
      </c>
      <c r="W482" s="3" t="n"/>
      <c r="X482" s="4" t="n"/>
      <c r="Y482" s="5" t="n">
        <v>0.603</v>
      </c>
      <c r="Z482" s="4">
        <f>IF(L482&lt;&gt;"",SQRT(3)*G482*L482/1000,"")</f>
        <v/>
      </c>
      <c r="AA482" t="inlineStr">
        <is>
          <t>Source=Copeland 2D/3D/4D/4R/6D/8D/9R compressors (pdf) p13; PWS_RLA=21.1</t>
        </is>
      </c>
      <c r="AB482" t="inlineStr">
        <is>
          <t>Copeland_RLA_230_460_3ph_60Hz.xlsx</t>
        </is>
      </c>
      <c r="AC482" t="inlineStr">
        <is>
          <t>Recip_2D-9R</t>
        </is>
      </c>
    </row>
    <row r="483">
      <c r="A483" t="inlineStr">
        <is>
          <t>COPELAND</t>
        </is>
      </c>
      <c r="B483" t="inlineStr">
        <is>
          <t>4DE3R18ME-TSK</t>
        </is>
      </c>
      <c r="D483" t="inlineStr">
        <is>
          <t>Reciprocating Semi-hermetic</t>
        </is>
      </c>
      <c r="E483" s="2" t="n">
        <v>3</v>
      </c>
      <c r="F483" s="2" t="n">
        <v>60</v>
      </c>
      <c r="G483" s="2" t="n">
        <v>230</v>
      </c>
      <c r="H483" t="inlineStr">
        <is>
          <t>208/230</t>
        </is>
      </c>
      <c r="I483" s="2" t="n">
        <v>208</v>
      </c>
      <c r="J483" s="2" t="n">
        <v>230</v>
      </c>
      <c r="L483" s="3" t="n"/>
      <c r="M483" s="3" t="n"/>
      <c r="N483" s="3" t="n">
        <v>82.90000000000001</v>
      </c>
      <c r="O483" s="3" t="n"/>
      <c r="P483" s="3">
        <f>IF(L483&lt;&gt;"",L483/1.4,"")</f>
        <v/>
      </c>
      <c r="Q483" s="3">
        <f>IF(L483&lt;&gt;"",L483/1.56,"")</f>
        <v/>
      </c>
      <c r="R483" s="3">
        <f>IF(M483&lt;&gt;"",M483/1.4,"")</f>
        <v/>
      </c>
      <c r="S483" s="3">
        <f>IF(M483&lt;&gt;"",M483/1.56,"")</f>
        <v/>
      </c>
      <c r="T483" s="3">
        <f>IF(N483&lt;&gt;"",N483,IF(O483&lt;&gt;"",O483,IF(L483&lt;&gt;"",L483/1.56,IF(M483&lt;&gt;"",M483/1.56,""))))</f>
        <v/>
      </c>
      <c r="U483" s="3" t="n">
        <v>308</v>
      </c>
      <c r="V483" s="3" t="n">
        <v>188</v>
      </c>
      <c r="W483" s="3" t="n"/>
      <c r="X483" s="4" t="n"/>
      <c r="Y483" s="5" t="n">
        <v>0.174</v>
      </c>
      <c r="Z483" s="4">
        <f>IF(L483&lt;&gt;"",SQRT(3)*G483*L483/1000,"")</f>
        <v/>
      </c>
      <c r="AA483" t="inlineStr">
        <is>
          <t>Source=Copeland 2D/3D/4D/4R/6D/8D/9R compressors (pdf) p13; PWS_RLA=41.4</t>
        </is>
      </c>
      <c r="AB483" t="inlineStr">
        <is>
          <t>Copeland_RLA_230_460_3ph_60Hz.xlsx</t>
        </is>
      </c>
      <c r="AC483" t="inlineStr">
        <is>
          <t>Recip_2D-9R</t>
        </is>
      </c>
    </row>
    <row r="484">
      <c r="A484" t="inlineStr">
        <is>
          <t>COPELAND</t>
        </is>
      </c>
      <c r="B484" t="inlineStr">
        <is>
          <t>4DE3R18ME-TSK</t>
        </is>
      </c>
      <c r="D484" t="inlineStr">
        <is>
          <t>Reciprocating Semi-hermetic</t>
        </is>
      </c>
      <c r="E484" s="2" t="n">
        <v>3</v>
      </c>
      <c r="F484" s="2" t="n">
        <v>60</v>
      </c>
      <c r="G484" s="2" t="n">
        <v>460</v>
      </c>
      <c r="H484" t="inlineStr">
        <is>
          <t>460</t>
        </is>
      </c>
      <c r="I484" s="2" t="n">
        <v>460</v>
      </c>
      <c r="J484" s="2" t="n">
        <v>460</v>
      </c>
      <c r="L484" s="3" t="n"/>
      <c r="M484" s="3" t="n"/>
      <c r="N484" s="3" t="n">
        <v>41.4</v>
      </c>
      <c r="O484" s="3" t="n"/>
      <c r="P484" s="3">
        <f>IF(L484&lt;&gt;"",L484/1.4,"")</f>
        <v/>
      </c>
      <c r="Q484" s="3">
        <f>IF(L484&lt;&gt;"",L484/1.56,"")</f>
        <v/>
      </c>
      <c r="R484" s="3">
        <f>IF(M484&lt;&gt;"",M484/1.4,"")</f>
        <v/>
      </c>
      <c r="S484" s="3">
        <f>IF(M484&lt;&gt;"",M484/1.56,"")</f>
        <v/>
      </c>
      <c r="T484" s="3">
        <f>IF(N484&lt;&gt;"",N484,IF(O484&lt;&gt;"",O484,IF(L484&lt;&gt;"",L484/1.56,IF(M484&lt;&gt;"",M484/1.56,""))))</f>
        <v/>
      </c>
      <c r="U484" s="3" t="n">
        <v>154</v>
      </c>
      <c r="V484" s="3" t="n"/>
      <c r="W484" s="3" t="n"/>
      <c r="X484" s="4" t="n"/>
      <c r="Y484" s="5" t="n">
        <v>0.696</v>
      </c>
      <c r="Z484" s="4">
        <f>IF(L484&lt;&gt;"",SQRT(3)*G484*L484/1000,"")</f>
        <v/>
      </c>
      <c r="AA484" t="inlineStr">
        <is>
          <t>Source=Copeland 2D/3D/4D/4R/6D/8D/9R compressors (pdf) p13</t>
        </is>
      </c>
      <c r="AB484" t="inlineStr">
        <is>
          <t>Copeland_RLA_230_460_3ph_60Hz.xlsx</t>
        </is>
      </c>
      <c r="AC484" t="inlineStr">
        <is>
          <t>Recip_2D-9R</t>
        </is>
      </c>
    </row>
    <row r="485">
      <c r="A485" t="inlineStr">
        <is>
          <t>COPELAND</t>
        </is>
      </c>
      <c r="B485" t="inlineStr">
        <is>
          <t>4DE3R18ML-FSD</t>
        </is>
      </c>
      <c r="D485" t="inlineStr">
        <is>
          <t>Reciprocating Semi-hermetic</t>
        </is>
      </c>
      <c r="E485" s="2" t="n">
        <v>3</v>
      </c>
      <c r="F485" s="2" t="n">
        <v>60</v>
      </c>
      <c r="G485" s="2" t="n">
        <v>460</v>
      </c>
      <c r="H485" t="inlineStr">
        <is>
          <t>460</t>
        </is>
      </c>
      <c r="I485" s="2" t="n">
        <v>460</v>
      </c>
      <c r="J485" s="2" t="n">
        <v>460</v>
      </c>
      <c r="L485" s="3" t="n"/>
      <c r="M485" s="3" t="n"/>
      <c r="N485" s="3" t="n">
        <v>33.6</v>
      </c>
      <c r="O485" s="3" t="n"/>
      <c r="P485" s="3">
        <f>IF(L485&lt;&gt;"",L485/1.4,"")</f>
        <v/>
      </c>
      <c r="Q485" s="3">
        <f>IF(L485&lt;&gt;"",L485/1.56,"")</f>
        <v/>
      </c>
      <c r="R485" s="3">
        <f>IF(M485&lt;&gt;"",M485/1.4,"")</f>
        <v/>
      </c>
      <c r="S485" s="3">
        <f>IF(M485&lt;&gt;"",M485/1.56,"")</f>
        <v/>
      </c>
      <c r="T485" s="3">
        <f>IF(N485&lt;&gt;"",N485,IF(O485&lt;&gt;"",O485,IF(L485&lt;&gt;"",L485/1.56,IF(M485&lt;&gt;"",M485/1.56,""))))</f>
        <v/>
      </c>
      <c r="U485" s="3" t="n">
        <v>173</v>
      </c>
      <c r="V485" s="3" t="n">
        <v>104</v>
      </c>
      <c r="W485" s="3" t="n"/>
      <c r="X485" s="4" t="n"/>
      <c r="Y485" s="5" t="n">
        <v>0.603</v>
      </c>
      <c r="Z485" s="4">
        <f>IF(L485&lt;&gt;"",SQRT(3)*G485*L485/1000,"")</f>
        <v/>
      </c>
      <c r="AA485" t="inlineStr">
        <is>
          <t>Source=Copeland 2D/3D/4D/4R/6D/8D/9R compressors (pdf) p13; PWS_RLA=16.8</t>
        </is>
      </c>
      <c r="AB485" t="inlineStr">
        <is>
          <t>Copeland_RLA_230_460_3ph_60Hz.xlsx</t>
        </is>
      </c>
      <c r="AC485" t="inlineStr">
        <is>
          <t>Recip_2D-9R</t>
        </is>
      </c>
    </row>
    <row r="486">
      <c r="A486" t="inlineStr">
        <is>
          <t>COPELAND</t>
        </is>
      </c>
      <c r="B486" t="inlineStr">
        <is>
          <t>4DE3R18ML-FSD</t>
        </is>
      </c>
      <c r="D486" t="inlineStr">
        <is>
          <t>Reciprocating Semi-hermetic</t>
        </is>
      </c>
      <c r="E486" s="2" t="n">
        <v>3</v>
      </c>
      <c r="F486" s="2" t="n">
        <v>60</v>
      </c>
      <c r="G486" s="2" t="n">
        <v>460</v>
      </c>
      <c r="H486" t="inlineStr">
        <is>
          <t>460</t>
        </is>
      </c>
      <c r="I486" s="2" t="n">
        <v>460</v>
      </c>
      <c r="J486" s="2" t="n">
        <v>460</v>
      </c>
      <c r="L486" s="3" t="n"/>
      <c r="M486" s="3" t="n"/>
      <c r="N486" s="3" t="n">
        <v>42.1</v>
      </c>
      <c r="O486" s="3" t="n"/>
      <c r="P486" s="3">
        <f>IF(L486&lt;&gt;"",L486/1.4,"")</f>
        <v/>
      </c>
      <c r="Q486" s="3">
        <f>IF(L486&lt;&gt;"",L486/1.56,"")</f>
        <v/>
      </c>
      <c r="R486" s="3">
        <f>IF(M486&lt;&gt;"",M486/1.4,"")</f>
        <v/>
      </c>
      <c r="S486" s="3">
        <f>IF(M486&lt;&gt;"",M486/1.56,"")</f>
        <v/>
      </c>
      <c r="T486" s="3">
        <f>IF(N486&lt;&gt;"",N486,IF(O486&lt;&gt;"",O486,IF(L486&lt;&gt;"",L486/1.56,IF(M486&lt;&gt;"",M486/1.56,""))))</f>
        <v/>
      </c>
      <c r="U486" s="3" t="n">
        <v>173</v>
      </c>
      <c r="V486" s="3" t="n">
        <v>104</v>
      </c>
      <c r="W486" s="3" t="n"/>
      <c r="X486" s="4" t="n"/>
      <c r="Y486" s="5" t="n">
        <v>0.603</v>
      </c>
      <c r="Z486" s="4">
        <f>IF(L486&lt;&gt;"",SQRT(3)*G486*L486/1000,"")</f>
        <v/>
      </c>
      <c r="AA486" t="inlineStr">
        <is>
          <t>Source=Copeland 2D/3D/4D/4R/6D/8D/9R compressors (pdf) p14; PWS_RLA=21.1</t>
        </is>
      </c>
      <c r="AB486" t="inlineStr">
        <is>
          <t>Copeland_RLA_230_460_3ph_60Hz.xlsx</t>
        </is>
      </c>
      <c r="AC486" t="inlineStr">
        <is>
          <t>Recip_2D-9R</t>
        </is>
      </c>
    </row>
    <row r="487">
      <c r="A487" t="inlineStr">
        <is>
          <t>COPELAND</t>
        </is>
      </c>
      <c r="B487" t="inlineStr">
        <is>
          <t>4DE3R18ML-TSK</t>
        </is>
      </c>
      <c r="D487" t="inlineStr">
        <is>
          <t>Reciprocating Semi-hermetic</t>
        </is>
      </c>
      <c r="E487" s="2" t="n">
        <v>3</v>
      </c>
      <c r="F487" s="2" t="n">
        <v>60</v>
      </c>
      <c r="G487" s="2" t="n">
        <v>230</v>
      </c>
      <c r="H487" t="inlineStr">
        <is>
          <t>208/230</t>
        </is>
      </c>
      <c r="I487" s="2" t="n">
        <v>208</v>
      </c>
      <c r="J487" s="2" t="n">
        <v>230</v>
      </c>
      <c r="L487" s="3" t="n"/>
      <c r="M487" s="3" t="n"/>
      <c r="N487" s="3" t="n">
        <v>82.90000000000001</v>
      </c>
      <c r="O487" s="3" t="n"/>
      <c r="P487" s="3">
        <f>IF(L487&lt;&gt;"",L487/1.4,"")</f>
        <v/>
      </c>
      <c r="Q487" s="3">
        <f>IF(L487&lt;&gt;"",L487/1.56,"")</f>
        <v/>
      </c>
      <c r="R487" s="3">
        <f>IF(M487&lt;&gt;"",M487/1.4,"")</f>
        <v/>
      </c>
      <c r="S487" s="3">
        <f>IF(M487&lt;&gt;"",M487/1.56,"")</f>
        <v/>
      </c>
      <c r="T487" s="3">
        <f>IF(N487&lt;&gt;"",N487,IF(O487&lt;&gt;"",O487,IF(L487&lt;&gt;"",L487/1.56,IF(M487&lt;&gt;"",M487/1.56,""))))</f>
        <v/>
      </c>
      <c r="U487" s="3" t="n">
        <v>308</v>
      </c>
      <c r="V487" s="3" t="n">
        <v>188</v>
      </c>
      <c r="W487" s="3" t="n"/>
      <c r="X487" s="4" t="n"/>
      <c r="Y487" s="5" t="n">
        <v>0.174</v>
      </c>
      <c r="Z487" s="4">
        <f>IF(L487&lt;&gt;"",SQRT(3)*G487*L487/1000,"")</f>
        <v/>
      </c>
      <c r="AA487" t="inlineStr">
        <is>
          <t>Source=Copeland 2D/3D/4D/4R/6D/8D/9R compressors (pdf) p14; PWS_RLA=41.4</t>
        </is>
      </c>
      <c r="AB487" t="inlineStr">
        <is>
          <t>Copeland_RLA_230_460_3ph_60Hz.xlsx</t>
        </is>
      </c>
      <c r="AC487" t="inlineStr">
        <is>
          <t>Recip_2D-9R</t>
        </is>
      </c>
    </row>
    <row r="488">
      <c r="A488" t="inlineStr">
        <is>
          <t>COPELAND</t>
        </is>
      </c>
      <c r="B488" t="inlineStr">
        <is>
          <t>4DE3R18ML-TSK</t>
        </is>
      </c>
      <c r="D488" t="inlineStr">
        <is>
          <t>Reciprocating Semi-hermetic</t>
        </is>
      </c>
      <c r="E488" s="2" t="n">
        <v>3</v>
      </c>
      <c r="F488" s="2" t="n">
        <v>60</v>
      </c>
      <c r="G488" s="2" t="n">
        <v>460</v>
      </c>
      <c r="H488" t="inlineStr">
        <is>
          <t>460</t>
        </is>
      </c>
      <c r="I488" s="2" t="n">
        <v>460</v>
      </c>
      <c r="J488" s="2" t="n">
        <v>460</v>
      </c>
      <c r="L488" s="3" t="n"/>
      <c r="M488" s="3" t="n"/>
      <c r="N488" s="3" t="n">
        <v>41.4</v>
      </c>
      <c r="O488" s="3" t="n"/>
      <c r="P488" s="3">
        <f>IF(L488&lt;&gt;"",L488/1.4,"")</f>
        <v/>
      </c>
      <c r="Q488" s="3">
        <f>IF(L488&lt;&gt;"",L488/1.56,"")</f>
        <v/>
      </c>
      <c r="R488" s="3">
        <f>IF(M488&lt;&gt;"",M488/1.4,"")</f>
        <v/>
      </c>
      <c r="S488" s="3">
        <f>IF(M488&lt;&gt;"",M488/1.56,"")</f>
        <v/>
      </c>
      <c r="T488" s="3">
        <f>IF(N488&lt;&gt;"",N488,IF(O488&lt;&gt;"",O488,IF(L488&lt;&gt;"",L488/1.56,IF(M488&lt;&gt;"",M488/1.56,""))))</f>
        <v/>
      </c>
      <c r="U488" s="3" t="n">
        <v>154</v>
      </c>
      <c r="V488" s="3" t="n"/>
      <c r="W488" s="3" t="n"/>
      <c r="X488" s="4" t="n"/>
      <c r="Y488" s="5" t="n">
        <v>0.696</v>
      </c>
      <c r="Z488" s="4">
        <f>IF(L488&lt;&gt;"",SQRT(3)*G488*L488/1000,"")</f>
        <v/>
      </c>
      <c r="AA488" t="inlineStr">
        <is>
          <t>Source=Copeland 2D/3D/4D/4R/6D/8D/9R compressors (pdf) p14</t>
        </is>
      </c>
      <c r="AB488" t="inlineStr">
        <is>
          <t>Copeland_RLA_230_460_3ph_60Hz.xlsx</t>
        </is>
      </c>
      <c r="AC488" t="inlineStr">
        <is>
          <t>Recip_2D-9R</t>
        </is>
      </c>
    </row>
    <row r="489">
      <c r="A489" t="inlineStr">
        <is>
          <t>COPELAND</t>
        </is>
      </c>
      <c r="B489" t="inlineStr">
        <is>
          <t>4DE3R19ME-TSK</t>
        </is>
      </c>
      <c r="D489" t="inlineStr">
        <is>
          <t>Reciprocating Semi-hermetic</t>
        </is>
      </c>
      <c r="E489" s="2" t="n">
        <v>3</v>
      </c>
      <c r="F489" s="2" t="n">
        <v>60</v>
      </c>
      <c r="G489" s="2" t="n">
        <v>230</v>
      </c>
      <c r="H489" t="inlineStr">
        <is>
          <t>208/230</t>
        </is>
      </c>
      <c r="I489" s="2" t="n">
        <v>208</v>
      </c>
      <c r="J489" s="2" t="n">
        <v>230</v>
      </c>
      <c r="L489" s="3" t="n"/>
      <c r="M489" s="3" t="n"/>
      <c r="N489" s="3" t="n">
        <v>72.09999999999999</v>
      </c>
      <c r="O489" s="3" t="n"/>
      <c r="P489" s="3">
        <f>IF(L489&lt;&gt;"",L489/1.4,"")</f>
        <v/>
      </c>
      <c r="Q489" s="3">
        <f>IF(L489&lt;&gt;"",L489/1.56,"")</f>
        <v/>
      </c>
      <c r="R489" s="3">
        <f>IF(M489&lt;&gt;"",M489/1.4,"")</f>
        <v/>
      </c>
      <c r="S489" s="3">
        <f>IF(M489&lt;&gt;"",M489/1.56,"")</f>
        <v/>
      </c>
      <c r="T489" s="3">
        <f>IF(N489&lt;&gt;"",N489,IF(O489&lt;&gt;"",O489,IF(L489&lt;&gt;"",L489/1.56,IF(M489&lt;&gt;"",M489/1.56,""))))</f>
        <v/>
      </c>
      <c r="U489" s="3" t="n">
        <v>308</v>
      </c>
      <c r="V489" s="3" t="n">
        <v>188</v>
      </c>
      <c r="W489" s="3" t="n"/>
      <c r="X489" s="4" t="n"/>
      <c r="Y489" s="5" t="n">
        <v>0.174</v>
      </c>
      <c r="Z489" s="4">
        <f>IF(L489&lt;&gt;"",SQRT(3)*G489*L489/1000,"")</f>
        <v/>
      </c>
      <c r="AA489" t="inlineStr">
        <is>
          <t>Source=Copeland 2D/3D/4D/4R/6D/8D/9R compressors (pdf) p14; PWS_RLA=36.1</t>
        </is>
      </c>
      <c r="AB489" t="inlineStr">
        <is>
          <t>Copeland_RLA_230_460_3ph_60Hz.xlsx</t>
        </is>
      </c>
      <c r="AC489" t="inlineStr">
        <is>
          <t>Recip_2D-9R</t>
        </is>
      </c>
    </row>
    <row r="490">
      <c r="A490" t="inlineStr">
        <is>
          <t>COPELAND</t>
        </is>
      </c>
      <c r="B490" t="inlineStr">
        <is>
          <t>4DE3R19ME-TSK</t>
        </is>
      </c>
      <c r="D490" t="inlineStr">
        <is>
          <t>Reciprocating Semi-hermetic</t>
        </is>
      </c>
      <c r="E490" s="2" t="n">
        <v>3</v>
      </c>
      <c r="F490" s="2" t="n">
        <v>60</v>
      </c>
      <c r="G490" s="2" t="n">
        <v>460</v>
      </c>
      <c r="H490" t="inlineStr">
        <is>
          <t>460</t>
        </is>
      </c>
      <c r="I490" s="2" t="n">
        <v>460</v>
      </c>
      <c r="J490" s="2" t="n">
        <v>460</v>
      </c>
      <c r="L490" s="3" t="n"/>
      <c r="M490" s="3" t="n"/>
      <c r="N490" s="3" t="n">
        <v>36.1</v>
      </c>
      <c r="O490" s="3" t="n"/>
      <c r="P490" s="3">
        <f>IF(L490&lt;&gt;"",L490/1.4,"")</f>
        <v/>
      </c>
      <c r="Q490" s="3">
        <f>IF(L490&lt;&gt;"",L490/1.56,"")</f>
        <v/>
      </c>
      <c r="R490" s="3">
        <f>IF(M490&lt;&gt;"",M490/1.4,"")</f>
        <v/>
      </c>
      <c r="S490" s="3">
        <f>IF(M490&lt;&gt;"",M490/1.56,"")</f>
        <v/>
      </c>
      <c r="T490" s="3">
        <f>IF(N490&lt;&gt;"",N490,IF(O490&lt;&gt;"",O490,IF(L490&lt;&gt;"",L490/1.56,IF(M490&lt;&gt;"",M490/1.56,""))))</f>
        <v/>
      </c>
      <c r="U490" s="3" t="n">
        <v>154</v>
      </c>
      <c r="V490" s="3" t="n"/>
      <c r="W490" s="3" t="n"/>
      <c r="X490" s="4" t="n"/>
      <c r="Y490" s="5" t="n">
        <v>0.696</v>
      </c>
      <c r="Z490" s="4">
        <f>IF(L490&lt;&gt;"",SQRT(3)*G490*L490/1000,"")</f>
        <v/>
      </c>
      <c r="AA490" t="inlineStr">
        <is>
          <t>Source=Copeland 2D/3D/4D/4R/6D/8D/9R compressors (pdf) p14</t>
        </is>
      </c>
      <c r="AB490" t="inlineStr">
        <is>
          <t>Copeland_RLA_230_460_3ph_60Hz.xlsx</t>
        </is>
      </c>
      <c r="AC490" t="inlineStr">
        <is>
          <t>Recip_2D-9R</t>
        </is>
      </c>
    </row>
    <row r="491">
      <c r="A491" t="inlineStr">
        <is>
          <t>COPELAND</t>
        </is>
      </c>
      <c r="B491" t="inlineStr">
        <is>
          <t>4DE3S13ME-TSK</t>
        </is>
      </c>
      <c r="D491" t="inlineStr">
        <is>
          <t>Reciprocating Semi-hermetic</t>
        </is>
      </c>
      <c r="E491" s="2" t="n">
        <v>3</v>
      </c>
      <c r="F491" s="2" t="n">
        <v>60</v>
      </c>
      <c r="G491" s="2" t="n">
        <v>230</v>
      </c>
      <c r="H491" t="inlineStr">
        <is>
          <t>208/230</t>
        </is>
      </c>
      <c r="I491" s="2" t="n">
        <v>208</v>
      </c>
      <c r="J491" s="2" t="n">
        <v>230</v>
      </c>
      <c r="L491" s="3" t="n"/>
      <c r="M491" s="3" t="n"/>
      <c r="N491" s="3" t="n">
        <v>57.1</v>
      </c>
      <c r="O491" s="3" t="n"/>
      <c r="P491" s="3">
        <f>IF(L491&lt;&gt;"",L491/1.4,"")</f>
        <v/>
      </c>
      <c r="Q491" s="3">
        <f>IF(L491&lt;&gt;"",L491/1.56,"")</f>
        <v/>
      </c>
      <c r="R491" s="3">
        <f>IF(M491&lt;&gt;"",M491/1.4,"")</f>
        <v/>
      </c>
      <c r="S491" s="3">
        <f>IF(M491&lt;&gt;"",M491/1.56,"")</f>
        <v/>
      </c>
      <c r="T491" s="3">
        <f>IF(N491&lt;&gt;"",N491,IF(O491&lt;&gt;"",O491,IF(L491&lt;&gt;"",L491/1.56,IF(M491&lt;&gt;"",M491/1.56,""))))</f>
        <v/>
      </c>
      <c r="U491" s="3" t="n">
        <v>278</v>
      </c>
      <c r="V491" s="3" t="n"/>
      <c r="W491" s="3" t="n"/>
      <c r="X491" s="4" t="n"/>
      <c r="Y491" s="5" t="n">
        <v>0.204</v>
      </c>
      <c r="Z491" s="4">
        <f>IF(L491&lt;&gt;"",SQRT(3)*G491*L491/1000,"")</f>
        <v/>
      </c>
      <c r="AA491" t="inlineStr">
        <is>
          <t>Source=Copeland 2D/3D/4D/4R/6D/8D/9R compressors (pdf) p14</t>
        </is>
      </c>
      <c r="AB491" t="inlineStr">
        <is>
          <t>Copeland_RLA_230_460_3ph_60Hz.xlsx</t>
        </is>
      </c>
      <c r="AC491" t="inlineStr">
        <is>
          <t>Recip_2D-9R</t>
        </is>
      </c>
    </row>
    <row r="492">
      <c r="A492" t="inlineStr">
        <is>
          <t>COPELAND</t>
        </is>
      </c>
      <c r="B492" t="inlineStr">
        <is>
          <t>4DE3S13ME-TSK</t>
        </is>
      </c>
      <c r="D492" t="inlineStr">
        <is>
          <t>Reciprocating Semi-hermetic</t>
        </is>
      </c>
      <c r="E492" s="2" t="n">
        <v>3</v>
      </c>
      <c r="F492" s="2" t="n">
        <v>60</v>
      </c>
      <c r="G492" s="2" t="n">
        <v>460</v>
      </c>
      <c r="H492" t="inlineStr">
        <is>
          <t>460</t>
        </is>
      </c>
      <c r="I492" s="2" t="n">
        <v>460</v>
      </c>
      <c r="J492" s="2" t="n">
        <v>460</v>
      </c>
      <c r="L492" s="3" t="n"/>
      <c r="M492" s="3" t="n"/>
      <c r="N492" s="3" t="n">
        <v>27.1</v>
      </c>
      <c r="O492" s="3" t="n"/>
      <c r="P492" s="3">
        <f>IF(L492&lt;&gt;"",L492/1.4,"")</f>
        <v/>
      </c>
      <c r="Q492" s="3">
        <f>IF(L492&lt;&gt;"",L492/1.56,"")</f>
        <v/>
      </c>
      <c r="R492" s="3">
        <f>IF(M492&lt;&gt;"",M492/1.4,"")</f>
        <v/>
      </c>
      <c r="S492" s="3">
        <f>IF(M492&lt;&gt;"",M492/1.56,"")</f>
        <v/>
      </c>
      <c r="T492" s="3">
        <f>IF(N492&lt;&gt;"",N492,IF(O492&lt;&gt;"",O492,IF(L492&lt;&gt;"",L492/1.56,IF(M492&lt;&gt;"",M492/1.56,""))))</f>
        <v/>
      </c>
      <c r="U492" s="3" t="n">
        <v>139</v>
      </c>
      <c r="V492" s="3" t="n"/>
      <c r="W492" s="3" t="n"/>
      <c r="X492" s="4" t="n"/>
      <c r="Y492" s="5" t="n">
        <v>0.8159999999999999</v>
      </c>
      <c r="Z492" s="4">
        <f>IF(L492&lt;&gt;"",SQRT(3)*G492*L492/1000,"")</f>
        <v/>
      </c>
      <c r="AA492" t="inlineStr">
        <is>
          <t>Source=Copeland 2D/3D/4D/4R/6D/8D/9R compressors (pdf) p14</t>
        </is>
      </c>
      <c r="AB492" t="inlineStr">
        <is>
          <t>Copeland_RLA_230_460_3ph_60Hz.xlsx</t>
        </is>
      </c>
      <c r="AC492" t="inlineStr">
        <is>
          <t>Recip_2D-9R</t>
        </is>
      </c>
    </row>
    <row r="493">
      <c r="A493" t="inlineStr">
        <is>
          <t>COPELAND</t>
        </is>
      </c>
      <c r="B493" t="inlineStr">
        <is>
          <t>4DE3S13ML-TSK</t>
        </is>
      </c>
      <c r="D493" t="inlineStr">
        <is>
          <t>Reciprocating Semi-hermetic</t>
        </is>
      </c>
      <c r="E493" s="2" t="n">
        <v>3</v>
      </c>
      <c r="F493" s="2" t="n">
        <v>60</v>
      </c>
      <c r="G493" s="2" t="n">
        <v>230</v>
      </c>
      <c r="H493" t="inlineStr">
        <is>
          <t>208/230</t>
        </is>
      </c>
      <c r="I493" s="2" t="n">
        <v>208</v>
      </c>
      <c r="J493" s="2" t="n">
        <v>230</v>
      </c>
      <c r="L493" s="3" t="n"/>
      <c r="M493" s="3" t="n"/>
      <c r="N493" s="3" t="n">
        <v>57.1</v>
      </c>
      <c r="O493" s="3" t="n"/>
      <c r="P493" s="3">
        <f>IF(L493&lt;&gt;"",L493/1.4,"")</f>
        <v/>
      </c>
      <c r="Q493" s="3">
        <f>IF(L493&lt;&gt;"",L493/1.56,"")</f>
        <v/>
      </c>
      <c r="R493" s="3">
        <f>IF(M493&lt;&gt;"",M493/1.4,"")</f>
        <v/>
      </c>
      <c r="S493" s="3">
        <f>IF(M493&lt;&gt;"",M493/1.56,"")</f>
        <v/>
      </c>
      <c r="T493" s="3">
        <f>IF(N493&lt;&gt;"",N493,IF(O493&lt;&gt;"",O493,IF(L493&lt;&gt;"",L493/1.56,IF(M493&lt;&gt;"",M493/1.56,""))))</f>
        <v/>
      </c>
      <c r="U493" s="3" t="n">
        <v>278</v>
      </c>
      <c r="V493" s="3" t="n"/>
      <c r="W493" s="3" t="n"/>
      <c r="X493" s="4" t="n"/>
      <c r="Y493" s="5" t="n">
        <v>0.204</v>
      </c>
      <c r="Z493" s="4">
        <f>IF(L493&lt;&gt;"",SQRT(3)*G493*L493/1000,"")</f>
        <v/>
      </c>
      <c r="AA493" t="inlineStr">
        <is>
          <t>Source=Copeland 2D/3D/4D/4R/6D/8D/9R compressors (pdf) p14</t>
        </is>
      </c>
      <c r="AB493" t="inlineStr">
        <is>
          <t>Copeland_RLA_230_460_3ph_60Hz.xlsx</t>
        </is>
      </c>
      <c r="AC493" t="inlineStr">
        <is>
          <t>Recip_2D-9R</t>
        </is>
      </c>
    </row>
    <row r="494">
      <c r="A494" t="inlineStr">
        <is>
          <t>COPELAND</t>
        </is>
      </c>
      <c r="B494" t="inlineStr">
        <is>
          <t>4DE3S13ML-TSK</t>
        </is>
      </c>
      <c r="D494" t="inlineStr">
        <is>
          <t>Reciprocating Semi-hermetic</t>
        </is>
      </c>
      <c r="E494" s="2" t="n">
        <v>3</v>
      </c>
      <c r="F494" s="2" t="n">
        <v>60</v>
      </c>
      <c r="G494" s="2" t="n">
        <v>460</v>
      </c>
      <c r="H494" t="inlineStr">
        <is>
          <t>460</t>
        </is>
      </c>
      <c r="I494" s="2" t="n">
        <v>460</v>
      </c>
      <c r="J494" s="2" t="n">
        <v>460</v>
      </c>
      <c r="L494" s="3" t="n"/>
      <c r="M494" s="3" t="n"/>
      <c r="N494" s="3" t="n">
        <v>27.1</v>
      </c>
      <c r="O494" s="3" t="n"/>
      <c r="P494" s="3">
        <f>IF(L494&lt;&gt;"",L494/1.4,"")</f>
        <v/>
      </c>
      <c r="Q494" s="3">
        <f>IF(L494&lt;&gt;"",L494/1.56,"")</f>
        <v/>
      </c>
      <c r="R494" s="3">
        <f>IF(M494&lt;&gt;"",M494/1.4,"")</f>
        <v/>
      </c>
      <c r="S494" s="3">
        <f>IF(M494&lt;&gt;"",M494/1.56,"")</f>
        <v/>
      </c>
      <c r="T494" s="3">
        <f>IF(N494&lt;&gt;"",N494,IF(O494&lt;&gt;"",O494,IF(L494&lt;&gt;"",L494/1.56,IF(M494&lt;&gt;"",M494/1.56,""))))</f>
        <v/>
      </c>
      <c r="U494" s="3" t="n">
        <v>139</v>
      </c>
      <c r="V494" s="3" t="n"/>
      <c r="W494" s="3" t="n"/>
      <c r="X494" s="4" t="n"/>
      <c r="Y494" s="5" t="n">
        <v>0.8159999999999999</v>
      </c>
      <c r="Z494" s="4">
        <f>IF(L494&lt;&gt;"",SQRT(3)*G494*L494/1000,"")</f>
        <v/>
      </c>
      <c r="AA494" t="inlineStr">
        <is>
          <t>Source=Copeland 2D/3D/4D/4R/6D/8D/9R compressors (pdf) p14</t>
        </is>
      </c>
      <c r="AB494" t="inlineStr">
        <is>
          <t>Copeland_RLA_230_460_3ph_60Hz.xlsx</t>
        </is>
      </c>
      <c r="AC494" t="inlineStr">
        <is>
          <t>Recip_2D-9R</t>
        </is>
      </c>
    </row>
    <row r="495">
      <c r="A495" t="inlineStr">
        <is>
          <t>COPELAND</t>
        </is>
      </c>
      <c r="B495" t="inlineStr">
        <is>
          <t>4DE4-2000-TSK</t>
        </is>
      </c>
      <c r="D495" t="inlineStr">
        <is>
          <t>Reciprocating Semi-hermetic</t>
        </is>
      </c>
      <c r="E495" s="2" t="n">
        <v>3</v>
      </c>
      <c r="F495" s="2" t="n">
        <v>60</v>
      </c>
      <c r="G495" s="2" t="n">
        <v>230</v>
      </c>
      <c r="H495" t="inlineStr">
        <is>
          <t>208/230</t>
        </is>
      </c>
      <c r="I495" s="2" t="n">
        <v>208</v>
      </c>
      <c r="J495" s="2" t="n">
        <v>230</v>
      </c>
      <c r="L495" s="3" t="n"/>
      <c r="M495" s="3" t="n"/>
      <c r="N495" s="3" t="n">
        <v>66.59999999999999</v>
      </c>
      <c r="O495" s="3" t="n"/>
      <c r="P495" s="3">
        <f>IF(L495&lt;&gt;"",L495/1.4,"")</f>
        <v/>
      </c>
      <c r="Q495" s="3">
        <f>IF(L495&lt;&gt;"",L495/1.56,"")</f>
        <v/>
      </c>
      <c r="R495" s="3">
        <f>IF(M495&lt;&gt;"",M495/1.4,"")</f>
        <v/>
      </c>
      <c r="S495" s="3">
        <f>IF(M495&lt;&gt;"",M495/1.56,"")</f>
        <v/>
      </c>
      <c r="T495" s="3">
        <f>IF(N495&lt;&gt;"",N495,IF(O495&lt;&gt;"",O495,IF(L495&lt;&gt;"",L495/1.56,IF(M495&lt;&gt;"",M495/1.56,""))))</f>
        <v/>
      </c>
      <c r="U495" s="3" t="n">
        <v>308</v>
      </c>
      <c r="V495" s="3" t="n">
        <v>188</v>
      </c>
      <c r="W495" s="3" t="n"/>
      <c r="X495" s="4" t="n"/>
      <c r="Y495" s="5" t="n">
        <v>0.174</v>
      </c>
      <c r="Z495" s="4">
        <f>IF(L495&lt;&gt;"",SQRT(3)*G495*L495/1000,"")</f>
        <v/>
      </c>
      <c r="AA495" t="inlineStr">
        <is>
          <t>Source=Copeland 2D/3D/4D/4R/6D/8D/9R compressors (pdf) p14; PWS_RLA=33.0</t>
        </is>
      </c>
      <c r="AB495" t="inlineStr">
        <is>
          <t>Copeland_RLA_230_460_3ph_60Hz.xlsx</t>
        </is>
      </c>
      <c r="AC495" t="inlineStr">
        <is>
          <t>Recip_2D-9R</t>
        </is>
      </c>
    </row>
    <row r="496">
      <c r="A496" t="inlineStr">
        <is>
          <t>COPELAND</t>
        </is>
      </c>
      <c r="B496" t="inlineStr">
        <is>
          <t>4DE4-2000-TSK</t>
        </is>
      </c>
      <c r="D496" t="inlineStr">
        <is>
          <t>Reciprocating Semi-hermetic</t>
        </is>
      </c>
      <c r="E496" s="2" t="n">
        <v>3</v>
      </c>
      <c r="F496" s="2" t="n">
        <v>60</v>
      </c>
      <c r="G496" s="2" t="n">
        <v>460</v>
      </c>
      <c r="H496" t="inlineStr">
        <is>
          <t>460</t>
        </is>
      </c>
      <c r="I496" s="2" t="n">
        <v>460</v>
      </c>
      <c r="J496" s="2" t="n">
        <v>460</v>
      </c>
      <c r="L496" s="3" t="n"/>
      <c r="M496" s="3" t="n"/>
      <c r="N496" s="3" t="n">
        <v>33.3</v>
      </c>
      <c r="O496" s="3" t="n"/>
      <c r="P496" s="3">
        <f>IF(L496&lt;&gt;"",L496/1.4,"")</f>
        <v/>
      </c>
      <c r="Q496" s="3">
        <f>IF(L496&lt;&gt;"",L496/1.56,"")</f>
        <v/>
      </c>
      <c r="R496" s="3">
        <f>IF(M496&lt;&gt;"",M496/1.4,"")</f>
        <v/>
      </c>
      <c r="S496" s="3">
        <f>IF(M496&lt;&gt;"",M496/1.56,"")</f>
        <v/>
      </c>
      <c r="T496" s="3">
        <f>IF(N496&lt;&gt;"",N496,IF(O496&lt;&gt;"",O496,IF(L496&lt;&gt;"",L496/1.56,IF(M496&lt;&gt;"",M496/1.56,""))))</f>
        <v/>
      </c>
      <c r="U496" s="3" t="n">
        <v>154</v>
      </c>
      <c r="V496" s="3" t="n"/>
      <c r="W496" s="3" t="n"/>
      <c r="X496" s="4" t="n"/>
      <c r="Y496" s="5" t="n">
        <v>0.696</v>
      </c>
      <c r="Z496" s="4">
        <f>IF(L496&lt;&gt;"",SQRT(3)*G496*L496/1000,"")</f>
        <v/>
      </c>
      <c r="AA496" t="inlineStr">
        <is>
          <t>Source=Copeland 2D/3D/4D/4R/6D/8D/9R compressors (pdf) p14</t>
        </is>
      </c>
      <c r="AB496" t="inlineStr">
        <is>
          <t>Copeland_RLA_230_460_3ph_60Hz.xlsx</t>
        </is>
      </c>
      <c r="AC496" t="inlineStr">
        <is>
          <t>Recip_2D-9R</t>
        </is>
      </c>
    </row>
    <row r="497">
      <c r="A497" t="inlineStr">
        <is>
          <t>COPELAND</t>
        </is>
      </c>
      <c r="B497" t="inlineStr">
        <is>
          <t>4DE5A2000-TSK</t>
        </is>
      </c>
      <c r="D497" t="inlineStr">
        <is>
          <t>Reciprocating Semi-hermetic</t>
        </is>
      </c>
      <c r="E497" s="2" t="n">
        <v>3</v>
      </c>
      <c r="F497" s="2" t="n">
        <v>60</v>
      </c>
      <c r="G497" s="2" t="n">
        <v>230</v>
      </c>
      <c r="H497" t="inlineStr">
        <is>
          <t>208/230</t>
        </is>
      </c>
      <c r="I497" s="2" t="n">
        <v>208</v>
      </c>
      <c r="J497" s="2" t="n">
        <v>230</v>
      </c>
      <c r="L497" s="3" t="n"/>
      <c r="M497" s="3" t="n"/>
      <c r="N497" s="3" t="n">
        <v>70</v>
      </c>
      <c r="O497" s="3" t="n"/>
      <c r="P497" s="3">
        <f>IF(L497&lt;&gt;"",L497/1.4,"")</f>
        <v/>
      </c>
      <c r="Q497" s="3">
        <f>IF(L497&lt;&gt;"",L497/1.56,"")</f>
        <v/>
      </c>
      <c r="R497" s="3">
        <f>IF(M497&lt;&gt;"",M497/1.4,"")</f>
        <v/>
      </c>
      <c r="S497" s="3">
        <f>IF(M497&lt;&gt;"",M497/1.56,"")</f>
        <v/>
      </c>
      <c r="T497" s="3">
        <f>IF(N497&lt;&gt;"",N497,IF(O497&lt;&gt;"",O497,IF(L497&lt;&gt;"",L497/1.56,IF(M497&lt;&gt;"",M497/1.56,""))))</f>
        <v/>
      </c>
      <c r="U497" s="3" t="n">
        <v>308</v>
      </c>
      <c r="V497" s="3" t="n">
        <v>188</v>
      </c>
      <c r="W497" s="3" t="n"/>
      <c r="X497" s="4" t="n"/>
      <c r="Y497" s="5" t="n">
        <v>0.174</v>
      </c>
      <c r="Z497" s="4">
        <f>IF(L497&lt;&gt;"",SQRT(3)*G497*L497/1000,"")</f>
        <v/>
      </c>
      <c r="AA497" t="inlineStr">
        <is>
          <t>Source=Copeland 2D/3D/4D/4R/6D/8D/9R compressors (pdf) p14; PWS_RLA=35.0</t>
        </is>
      </c>
      <c r="AB497" t="inlineStr">
        <is>
          <t>Copeland_RLA_230_460_3ph_60Hz.xlsx</t>
        </is>
      </c>
      <c r="AC497" t="inlineStr">
        <is>
          <t>Recip_2D-9R</t>
        </is>
      </c>
    </row>
    <row r="498">
      <c r="A498" t="inlineStr">
        <is>
          <t>COPELAND</t>
        </is>
      </c>
      <c r="B498" t="inlineStr">
        <is>
          <t>4DE5A2000-TSK</t>
        </is>
      </c>
      <c r="D498" t="inlineStr">
        <is>
          <t>Reciprocating Semi-hermetic</t>
        </is>
      </c>
      <c r="E498" s="2" t="n">
        <v>3</v>
      </c>
      <c r="F498" s="2" t="n">
        <v>60</v>
      </c>
      <c r="G498" s="2" t="n">
        <v>460</v>
      </c>
      <c r="H498" t="inlineStr">
        <is>
          <t>460</t>
        </is>
      </c>
      <c r="I498" s="2" t="n">
        <v>460</v>
      </c>
      <c r="J498" s="2" t="n">
        <v>460</v>
      </c>
      <c r="L498" s="3" t="n"/>
      <c r="M498" s="3" t="n"/>
      <c r="N498" s="3" t="n">
        <v>35</v>
      </c>
      <c r="O498" s="3" t="n"/>
      <c r="P498" s="3">
        <f>IF(L498&lt;&gt;"",L498/1.4,"")</f>
        <v/>
      </c>
      <c r="Q498" s="3">
        <f>IF(L498&lt;&gt;"",L498/1.56,"")</f>
        <v/>
      </c>
      <c r="R498" s="3">
        <f>IF(M498&lt;&gt;"",M498/1.4,"")</f>
        <v/>
      </c>
      <c r="S498" s="3">
        <f>IF(M498&lt;&gt;"",M498/1.56,"")</f>
        <v/>
      </c>
      <c r="T498" s="3">
        <f>IF(N498&lt;&gt;"",N498,IF(O498&lt;&gt;"",O498,IF(L498&lt;&gt;"",L498/1.56,IF(M498&lt;&gt;"",M498/1.56,""))))</f>
        <v/>
      </c>
      <c r="U498" s="3" t="n">
        <v>154</v>
      </c>
      <c r="V498" s="3" t="n"/>
      <c r="W498" s="3" t="n"/>
      <c r="X498" s="4" t="n"/>
      <c r="Y498" s="5" t="n">
        <v>0.696</v>
      </c>
      <c r="Z498" s="4">
        <f>IF(L498&lt;&gt;"",SQRT(3)*G498*L498/1000,"")</f>
        <v/>
      </c>
      <c r="AA498" t="inlineStr">
        <is>
          <t>Source=Copeland 2D/3D/4D/4R/6D/8D/9R compressors (pdf) p14</t>
        </is>
      </c>
      <c r="AB498" t="inlineStr">
        <is>
          <t>Copeland_RLA_230_460_3ph_60Hz.xlsx</t>
        </is>
      </c>
      <c r="AC498" t="inlineStr">
        <is>
          <t>Recip_2D-9R</t>
        </is>
      </c>
    </row>
    <row r="499">
      <c r="A499" t="inlineStr">
        <is>
          <t>COPELAND</t>
        </is>
      </c>
      <c r="B499" t="inlineStr">
        <is>
          <t>4DE8A101E-TSK</t>
        </is>
      </c>
      <c r="D499" t="inlineStr">
        <is>
          <t>Reciprocating Semi-hermetic</t>
        </is>
      </c>
      <c r="E499" s="2" t="n">
        <v>3</v>
      </c>
      <c r="F499" s="2" t="n">
        <v>60</v>
      </c>
      <c r="G499" s="2" t="n">
        <v>230</v>
      </c>
      <c r="H499" t="inlineStr">
        <is>
          <t>208/230</t>
        </is>
      </c>
      <c r="I499" s="2" t="n">
        <v>208</v>
      </c>
      <c r="J499" s="2" t="n">
        <v>230</v>
      </c>
      <c r="L499" s="3" t="n"/>
      <c r="M499" s="3" t="n"/>
      <c r="N499" s="3" t="n">
        <v>45.6</v>
      </c>
      <c r="O499" s="3" t="n"/>
      <c r="P499" s="3">
        <f>IF(L499&lt;&gt;"",L499/1.4,"")</f>
        <v/>
      </c>
      <c r="Q499" s="3">
        <f>IF(L499&lt;&gt;"",L499/1.56,"")</f>
        <v/>
      </c>
      <c r="R499" s="3">
        <f>IF(M499&lt;&gt;"",M499/1.4,"")</f>
        <v/>
      </c>
      <c r="S499" s="3">
        <f>IF(M499&lt;&gt;"",M499/1.56,"")</f>
        <v/>
      </c>
      <c r="T499" s="3">
        <f>IF(N499&lt;&gt;"",N499,IF(O499&lt;&gt;"",O499,IF(L499&lt;&gt;"",L499/1.56,IF(M499&lt;&gt;"",M499/1.56,""))))</f>
        <v/>
      </c>
      <c r="U499" s="3" t="n">
        <v>220</v>
      </c>
      <c r="V499" s="3" t="n">
        <v>134</v>
      </c>
      <c r="W499" s="3" t="n"/>
      <c r="X499" s="4" t="n"/>
      <c r="Y499" s="5" t="n">
        <v>0.244</v>
      </c>
      <c r="Z499" s="4">
        <f>IF(L499&lt;&gt;"",SQRT(3)*G499*L499/1000,"")</f>
        <v/>
      </c>
      <c r="AA499" t="inlineStr">
        <is>
          <t>Source=Copeland 2D/3D/4D/4R/6D/8D/9R compressors (pdf) p14; PWS_RLA=22.6</t>
        </is>
      </c>
      <c r="AB499" t="inlineStr">
        <is>
          <t>Copeland_RLA_230_460_3ph_60Hz.xlsx</t>
        </is>
      </c>
      <c r="AC499" t="inlineStr">
        <is>
          <t>Recip_2D-9R</t>
        </is>
      </c>
    </row>
    <row r="500">
      <c r="A500" t="inlineStr">
        <is>
          <t>COPELAND</t>
        </is>
      </c>
      <c r="B500" t="inlineStr">
        <is>
          <t>4DE8A101E-TSK</t>
        </is>
      </c>
      <c r="D500" t="inlineStr">
        <is>
          <t>Reciprocating Semi-hermetic</t>
        </is>
      </c>
      <c r="E500" s="2" t="n">
        <v>3</v>
      </c>
      <c r="F500" s="2" t="n">
        <v>60</v>
      </c>
      <c r="G500" s="2" t="n">
        <v>460</v>
      </c>
      <c r="H500" t="inlineStr">
        <is>
          <t>460</t>
        </is>
      </c>
      <c r="I500" s="2" t="n">
        <v>460</v>
      </c>
      <c r="J500" s="2" t="n">
        <v>460</v>
      </c>
      <c r="L500" s="3" t="n"/>
      <c r="M500" s="3" t="n"/>
      <c r="N500" s="3" t="n">
        <v>22.8</v>
      </c>
      <c r="O500" s="3" t="n"/>
      <c r="P500" s="3">
        <f>IF(L500&lt;&gt;"",L500/1.4,"")</f>
        <v/>
      </c>
      <c r="Q500" s="3">
        <f>IF(L500&lt;&gt;"",L500/1.56,"")</f>
        <v/>
      </c>
      <c r="R500" s="3">
        <f>IF(M500&lt;&gt;"",M500/1.4,"")</f>
        <v/>
      </c>
      <c r="S500" s="3">
        <f>IF(M500&lt;&gt;"",M500/1.56,"")</f>
        <v/>
      </c>
      <c r="T500" s="3">
        <f>IF(N500&lt;&gt;"",N500,IF(O500&lt;&gt;"",O500,IF(L500&lt;&gt;"",L500/1.56,IF(M500&lt;&gt;"",M500/1.56,""))))</f>
        <v/>
      </c>
      <c r="U500" s="3" t="n">
        <v>110</v>
      </c>
      <c r="V500" s="3" t="n"/>
      <c r="W500" s="3" t="n"/>
      <c r="X500" s="4" t="n"/>
      <c r="Y500" s="5" t="n">
        <v>0.976</v>
      </c>
      <c r="Z500" s="4">
        <f>IF(L500&lt;&gt;"",SQRT(3)*G500*L500/1000,"")</f>
        <v/>
      </c>
      <c r="AA500" t="inlineStr">
        <is>
          <t>Source=Copeland 2D/3D/4D/4R/6D/8D/9R compressors (pdf) p14</t>
        </is>
      </c>
      <c r="AB500" t="inlineStr">
        <is>
          <t>Copeland_RLA_230_460_3ph_60Hz.xlsx</t>
        </is>
      </c>
      <c r="AC500" t="inlineStr">
        <is>
          <t>Recip_2D-9R</t>
        </is>
      </c>
    </row>
    <row r="501">
      <c r="A501" t="inlineStr">
        <is>
          <t>COPELAND</t>
        </is>
      </c>
      <c r="B501" t="inlineStr">
        <is>
          <t>4DE8A2000-FSD</t>
        </is>
      </c>
      <c r="D501" t="inlineStr">
        <is>
          <t>Reciprocating Semi-hermetic</t>
        </is>
      </c>
      <c r="E501" s="2" t="n">
        <v>3</v>
      </c>
      <c r="F501" s="2" t="n">
        <v>60</v>
      </c>
      <c r="G501" s="2" t="n">
        <v>460</v>
      </c>
      <c r="H501" t="inlineStr">
        <is>
          <t>460</t>
        </is>
      </c>
      <c r="I501" s="2" t="n">
        <v>460</v>
      </c>
      <c r="J501" s="2" t="n">
        <v>460</v>
      </c>
      <c r="L501" s="3" t="n"/>
      <c r="M501" s="3" t="n"/>
      <c r="N501" s="3" t="n">
        <v>33.6</v>
      </c>
      <c r="O501" s="3" t="n"/>
      <c r="P501" s="3">
        <f>IF(L501&lt;&gt;"",L501/1.4,"")</f>
        <v/>
      </c>
      <c r="Q501" s="3">
        <f>IF(L501&lt;&gt;"",L501/1.56,"")</f>
        <v/>
      </c>
      <c r="R501" s="3">
        <f>IF(M501&lt;&gt;"",M501/1.4,"")</f>
        <v/>
      </c>
      <c r="S501" s="3">
        <f>IF(M501&lt;&gt;"",M501/1.56,"")</f>
        <v/>
      </c>
      <c r="T501" s="3">
        <f>IF(N501&lt;&gt;"",N501,IF(O501&lt;&gt;"",O501,IF(L501&lt;&gt;"",L501/1.56,IF(M501&lt;&gt;"",M501/1.56,""))))</f>
        <v/>
      </c>
      <c r="U501" s="3" t="n">
        <v>173</v>
      </c>
      <c r="V501" s="3" t="n">
        <v>104</v>
      </c>
      <c r="W501" s="3" t="n"/>
      <c r="X501" s="4" t="n"/>
      <c r="Y501" s="5" t="n">
        <v>0.603</v>
      </c>
      <c r="Z501" s="4">
        <f>IF(L501&lt;&gt;"",SQRT(3)*G501*L501/1000,"")</f>
        <v/>
      </c>
      <c r="AA501" t="inlineStr">
        <is>
          <t>Source=Copeland 2D/3D/4D/4R/6D/8D/9R compressors (pdf) p14; PWS_RLA=16.8</t>
        </is>
      </c>
      <c r="AB501" t="inlineStr">
        <is>
          <t>Copeland_RLA_230_460_3ph_60Hz.xlsx</t>
        </is>
      </c>
      <c r="AC501" t="inlineStr">
        <is>
          <t>Recip_2D-9R</t>
        </is>
      </c>
    </row>
    <row r="502">
      <c r="A502" t="inlineStr">
        <is>
          <t>COPELAND</t>
        </is>
      </c>
      <c r="B502" t="inlineStr">
        <is>
          <t>4DE8A200E-TSK</t>
        </is>
      </c>
      <c r="D502" t="inlineStr">
        <is>
          <t>Reciprocating Semi-hermetic</t>
        </is>
      </c>
      <c r="E502" s="2" t="n">
        <v>3</v>
      </c>
      <c r="F502" s="2" t="n">
        <v>60</v>
      </c>
      <c r="G502" s="2" t="n">
        <v>230</v>
      </c>
      <c r="H502" t="inlineStr">
        <is>
          <t>208/230</t>
        </is>
      </c>
      <c r="I502" s="2" t="n">
        <v>208</v>
      </c>
      <c r="J502" s="2" t="n">
        <v>230</v>
      </c>
      <c r="L502" s="3" t="n"/>
      <c r="M502" s="3" t="n"/>
      <c r="N502" s="3" t="n">
        <v>58.7</v>
      </c>
      <c r="O502" s="3" t="n"/>
      <c r="P502" s="3">
        <f>IF(L502&lt;&gt;"",L502/1.4,"")</f>
        <v/>
      </c>
      <c r="Q502" s="3">
        <f>IF(L502&lt;&gt;"",L502/1.56,"")</f>
        <v/>
      </c>
      <c r="R502" s="3">
        <f>IF(M502&lt;&gt;"",M502/1.4,"")</f>
        <v/>
      </c>
      <c r="S502" s="3">
        <f>IF(M502&lt;&gt;"",M502/1.56,"")</f>
        <v/>
      </c>
      <c r="T502" s="3">
        <f>IF(N502&lt;&gt;"",N502,IF(O502&lt;&gt;"",O502,IF(L502&lt;&gt;"",L502/1.56,IF(M502&lt;&gt;"",M502/1.56,""))))</f>
        <v/>
      </c>
      <c r="U502" s="3" t="n">
        <v>308</v>
      </c>
      <c r="V502" s="3" t="n">
        <v>188</v>
      </c>
      <c r="W502" s="3" t="n"/>
      <c r="X502" s="4" t="n"/>
      <c r="Y502" s="5" t="n">
        <v>0.174</v>
      </c>
      <c r="Z502" s="4">
        <f>IF(L502&lt;&gt;"",SQRT(3)*G502*L502/1000,"")</f>
        <v/>
      </c>
      <c r="AA502" t="inlineStr">
        <is>
          <t>Source=Copeland 2D/3D/4D/4R/6D/8D/9R compressors (pdf) p14; PWS_RLA=33.0</t>
        </is>
      </c>
      <c r="AB502" t="inlineStr">
        <is>
          <t>Copeland_RLA_230_460_3ph_60Hz.xlsx</t>
        </is>
      </c>
      <c r="AC502" t="inlineStr">
        <is>
          <t>Recip_2D-9R</t>
        </is>
      </c>
    </row>
    <row r="503">
      <c r="A503" t="inlineStr">
        <is>
          <t>COPELAND</t>
        </is>
      </c>
      <c r="B503" t="inlineStr">
        <is>
          <t>4DE8A200E-TSK</t>
        </is>
      </c>
      <c r="D503" t="inlineStr">
        <is>
          <t>Reciprocating Semi-hermetic</t>
        </is>
      </c>
      <c r="E503" s="2" t="n">
        <v>3</v>
      </c>
      <c r="F503" s="2" t="n">
        <v>60</v>
      </c>
      <c r="G503" s="2" t="n">
        <v>460</v>
      </c>
      <c r="H503" t="inlineStr">
        <is>
          <t>460</t>
        </is>
      </c>
      <c r="I503" s="2" t="n">
        <v>460</v>
      </c>
      <c r="J503" s="2" t="n">
        <v>460</v>
      </c>
      <c r="L503" s="3" t="n"/>
      <c r="M503" s="3" t="n"/>
      <c r="N503" s="3" t="n">
        <v>29.4</v>
      </c>
      <c r="O503" s="3" t="n"/>
      <c r="P503" s="3">
        <f>IF(L503&lt;&gt;"",L503/1.4,"")</f>
        <v/>
      </c>
      <c r="Q503" s="3">
        <f>IF(L503&lt;&gt;"",L503/1.56,"")</f>
        <v/>
      </c>
      <c r="R503" s="3">
        <f>IF(M503&lt;&gt;"",M503/1.4,"")</f>
        <v/>
      </c>
      <c r="S503" s="3">
        <f>IF(M503&lt;&gt;"",M503/1.56,"")</f>
        <v/>
      </c>
      <c r="T503" s="3">
        <f>IF(N503&lt;&gt;"",N503,IF(O503&lt;&gt;"",O503,IF(L503&lt;&gt;"",L503/1.56,IF(M503&lt;&gt;"",M503/1.56,""))))</f>
        <v/>
      </c>
      <c r="U503" s="3" t="n">
        <v>154</v>
      </c>
      <c r="V503" s="3" t="n"/>
      <c r="W503" s="3" t="n"/>
      <c r="X503" s="4" t="n"/>
      <c r="Y503" s="5" t="n">
        <v>0.696</v>
      </c>
      <c r="Z503" s="4">
        <f>IF(L503&lt;&gt;"",SQRT(3)*G503*L503/1000,"")</f>
        <v/>
      </c>
      <c r="AA503" t="inlineStr">
        <is>
          <t>Source=Copeland 2D/3D/4D/4R/6D/8D/9R compressors (pdf) p14</t>
        </is>
      </c>
      <c r="AB503" t="inlineStr">
        <is>
          <t>Copeland_RLA_230_460_3ph_60Hz.xlsx</t>
        </is>
      </c>
      <c r="AC503" t="inlineStr">
        <is>
          <t>Recip_2D-9R</t>
        </is>
      </c>
    </row>
    <row r="504">
      <c r="A504" t="inlineStr">
        <is>
          <t>COPELAND</t>
        </is>
      </c>
      <c r="B504" t="inlineStr">
        <is>
          <t>4DE8F47KE-TSK</t>
        </is>
      </c>
      <c r="D504" t="inlineStr">
        <is>
          <t>Reciprocating Semi-hermetic</t>
        </is>
      </c>
      <c r="E504" s="2" t="n">
        <v>3</v>
      </c>
      <c r="F504" s="2" t="n">
        <v>60</v>
      </c>
      <c r="G504" s="2" t="n">
        <v>230</v>
      </c>
      <c r="H504" t="inlineStr">
        <is>
          <t>208/230</t>
        </is>
      </c>
      <c r="I504" s="2" t="n">
        <v>208</v>
      </c>
      <c r="J504" s="2" t="n">
        <v>230</v>
      </c>
      <c r="L504" s="3" t="n"/>
      <c r="M504" s="3" t="n"/>
      <c r="N504" s="3" t="n">
        <v>45.6</v>
      </c>
      <c r="O504" s="3" t="n"/>
      <c r="P504" s="3">
        <f>IF(L504&lt;&gt;"",L504/1.4,"")</f>
        <v/>
      </c>
      <c r="Q504" s="3">
        <f>IF(L504&lt;&gt;"",L504/1.56,"")</f>
        <v/>
      </c>
      <c r="R504" s="3">
        <f>IF(M504&lt;&gt;"",M504/1.4,"")</f>
        <v/>
      </c>
      <c r="S504" s="3">
        <f>IF(M504&lt;&gt;"",M504/1.56,"")</f>
        <v/>
      </c>
      <c r="T504" s="3">
        <f>IF(N504&lt;&gt;"",N504,IF(O504&lt;&gt;"",O504,IF(L504&lt;&gt;"",L504/1.56,IF(M504&lt;&gt;"",M504/1.56,""))))</f>
        <v/>
      </c>
      <c r="U504" s="3" t="n">
        <v>220</v>
      </c>
      <c r="V504" s="3" t="n">
        <v>134</v>
      </c>
      <c r="W504" s="3" t="n"/>
      <c r="X504" s="4" t="n"/>
      <c r="Y504" s="5" t="n">
        <v>0.244</v>
      </c>
      <c r="Z504" s="4">
        <f>IF(L504&lt;&gt;"",SQRT(3)*G504*L504/1000,"")</f>
        <v/>
      </c>
      <c r="AA504" t="inlineStr">
        <is>
          <t>Source=Copeland 2D/3D/4D/4R/6D/8D/9R compressors (pdf) p14; PWS_RLA=22.6</t>
        </is>
      </c>
      <c r="AB504" t="inlineStr">
        <is>
          <t>Copeland_RLA_230_460_3ph_60Hz.xlsx</t>
        </is>
      </c>
      <c r="AC504" t="inlineStr">
        <is>
          <t>Recip_2D-9R</t>
        </is>
      </c>
    </row>
    <row r="505">
      <c r="A505" t="inlineStr">
        <is>
          <t>COPELAND</t>
        </is>
      </c>
      <c r="B505" t="inlineStr">
        <is>
          <t>4DE8F47KE-TSK</t>
        </is>
      </c>
      <c r="D505" t="inlineStr">
        <is>
          <t>Reciprocating Semi-hermetic</t>
        </is>
      </c>
      <c r="E505" s="2" t="n">
        <v>3</v>
      </c>
      <c r="F505" s="2" t="n">
        <v>60</v>
      </c>
      <c r="G505" s="2" t="n">
        <v>460</v>
      </c>
      <c r="H505" t="inlineStr">
        <is>
          <t>460</t>
        </is>
      </c>
      <c r="I505" s="2" t="n">
        <v>460</v>
      </c>
      <c r="J505" s="2" t="n">
        <v>460</v>
      </c>
      <c r="L505" s="3" t="n"/>
      <c r="M505" s="3" t="n"/>
      <c r="N505" s="3" t="n">
        <v>22.8</v>
      </c>
      <c r="O505" s="3" t="n"/>
      <c r="P505" s="3">
        <f>IF(L505&lt;&gt;"",L505/1.4,"")</f>
        <v/>
      </c>
      <c r="Q505" s="3">
        <f>IF(L505&lt;&gt;"",L505/1.56,"")</f>
        <v/>
      </c>
      <c r="R505" s="3">
        <f>IF(M505&lt;&gt;"",M505/1.4,"")</f>
        <v/>
      </c>
      <c r="S505" s="3">
        <f>IF(M505&lt;&gt;"",M505/1.56,"")</f>
        <v/>
      </c>
      <c r="T505" s="3">
        <f>IF(N505&lt;&gt;"",N505,IF(O505&lt;&gt;"",O505,IF(L505&lt;&gt;"",L505/1.56,IF(M505&lt;&gt;"",M505/1.56,""))))</f>
        <v/>
      </c>
      <c r="U505" s="3" t="n">
        <v>110</v>
      </c>
      <c r="V505" s="3" t="n"/>
      <c r="W505" s="3" t="n"/>
      <c r="X505" s="4" t="n"/>
      <c r="Y505" s="5" t="n">
        <v>0.976</v>
      </c>
      <c r="Z505" s="4">
        <f>IF(L505&lt;&gt;"",SQRT(3)*G505*L505/1000,"")</f>
        <v/>
      </c>
      <c r="AA505" t="inlineStr">
        <is>
          <t>Source=Copeland 2D/3D/4D/4R/6D/8D/9R compressors (pdf) p14</t>
        </is>
      </c>
      <c r="AB505" t="inlineStr">
        <is>
          <t>Copeland_RLA_230_460_3ph_60Hz.xlsx</t>
        </is>
      </c>
      <c r="AC505" t="inlineStr">
        <is>
          <t>Recip_2D-9R</t>
        </is>
      </c>
    </row>
    <row r="506">
      <c r="A506" t="inlineStr">
        <is>
          <t>COPELAND</t>
        </is>
      </c>
      <c r="B506" t="inlineStr">
        <is>
          <t>4DEG-1010-TSK</t>
        </is>
      </c>
      <c r="D506" t="inlineStr">
        <is>
          <t>Reciprocating Semi-hermetic</t>
        </is>
      </c>
      <c r="E506" s="2" t="n">
        <v>3</v>
      </c>
      <c r="F506" s="2" t="n">
        <v>60</v>
      </c>
      <c r="G506" s="2" t="n">
        <v>230</v>
      </c>
      <c r="H506" t="inlineStr">
        <is>
          <t>208/230</t>
        </is>
      </c>
      <c r="I506" s="2" t="n">
        <v>208</v>
      </c>
      <c r="J506" s="2" t="n">
        <v>230</v>
      </c>
      <c r="L506" s="3" t="n"/>
      <c r="M506" s="3" t="n"/>
      <c r="N506" s="3" t="n">
        <v>42</v>
      </c>
      <c r="O506" s="3" t="n"/>
      <c r="P506" s="3">
        <f>IF(L506&lt;&gt;"",L506/1.4,"")</f>
        <v/>
      </c>
      <c r="Q506" s="3">
        <f>IF(L506&lt;&gt;"",L506/1.56,"")</f>
        <v/>
      </c>
      <c r="R506" s="3">
        <f>IF(M506&lt;&gt;"",M506/1.4,"")</f>
        <v/>
      </c>
      <c r="S506" s="3">
        <f>IF(M506&lt;&gt;"",M506/1.56,"")</f>
        <v/>
      </c>
      <c r="T506" s="3">
        <f>IF(N506&lt;&gt;"",N506,IF(O506&lt;&gt;"",O506,IF(L506&lt;&gt;"",L506/1.56,IF(M506&lt;&gt;"",M506/1.56,""))))</f>
        <v/>
      </c>
      <c r="U506" s="3" t="n">
        <v>220</v>
      </c>
      <c r="V506" s="3" t="n">
        <v>134</v>
      </c>
      <c r="W506" s="3" t="n"/>
      <c r="X506" s="4" t="n"/>
      <c r="Y506" s="5" t="n">
        <v>0.244</v>
      </c>
      <c r="Z506" s="4">
        <f>IF(L506&lt;&gt;"",SQRT(3)*G506*L506/1000,"")</f>
        <v/>
      </c>
      <c r="AA506" t="inlineStr">
        <is>
          <t>Source=Copeland 2D/3D/4D/4R/6D/8D/9R compressors (pdf) p14; PWS_RLA=22.6</t>
        </is>
      </c>
      <c r="AB506" t="inlineStr">
        <is>
          <t>Copeland_RLA_230_460_3ph_60Hz.xlsx</t>
        </is>
      </c>
      <c r="AC506" t="inlineStr">
        <is>
          <t>Recip_2D-9R</t>
        </is>
      </c>
    </row>
    <row r="507">
      <c r="A507" t="inlineStr">
        <is>
          <t>COPELAND</t>
        </is>
      </c>
      <c r="B507" t="inlineStr">
        <is>
          <t>4DEG-1010-TSK</t>
        </is>
      </c>
      <c r="D507" t="inlineStr">
        <is>
          <t>Reciprocating Semi-hermetic</t>
        </is>
      </c>
      <c r="E507" s="2" t="n">
        <v>3</v>
      </c>
      <c r="F507" s="2" t="n">
        <v>60</v>
      </c>
      <c r="G507" s="2" t="n">
        <v>460</v>
      </c>
      <c r="H507" t="inlineStr">
        <is>
          <t>460</t>
        </is>
      </c>
      <c r="I507" s="2" t="n">
        <v>460</v>
      </c>
      <c r="J507" s="2" t="n">
        <v>460</v>
      </c>
      <c r="L507" s="3" t="n"/>
      <c r="M507" s="3" t="n"/>
      <c r="N507" s="3" t="n">
        <v>21</v>
      </c>
      <c r="O507" s="3" t="n"/>
      <c r="P507" s="3">
        <f>IF(L507&lt;&gt;"",L507/1.4,"")</f>
        <v/>
      </c>
      <c r="Q507" s="3">
        <f>IF(L507&lt;&gt;"",L507/1.56,"")</f>
        <v/>
      </c>
      <c r="R507" s="3">
        <f>IF(M507&lt;&gt;"",M507/1.4,"")</f>
        <v/>
      </c>
      <c r="S507" s="3">
        <f>IF(M507&lt;&gt;"",M507/1.56,"")</f>
        <v/>
      </c>
      <c r="T507" s="3">
        <f>IF(N507&lt;&gt;"",N507,IF(O507&lt;&gt;"",O507,IF(L507&lt;&gt;"",L507/1.56,IF(M507&lt;&gt;"",M507/1.56,""))))</f>
        <v/>
      </c>
      <c r="U507" s="3" t="n">
        <v>110</v>
      </c>
      <c r="V507" s="3" t="n"/>
      <c r="W507" s="3" t="n"/>
      <c r="X507" s="4" t="n"/>
      <c r="Y507" s="5" t="n">
        <v>0.976</v>
      </c>
      <c r="Z507" s="4">
        <f>IF(L507&lt;&gt;"",SQRT(3)*G507*L507/1000,"")</f>
        <v/>
      </c>
      <c r="AA507" t="inlineStr">
        <is>
          <t>Source=Copeland 2D/3D/4D/4R/6D/8D/9R compressors (pdf) p15</t>
        </is>
      </c>
      <c r="AB507" t="inlineStr">
        <is>
          <t>Copeland_RLA_230_460_3ph_60Hz.xlsx</t>
        </is>
      </c>
      <c r="AC507" t="inlineStr">
        <is>
          <t>Recip_2D-9R</t>
        </is>
      </c>
    </row>
    <row r="508">
      <c r="A508" t="inlineStr">
        <is>
          <t>COPELAND</t>
        </is>
      </c>
      <c r="B508" t="inlineStr">
        <is>
          <t>4DEG-101E-TSK</t>
        </is>
      </c>
      <c r="D508" t="inlineStr">
        <is>
          <t>Reciprocating Semi-hermetic</t>
        </is>
      </c>
      <c r="E508" s="2" t="n">
        <v>3</v>
      </c>
      <c r="F508" s="2" t="n">
        <v>60</v>
      </c>
      <c r="G508" s="2" t="n">
        <v>230</v>
      </c>
      <c r="H508" t="inlineStr">
        <is>
          <t>208/230</t>
        </is>
      </c>
      <c r="I508" s="2" t="n">
        <v>208</v>
      </c>
      <c r="J508" s="2" t="n">
        <v>230</v>
      </c>
      <c r="L508" s="3" t="n"/>
      <c r="M508" s="3" t="n"/>
      <c r="N508" s="3" t="n">
        <v>45.6</v>
      </c>
      <c r="O508" s="3" t="n"/>
      <c r="P508" s="3">
        <f>IF(L508&lt;&gt;"",L508/1.4,"")</f>
        <v/>
      </c>
      <c r="Q508" s="3">
        <f>IF(L508&lt;&gt;"",L508/1.56,"")</f>
        <v/>
      </c>
      <c r="R508" s="3">
        <f>IF(M508&lt;&gt;"",M508/1.4,"")</f>
        <v/>
      </c>
      <c r="S508" s="3">
        <f>IF(M508&lt;&gt;"",M508/1.56,"")</f>
        <v/>
      </c>
      <c r="T508" s="3">
        <f>IF(N508&lt;&gt;"",N508,IF(O508&lt;&gt;"",O508,IF(L508&lt;&gt;"",L508/1.56,IF(M508&lt;&gt;"",M508/1.56,""))))</f>
        <v/>
      </c>
      <c r="U508" s="3" t="n">
        <v>220</v>
      </c>
      <c r="V508" s="3" t="n">
        <v>134</v>
      </c>
      <c r="W508" s="3" t="n"/>
      <c r="X508" s="4" t="n"/>
      <c r="Y508" s="5" t="n">
        <v>0.244</v>
      </c>
      <c r="Z508" s="4">
        <f>IF(L508&lt;&gt;"",SQRT(3)*G508*L508/1000,"")</f>
        <v/>
      </c>
      <c r="AA508" t="inlineStr">
        <is>
          <t>Source=Copeland 2D/3D/4D/4R/6D/8D/9R compressors (pdf) p15; PWS_RLA=22.6</t>
        </is>
      </c>
      <c r="AB508" t="inlineStr">
        <is>
          <t>Copeland_RLA_230_460_3ph_60Hz.xlsx</t>
        </is>
      </c>
      <c r="AC508" t="inlineStr">
        <is>
          <t>Recip_2D-9R</t>
        </is>
      </c>
    </row>
    <row r="509">
      <c r="A509" t="inlineStr">
        <is>
          <t>COPELAND</t>
        </is>
      </c>
      <c r="B509" t="inlineStr">
        <is>
          <t>4DEG-101E-TSK</t>
        </is>
      </c>
      <c r="D509" t="inlineStr">
        <is>
          <t>Reciprocating Semi-hermetic</t>
        </is>
      </c>
      <c r="E509" s="2" t="n">
        <v>3</v>
      </c>
      <c r="F509" s="2" t="n">
        <v>60</v>
      </c>
      <c r="G509" s="2" t="n">
        <v>460</v>
      </c>
      <c r="H509" t="inlineStr">
        <is>
          <t>460</t>
        </is>
      </c>
      <c r="I509" s="2" t="n">
        <v>460</v>
      </c>
      <c r="J509" s="2" t="n">
        <v>460</v>
      </c>
      <c r="L509" s="3" t="n"/>
      <c r="M509" s="3" t="n"/>
      <c r="N509" s="3" t="n">
        <v>22.8</v>
      </c>
      <c r="O509" s="3" t="n"/>
      <c r="P509" s="3">
        <f>IF(L509&lt;&gt;"",L509/1.4,"")</f>
        <v/>
      </c>
      <c r="Q509" s="3">
        <f>IF(L509&lt;&gt;"",L509/1.56,"")</f>
        <v/>
      </c>
      <c r="R509" s="3">
        <f>IF(M509&lt;&gt;"",M509/1.4,"")</f>
        <v/>
      </c>
      <c r="S509" s="3">
        <f>IF(M509&lt;&gt;"",M509/1.56,"")</f>
        <v/>
      </c>
      <c r="T509" s="3">
        <f>IF(N509&lt;&gt;"",N509,IF(O509&lt;&gt;"",O509,IF(L509&lt;&gt;"",L509/1.56,IF(M509&lt;&gt;"",M509/1.56,""))))</f>
        <v/>
      </c>
      <c r="U509" s="3" t="n">
        <v>110</v>
      </c>
      <c r="V509" s="3" t="n"/>
      <c r="W509" s="3" t="n"/>
      <c r="X509" s="4" t="n"/>
      <c r="Y509" s="5" t="n">
        <v>0.976</v>
      </c>
      <c r="Z509" s="4">
        <f>IF(L509&lt;&gt;"",SQRT(3)*G509*L509/1000,"")</f>
        <v/>
      </c>
      <c r="AA509" t="inlineStr">
        <is>
          <t>Source=Copeland 2D/3D/4D/4R/6D/8D/9R compressors (pdf) p15</t>
        </is>
      </c>
      <c r="AB509" t="inlineStr">
        <is>
          <t>Copeland_RLA_230_460_3ph_60Hz.xlsx</t>
        </is>
      </c>
      <c r="AC509" t="inlineStr">
        <is>
          <t>Recip_2D-9R</t>
        </is>
      </c>
    </row>
    <row r="510">
      <c r="A510" t="inlineStr">
        <is>
          <t>COPELAND</t>
        </is>
      </c>
      <c r="B510" t="inlineStr">
        <is>
          <t>4DEGA1010-TSK</t>
        </is>
      </c>
      <c r="D510" t="inlineStr">
        <is>
          <t>Reciprocating Semi-hermetic</t>
        </is>
      </c>
      <c r="E510" s="2" t="n">
        <v>3</v>
      </c>
      <c r="F510" s="2" t="n">
        <v>60</v>
      </c>
      <c r="G510" s="2" t="n">
        <v>230</v>
      </c>
      <c r="H510" t="inlineStr">
        <is>
          <t>208/230</t>
        </is>
      </c>
      <c r="I510" s="2" t="n">
        <v>208</v>
      </c>
      <c r="J510" s="2" t="n">
        <v>230</v>
      </c>
      <c r="L510" s="3" t="n"/>
      <c r="M510" s="3" t="n"/>
      <c r="N510" s="3" t="n">
        <v>42</v>
      </c>
      <c r="O510" s="3" t="n"/>
      <c r="P510" s="3">
        <f>IF(L510&lt;&gt;"",L510/1.4,"")</f>
        <v/>
      </c>
      <c r="Q510" s="3">
        <f>IF(L510&lt;&gt;"",L510/1.56,"")</f>
        <v/>
      </c>
      <c r="R510" s="3">
        <f>IF(M510&lt;&gt;"",M510/1.4,"")</f>
        <v/>
      </c>
      <c r="S510" s="3">
        <f>IF(M510&lt;&gt;"",M510/1.56,"")</f>
        <v/>
      </c>
      <c r="T510" s="3">
        <f>IF(N510&lt;&gt;"",N510,IF(O510&lt;&gt;"",O510,IF(L510&lt;&gt;"",L510/1.56,IF(M510&lt;&gt;"",M510/1.56,""))))</f>
        <v/>
      </c>
      <c r="U510" s="3" t="n">
        <v>220</v>
      </c>
      <c r="V510" s="3" t="n">
        <v>134</v>
      </c>
      <c r="W510" s="3" t="n"/>
      <c r="X510" s="4" t="n"/>
      <c r="Y510" s="5" t="n">
        <v>0.244</v>
      </c>
      <c r="Z510" s="4">
        <f>IF(L510&lt;&gt;"",SQRT(3)*G510*L510/1000,"")</f>
        <v/>
      </c>
      <c r="AA510" t="inlineStr">
        <is>
          <t>Source=Copeland 2D/3D/4D/4R/6D/8D/9R compressors (pdf) p15; PWS_RLA=22.6</t>
        </is>
      </c>
      <c r="AB510" t="inlineStr">
        <is>
          <t>Copeland_RLA_230_460_3ph_60Hz.xlsx</t>
        </is>
      </c>
      <c r="AC510" t="inlineStr">
        <is>
          <t>Recip_2D-9R</t>
        </is>
      </c>
    </row>
    <row r="511">
      <c r="A511" t="inlineStr">
        <is>
          <t>COPELAND</t>
        </is>
      </c>
      <c r="B511" t="inlineStr">
        <is>
          <t>4DEGA1010-TSK</t>
        </is>
      </c>
      <c r="D511" t="inlineStr">
        <is>
          <t>Reciprocating Semi-hermetic</t>
        </is>
      </c>
      <c r="E511" s="2" t="n">
        <v>3</v>
      </c>
      <c r="F511" s="2" t="n">
        <v>60</v>
      </c>
      <c r="G511" s="2" t="n">
        <v>460</v>
      </c>
      <c r="H511" t="inlineStr">
        <is>
          <t>460</t>
        </is>
      </c>
      <c r="I511" s="2" t="n">
        <v>460</v>
      </c>
      <c r="J511" s="2" t="n">
        <v>460</v>
      </c>
      <c r="L511" s="3" t="n"/>
      <c r="M511" s="3" t="n"/>
      <c r="N511" s="3" t="n">
        <v>21</v>
      </c>
      <c r="O511" s="3" t="n"/>
      <c r="P511" s="3">
        <f>IF(L511&lt;&gt;"",L511/1.4,"")</f>
        <v/>
      </c>
      <c r="Q511" s="3">
        <f>IF(L511&lt;&gt;"",L511/1.56,"")</f>
        <v/>
      </c>
      <c r="R511" s="3">
        <f>IF(M511&lt;&gt;"",M511/1.4,"")</f>
        <v/>
      </c>
      <c r="S511" s="3">
        <f>IF(M511&lt;&gt;"",M511/1.56,"")</f>
        <v/>
      </c>
      <c r="T511" s="3">
        <f>IF(N511&lt;&gt;"",N511,IF(O511&lt;&gt;"",O511,IF(L511&lt;&gt;"",L511/1.56,IF(M511&lt;&gt;"",M511/1.56,""))))</f>
        <v/>
      </c>
      <c r="U511" s="3" t="n">
        <v>110</v>
      </c>
      <c r="V511" s="3" t="n"/>
      <c r="W511" s="3" t="n"/>
      <c r="X511" s="4" t="n"/>
      <c r="Y511" s="5" t="n">
        <v>0.976</v>
      </c>
      <c r="Z511" s="4">
        <f>IF(L511&lt;&gt;"",SQRT(3)*G511*L511/1000,"")</f>
        <v/>
      </c>
      <c r="AA511" t="inlineStr">
        <is>
          <t>Source=Copeland 2D/3D/4D/4R/6D/8D/9R compressors (pdf) p15</t>
        </is>
      </c>
      <c r="AB511" t="inlineStr">
        <is>
          <t>Copeland_RLA_230_460_3ph_60Hz.xlsx</t>
        </is>
      </c>
      <c r="AC511" t="inlineStr">
        <is>
          <t>Recip_2D-9R</t>
        </is>
      </c>
    </row>
    <row r="512">
      <c r="A512" t="inlineStr">
        <is>
          <t>COPELAND</t>
        </is>
      </c>
      <c r="B512" t="inlineStr">
        <is>
          <t>4DEGA101E-TSK</t>
        </is>
      </c>
      <c r="D512" t="inlineStr">
        <is>
          <t>Reciprocating Semi-hermetic</t>
        </is>
      </c>
      <c r="E512" s="2" t="n">
        <v>3</v>
      </c>
      <c r="F512" s="2" t="n">
        <v>60</v>
      </c>
      <c r="G512" s="2" t="n">
        <v>230</v>
      </c>
      <c r="H512" t="inlineStr">
        <is>
          <t>208/230</t>
        </is>
      </c>
      <c r="I512" s="2" t="n">
        <v>208</v>
      </c>
      <c r="J512" s="2" t="n">
        <v>230</v>
      </c>
      <c r="L512" s="3" t="n"/>
      <c r="M512" s="3" t="n"/>
      <c r="N512" s="3" t="n">
        <v>45.6</v>
      </c>
      <c r="O512" s="3" t="n"/>
      <c r="P512" s="3">
        <f>IF(L512&lt;&gt;"",L512/1.4,"")</f>
        <v/>
      </c>
      <c r="Q512" s="3">
        <f>IF(L512&lt;&gt;"",L512/1.56,"")</f>
        <v/>
      </c>
      <c r="R512" s="3">
        <f>IF(M512&lt;&gt;"",M512/1.4,"")</f>
        <v/>
      </c>
      <c r="S512" s="3">
        <f>IF(M512&lt;&gt;"",M512/1.56,"")</f>
        <v/>
      </c>
      <c r="T512" s="3">
        <f>IF(N512&lt;&gt;"",N512,IF(O512&lt;&gt;"",O512,IF(L512&lt;&gt;"",L512/1.56,IF(M512&lt;&gt;"",M512/1.56,""))))</f>
        <v/>
      </c>
      <c r="U512" s="3" t="n">
        <v>220</v>
      </c>
      <c r="V512" s="3" t="n">
        <v>134</v>
      </c>
      <c r="W512" s="3" t="n"/>
      <c r="X512" s="4" t="n"/>
      <c r="Y512" s="5" t="n">
        <v>0.244</v>
      </c>
      <c r="Z512" s="4">
        <f>IF(L512&lt;&gt;"",SQRT(3)*G512*L512/1000,"")</f>
        <v/>
      </c>
      <c r="AA512" t="inlineStr">
        <is>
          <t>Source=Copeland 2D/3D/4D/4R/6D/8D/9R compressors (pdf) p15; PWS_RLA=22.6</t>
        </is>
      </c>
      <c r="AB512" t="inlineStr">
        <is>
          <t>Copeland_RLA_230_460_3ph_60Hz.xlsx</t>
        </is>
      </c>
      <c r="AC512" t="inlineStr">
        <is>
          <t>Recip_2D-9R</t>
        </is>
      </c>
    </row>
    <row r="513">
      <c r="A513" t="inlineStr">
        <is>
          <t>COPELAND</t>
        </is>
      </c>
      <c r="B513" t="inlineStr">
        <is>
          <t>4DEGA101E-TSK</t>
        </is>
      </c>
      <c r="D513" t="inlineStr">
        <is>
          <t>Reciprocating Semi-hermetic</t>
        </is>
      </c>
      <c r="E513" s="2" t="n">
        <v>3</v>
      </c>
      <c r="F513" s="2" t="n">
        <v>60</v>
      </c>
      <c r="G513" s="2" t="n">
        <v>460</v>
      </c>
      <c r="H513" t="inlineStr">
        <is>
          <t>460</t>
        </is>
      </c>
      <c r="I513" s="2" t="n">
        <v>460</v>
      </c>
      <c r="J513" s="2" t="n">
        <v>460</v>
      </c>
      <c r="L513" s="3" t="n"/>
      <c r="M513" s="3" t="n"/>
      <c r="N513" s="3" t="n">
        <v>22.8</v>
      </c>
      <c r="O513" s="3" t="n"/>
      <c r="P513" s="3">
        <f>IF(L513&lt;&gt;"",L513/1.4,"")</f>
        <v/>
      </c>
      <c r="Q513" s="3">
        <f>IF(L513&lt;&gt;"",L513/1.56,"")</f>
        <v/>
      </c>
      <c r="R513" s="3">
        <f>IF(M513&lt;&gt;"",M513/1.4,"")</f>
        <v/>
      </c>
      <c r="S513" s="3">
        <f>IF(M513&lt;&gt;"",M513/1.56,"")</f>
        <v/>
      </c>
      <c r="T513" s="3">
        <f>IF(N513&lt;&gt;"",N513,IF(O513&lt;&gt;"",O513,IF(L513&lt;&gt;"",L513/1.56,IF(M513&lt;&gt;"",M513/1.56,""))))</f>
        <v/>
      </c>
      <c r="U513" s="3" t="n">
        <v>110</v>
      </c>
      <c r="V513" s="3" t="n"/>
      <c r="W513" s="3" t="n"/>
      <c r="X513" s="4" t="n"/>
      <c r="Y513" s="5" t="n">
        <v>0.976</v>
      </c>
      <c r="Z513" s="4">
        <f>IF(L513&lt;&gt;"",SQRT(3)*G513*L513/1000,"")</f>
        <v/>
      </c>
      <c r="AA513" t="inlineStr">
        <is>
          <t>Source=Copeland 2D/3D/4D/4R/6D/8D/9R compressors (pdf) p15</t>
        </is>
      </c>
      <c r="AB513" t="inlineStr">
        <is>
          <t>Copeland_RLA_230_460_3ph_60Hz.xlsx</t>
        </is>
      </c>
      <c r="AC513" t="inlineStr">
        <is>
          <t>Recip_2D-9R</t>
        </is>
      </c>
    </row>
    <row r="514">
      <c r="A514" t="inlineStr">
        <is>
          <t>COPELAND</t>
        </is>
      </c>
      <c r="B514" t="inlineStr">
        <is>
          <t>4DH1-1500-FSD</t>
        </is>
      </c>
      <c r="D514" t="inlineStr">
        <is>
          <t>Reciprocating Semi-hermetic</t>
        </is>
      </c>
      <c r="E514" s="2" t="n">
        <v>3</v>
      </c>
      <c r="F514" s="2" t="n">
        <v>60</v>
      </c>
      <c r="G514" s="2" t="n">
        <v>460</v>
      </c>
      <c r="H514" t="inlineStr">
        <is>
          <t>460</t>
        </is>
      </c>
      <c r="I514" s="2" t="n">
        <v>460</v>
      </c>
      <c r="J514" s="2" t="n">
        <v>460</v>
      </c>
      <c r="L514" s="3" t="n"/>
      <c r="M514" s="3" t="n"/>
      <c r="N514" s="3" t="n">
        <v>32.9</v>
      </c>
      <c r="O514" s="3" t="n"/>
      <c r="P514" s="3">
        <f>IF(L514&lt;&gt;"",L514/1.4,"")</f>
        <v/>
      </c>
      <c r="Q514" s="3">
        <f>IF(L514&lt;&gt;"",L514/1.56,"")</f>
        <v/>
      </c>
      <c r="R514" s="3">
        <f>IF(M514&lt;&gt;"",M514/1.4,"")</f>
        <v/>
      </c>
      <c r="S514" s="3">
        <f>IF(M514&lt;&gt;"",M514/1.56,"")</f>
        <v/>
      </c>
      <c r="T514" s="3">
        <f>IF(N514&lt;&gt;"",N514,IF(O514&lt;&gt;"",O514,IF(L514&lt;&gt;"",L514/1.56,IF(M514&lt;&gt;"",M514/1.56,""))))</f>
        <v/>
      </c>
      <c r="U514" s="3" t="n">
        <v>136</v>
      </c>
      <c r="V514" s="3" t="n">
        <v>81.59999999999999</v>
      </c>
      <c r="W514" s="3" t="n"/>
      <c r="X514" s="4" t="n"/>
      <c r="Y514" s="5" t="n">
        <v>0.84</v>
      </c>
      <c r="Z514" s="4">
        <f>IF(L514&lt;&gt;"",SQRT(3)*G514*L514/1000,"")</f>
        <v/>
      </c>
      <c r="AA514" t="inlineStr">
        <is>
          <t>Source=Copeland 2D/3D/4D/4R/6D/8D/9R compressors (pdf) p15; PWS_RLA=16.5</t>
        </is>
      </c>
      <c r="AB514" t="inlineStr">
        <is>
          <t>Copeland_RLA_230_460_3ph_60Hz.xlsx</t>
        </is>
      </c>
      <c r="AC514" t="inlineStr">
        <is>
          <t>Recip_2D-9R</t>
        </is>
      </c>
    </row>
    <row r="515">
      <c r="A515" t="inlineStr">
        <is>
          <t>COPELAND</t>
        </is>
      </c>
      <c r="B515" t="inlineStr">
        <is>
          <t>4DH1-1500-TSK</t>
        </is>
      </c>
      <c r="D515" t="inlineStr">
        <is>
          <t>Reciprocating Semi-hermetic</t>
        </is>
      </c>
      <c r="E515" s="2" t="n">
        <v>3</v>
      </c>
      <c r="F515" s="2" t="n">
        <v>60</v>
      </c>
      <c r="G515" s="2" t="n">
        <v>230</v>
      </c>
      <c r="H515" t="inlineStr">
        <is>
          <t>208/230</t>
        </is>
      </c>
      <c r="I515" s="2" t="n">
        <v>208</v>
      </c>
      <c r="J515" s="2" t="n">
        <v>230</v>
      </c>
      <c r="L515" s="3" t="n"/>
      <c r="M515" s="3" t="n"/>
      <c r="N515" s="3" t="n">
        <v>61.4</v>
      </c>
      <c r="O515" s="3" t="n"/>
      <c r="P515" s="3">
        <f>IF(L515&lt;&gt;"",L515/1.4,"")</f>
        <v/>
      </c>
      <c r="Q515" s="3">
        <f>IF(L515&lt;&gt;"",L515/1.56,"")</f>
        <v/>
      </c>
      <c r="R515" s="3">
        <f>IF(M515&lt;&gt;"",M515/1.4,"")</f>
        <v/>
      </c>
      <c r="S515" s="3">
        <f>IF(M515&lt;&gt;"",M515/1.56,"")</f>
        <v/>
      </c>
      <c r="T515" s="3">
        <f>IF(N515&lt;&gt;"",N515,IF(O515&lt;&gt;"",O515,IF(L515&lt;&gt;"",L515/1.56,IF(M515&lt;&gt;"",M515/1.56,""))))</f>
        <v/>
      </c>
      <c r="U515" s="3" t="n">
        <v>278</v>
      </c>
      <c r="V515" s="3" t="n">
        <v>170</v>
      </c>
      <c r="W515" s="3" t="n"/>
      <c r="X515" s="4" t="n"/>
      <c r="Y515" s="5" t="n">
        <v>0.208</v>
      </c>
      <c r="Z515" s="4">
        <f>IF(L515&lt;&gt;"",SQRT(3)*G515*L515/1000,"")</f>
        <v/>
      </c>
      <c r="AA515" t="inlineStr">
        <is>
          <t>Source=Copeland 2D/3D/4D/4R/6D/8D/9R compressors (pdf) p15; PWS_RLA=30.7</t>
        </is>
      </c>
      <c r="AB515" t="inlineStr">
        <is>
          <t>Copeland_RLA_230_460_3ph_60Hz.xlsx</t>
        </is>
      </c>
      <c r="AC515" t="inlineStr">
        <is>
          <t>Recip_2D-9R</t>
        </is>
      </c>
    </row>
    <row r="516">
      <c r="A516" t="inlineStr">
        <is>
          <t>COPELAND</t>
        </is>
      </c>
      <c r="B516" t="inlineStr">
        <is>
          <t>4DH1-1500-TSK</t>
        </is>
      </c>
      <c r="D516" t="inlineStr">
        <is>
          <t>Reciprocating Semi-hermetic</t>
        </is>
      </c>
      <c r="E516" s="2" t="n">
        <v>3</v>
      </c>
      <c r="F516" s="2" t="n">
        <v>60</v>
      </c>
      <c r="G516" s="2" t="n">
        <v>460</v>
      </c>
      <c r="H516" t="inlineStr">
        <is>
          <t>460</t>
        </is>
      </c>
      <c r="I516" s="2" t="n">
        <v>460</v>
      </c>
      <c r="J516" s="2" t="n">
        <v>460</v>
      </c>
      <c r="L516" s="3" t="n"/>
      <c r="M516" s="3" t="n"/>
      <c r="N516" s="3" t="n">
        <v>30.7</v>
      </c>
      <c r="O516" s="3" t="n"/>
      <c r="P516" s="3">
        <f>IF(L516&lt;&gt;"",L516/1.4,"")</f>
        <v/>
      </c>
      <c r="Q516" s="3">
        <f>IF(L516&lt;&gt;"",L516/1.56,"")</f>
        <v/>
      </c>
      <c r="R516" s="3">
        <f>IF(M516&lt;&gt;"",M516/1.4,"")</f>
        <v/>
      </c>
      <c r="S516" s="3">
        <f>IF(M516&lt;&gt;"",M516/1.56,"")</f>
        <v/>
      </c>
      <c r="T516" s="3">
        <f>IF(N516&lt;&gt;"",N516,IF(O516&lt;&gt;"",O516,IF(L516&lt;&gt;"",L516/1.56,IF(M516&lt;&gt;"",M516/1.56,""))))</f>
        <v/>
      </c>
      <c r="U516" s="3" t="n">
        <v>139</v>
      </c>
      <c r="V516" s="3" t="n"/>
      <c r="W516" s="3" t="n"/>
      <c r="X516" s="4" t="n"/>
      <c r="Y516" s="5" t="n">
        <v>0.832</v>
      </c>
      <c r="Z516" s="4">
        <f>IF(L516&lt;&gt;"",SQRT(3)*G516*L516/1000,"")</f>
        <v/>
      </c>
      <c r="AA516" t="inlineStr">
        <is>
          <t>Source=Copeland 2D/3D/4D/4R/6D/8D/9R compressors (pdf) p15</t>
        </is>
      </c>
      <c r="AB516" t="inlineStr">
        <is>
          <t>Copeland_RLA_230_460_3ph_60Hz.xlsx</t>
        </is>
      </c>
      <c r="AC516" t="inlineStr">
        <is>
          <t>Recip_2D-9R</t>
        </is>
      </c>
    </row>
    <row r="517">
      <c r="A517" t="inlineStr">
        <is>
          <t>COPELAND</t>
        </is>
      </c>
      <c r="B517" t="inlineStr">
        <is>
          <t>4DH1-2500-FSD</t>
        </is>
      </c>
      <c r="D517" t="inlineStr">
        <is>
          <t>Reciprocating Semi-hermetic</t>
        </is>
      </c>
      <c r="E517" s="2" t="n">
        <v>3</v>
      </c>
      <c r="F517" s="2" t="n">
        <v>60</v>
      </c>
      <c r="G517" s="2" t="n">
        <v>460</v>
      </c>
      <c r="H517" t="inlineStr">
        <is>
          <t>460</t>
        </is>
      </c>
      <c r="I517" s="2" t="n">
        <v>460</v>
      </c>
      <c r="J517" s="2" t="n">
        <v>460</v>
      </c>
      <c r="L517" s="3" t="n"/>
      <c r="M517" s="3" t="n"/>
      <c r="N517" s="3" t="n">
        <v>46.4</v>
      </c>
      <c r="O517" s="3" t="n"/>
      <c r="P517" s="3">
        <f>IF(L517&lt;&gt;"",L517/1.4,"")</f>
        <v/>
      </c>
      <c r="Q517" s="3">
        <f>IF(L517&lt;&gt;"",L517/1.56,"")</f>
        <v/>
      </c>
      <c r="R517" s="3">
        <f>IF(M517&lt;&gt;"",M517/1.4,"")</f>
        <v/>
      </c>
      <c r="S517" s="3">
        <f>IF(M517&lt;&gt;"",M517/1.56,"")</f>
        <v/>
      </c>
      <c r="T517" s="3">
        <f>IF(N517&lt;&gt;"",N517,IF(O517&lt;&gt;"",O517,IF(L517&lt;&gt;"",L517/1.56,IF(M517&lt;&gt;"",M517/1.56,""))))</f>
        <v/>
      </c>
      <c r="U517" s="3" t="n">
        <v>195</v>
      </c>
      <c r="V517" s="3" t="n">
        <v>117</v>
      </c>
      <c r="W517" s="3" t="n"/>
      <c r="X517" s="4" t="n"/>
      <c r="Y517" s="5" t="n">
        <v>0.575</v>
      </c>
      <c r="Z517" s="4">
        <f>IF(L517&lt;&gt;"",SQRT(3)*G517*L517/1000,"")</f>
        <v/>
      </c>
      <c r="AA517" t="inlineStr">
        <is>
          <t>Source=Copeland 2D/3D/4D/4R/6D/8D/9R compressors (pdf) p15; PWS_RLA=23.2</t>
        </is>
      </c>
      <c r="AB517" t="inlineStr">
        <is>
          <t>Copeland_RLA_230_460_3ph_60Hz.xlsx</t>
        </is>
      </c>
      <c r="AC517" t="inlineStr">
        <is>
          <t>Recip_2D-9R</t>
        </is>
      </c>
    </row>
    <row r="518">
      <c r="A518" t="inlineStr">
        <is>
          <t>COPELAND</t>
        </is>
      </c>
      <c r="B518" t="inlineStr">
        <is>
          <t>4DH1-2500-FXD</t>
        </is>
      </c>
      <c r="D518" t="inlineStr">
        <is>
          <t>Reciprocating Semi-hermetic</t>
        </is>
      </c>
      <c r="E518" s="2" t="n">
        <v>3</v>
      </c>
      <c r="F518" s="2" t="n">
        <v>60</v>
      </c>
      <c r="G518" s="2" t="n">
        <v>460</v>
      </c>
      <c r="H518" t="inlineStr">
        <is>
          <t>460</t>
        </is>
      </c>
      <c r="I518" s="2" t="n">
        <v>460</v>
      </c>
      <c r="J518" s="2" t="n">
        <v>460</v>
      </c>
      <c r="L518" s="3" t="n"/>
      <c r="M518" s="3" t="n"/>
      <c r="N518" s="3" t="n"/>
      <c r="O518" s="3" t="n"/>
      <c r="P518" s="3">
        <f>IF(L518&lt;&gt;"",L518/1.4,"")</f>
        <v/>
      </c>
      <c r="Q518" s="3">
        <f>IF(L518&lt;&gt;"",L518/1.56,"")</f>
        <v/>
      </c>
      <c r="R518" s="3">
        <f>IF(M518&lt;&gt;"",M518/1.4,"")</f>
        <v/>
      </c>
      <c r="S518" s="3">
        <f>IF(M518&lt;&gt;"",M518/1.56,"")</f>
        <v/>
      </c>
      <c r="T518" s="3">
        <f>IF(N518&lt;&gt;"",N518,IF(O518&lt;&gt;"",O518,IF(L518&lt;&gt;"",L518/1.56,IF(M518&lt;&gt;"",M518/1.56,""))))</f>
        <v/>
      </c>
      <c r="U518" s="3" t="n">
        <v>195</v>
      </c>
      <c r="V518" s="3" t="n">
        <v>117</v>
      </c>
      <c r="W518" s="3" t="n"/>
      <c r="X518" s="4" t="n"/>
      <c r="Y518" s="5" t="n">
        <v>0.575</v>
      </c>
      <c r="Z518" s="4">
        <f>IF(L518&lt;&gt;"",SQRT(3)*G518*L518/1000,"")</f>
        <v/>
      </c>
      <c r="AA518" t="inlineStr">
        <is>
          <t>Source=Copeland 2D/3D/4D/4R/6D/8D/9R compressors (pdf) p15</t>
        </is>
      </c>
      <c r="AB518" t="inlineStr">
        <is>
          <t>Copeland_RLA_230_460_3ph_60Hz.xlsx</t>
        </is>
      </c>
      <c r="AC518" t="inlineStr">
        <is>
          <t>Recip_2D-9R</t>
        </is>
      </c>
    </row>
    <row r="519">
      <c r="A519" t="inlineStr">
        <is>
          <t>COPELAND</t>
        </is>
      </c>
      <c r="B519" t="inlineStr">
        <is>
          <t>4DH1-2500-TSK</t>
        </is>
      </c>
      <c r="D519" t="inlineStr">
        <is>
          <t>Reciprocating Semi-hermetic</t>
        </is>
      </c>
      <c r="E519" s="2" t="n">
        <v>3</v>
      </c>
      <c r="F519" s="2" t="n">
        <v>60</v>
      </c>
      <c r="G519" s="2" t="n">
        <v>230</v>
      </c>
      <c r="H519" t="inlineStr">
        <is>
          <t>208/230</t>
        </is>
      </c>
      <c r="I519" s="2" t="n">
        <v>208</v>
      </c>
      <c r="J519" s="2" t="n">
        <v>230</v>
      </c>
      <c r="L519" s="3" t="n"/>
      <c r="M519" s="3" t="n"/>
      <c r="N519" s="3" t="n">
        <v>85.7</v>
      </c>
      <c r="O519" s="3" t="n"/>
      <c r="P519" s="3">
        <f>IF(L519&lt;&gt;"",L519/1.4,"")</f>
        <v/>
      </c>
      <c r="Q519" s="3">
        <f>IF(L519&lt;&gt;"",L519/1.56,"")</f>
        <v/>
      </c>
      <c r="R519" s="3">
        <f>IF(M519&lt;&gt;"",M519/1.4,"")</f>
        <v/>
      </c>
      <c r="S519" s="3">
        <f>IF(M519&lt;&gt;"",M519/1.56,"")</f>
        <v/>
      </c>
      <c r="T519" s="3">
        <f>IF(N519&lt;&gt;"",N519,IF(O519&lt;&gt;"",O519,IF(L519&lt;&gt;"",L519/1.56,IF(M519&lt;&gt;"",M519/1.56,""))))</f>
        <v/>
      </c>
      <c r="U519" s="3" t="n">
        <v>428</v>
      </c>
      <c r="V519" s="3" t="n">
        <v>250</v>
      </c>
      <c r="W519" s="3" t="n"/>
      <c r="X519" s="4" t="n"/>
      <c r="Y519" s="5" t="n">
        <v>0.132</v>
      </c>
      <c r="Z519" s="4">
        <f>IF(L519&lt;&gt;"",SQRT(3)*G519*L519/1000,"")</f>
        <v/>
      </c>
      <c r="AA519" t="inlineStr">
        <is>
          <t>Source=Copeland 2D/3D/4D/4R/6D/8D/9R compressors (pdf) p15; PWS_RLA=42.9</t>
        </is>
      </c>
      <c r="AB519" t="inlineStr">
        <is>
          <t>Copeland_RLA_230_460_3ph_60Hz.xlsx</t>
        </is>
      </c>
      <c r="AC519" t="inlineStr">
        <is>
          <t>Recip_2D-9R</t>
        </is>
      </c>
    </row>
    <row r="520">
      <c r="A520" t="inlineStr">
        <is>
          <t>COPELAND</t>
        </is>
      </c>
      <c r="B520" t="inlineStr">
        <is>
          <t>4DH1-2500-TSK</t>
        </is>
      </c>
      <c r="D520" t="inlineStr">
        <is>
          <t>Reciprocating Semi-hermetic</t>
        </is>
      </c>
      <c r="E520" s="2" t="n">
        <v>3</v>
      </c>
      <c r="F520" s="2" t="n">
        <v>60</v>
      </c>
      <c r="G520" s="2" t="n">
        <v>460</v>
      </c>
      <c r="H520" t="inlineStr">
        <is>
          <t>460</t>
        </is>
      </c>
      <c r="I520" s="2" t="n">
        <v>460</v>
      </c>
      <c r="J520" s="2" t="n">
        <v>460</v>
      </c>
      <c r="L520" s="3" t="n"/>
      <c r="M520" s="3" t="n"/>
      <c r="N520" s="3" t="n">
        <v>42.9</v>
      </c>
      <c r="O520" s="3" t="n"/>
      <c r="P520" s="3">
        <f>IF(L520&lt;&gt;"",L520/1.4,"")</f>
        <v/>
      </c>
      <c r="Q520" s="3">
        <f>IF(L520&lt;&gt;"",L520/1.56,"")</f>
        <v/>
      </c>
      <c r="R520" s="3">
        <f>IF(M520&lt;&gt;"",M520/1.4,"")</f>
        <v/>
      </c>
      <c r="S520" s="3">
        <f>IF(M520&lt;&gt;"",M520/1.56,"")</f>
        <v/>
      </c>
      <c r="T520" s="3">
        <f>IF(N520&lt;&gt;"",N520,IF(O520&lt;&gt;"",O520,IF(L520&lt;&gt;"",L520/1.56,IF(M520&lt;&gt;"",M520/1.56,""))))</f>
        <v/>
      </c>
      <c r="U520" s="3" t="n">
        <v>214</v>
      </c>
      <c r="V520" s="3" t="n"/>
      <c r="W520" s="3" t="n"/>
      <c r="X520" s="4" t="n"/>
      <c r="Y520" s="5" t="n">
        <v>0.528</v>
      </c>
      <c r="Z520" s="4">
        <f>IF(L520&lt;&gt;"",SQRT(3)*G520*L520/1000,"")</f>
        <v/>
      </c>
      <c r="AA520" t="inlineStr">
        <is>
          <t>Source=Copeland 2D/3D/4D/4R/6D/8D/9R compressors (pdf) p15</t>
        </is>
      </c>
      <c r="AB520" t="inlineStr">
        <is>
          <t>Copeland_RLA_230_460_3ph_60Hz.xlsx</t>
        </is>
      </c>
      <c r="AC520" t="inlineStr">
        <is>
          <t>Recip_2D-9R</t>
        </is>
      </c>
    </row>
    <row r="521">
      <c r="A521" t="inlineStr">
        <is>
          <t>COPELAND</t>
        </is>
      </c>
      <c r="B521" t="inlineStr">
        <is>
          <t>4DH1-2500-TXK</t>
        </is>
      </c>
      <c r="D521" t="inlineStr">
        <is>
          <t>Reciprocating Semi-hermetic</t>
        </is>
      </c>
      <c r="E521" s="2" t="n">
        <v>3</v>
      </c>
      <c r="F521" s="2" t="n">
        <v>60</v>
      </c>
      <c r="G521" s="2" t="n">
        <v>230</v>
      </c>
      <c r="H521" t="inlineStr">
        <is>
          <t>208/230</t>
        </is>
      </c>
      <c r="I521" s="2" t="n">
        <v>208</v>
      </c>
      <c r="J521" s="2" t="n">
        <v>230</v>
      </c>
      <c r="L521" s="3" t="n"/>
      <c r="M521" s="3" t="n"/>
      <c r="N521" s="3" t="n"/>
      <c r="O521" s="3" t="n"/>
      <c r="P521" s="3">
        <f>IF(L521&lt;&gt;"",L521/1.4,"")</f>
        <v/>
      </c>
      <c r="Q521" s="3">
        <f>IF(L521&lt;&gt;"",L521/1.56,"")</f>
        <v/>
      </c>
      <c r="R521" s="3">
        <f>IF(M521&lt;&gt;"",M521/1.4,"")</f>
        <v/>
      </c>
      <c r="S521" s="3">
        <f>IF(M521&lt;&gt;"",M521/1.56,"")</f>
        <v/>
      </c>
      <c r="T521" s="3">
        <f>IF(N521&lt;&gt;"",N521,IF(O521&lt;&gt;"",O521,IF(L521&lt;&gt;"",L521/1.56,IF(M521&lt;&gt;"",M521/1.56,""))))</f>
        <v/>
      </c>
      <c r="U521" s="3" t="n">
        <v>428</v>
      </c>
      <c r="V521" s="3" t="n">
        <v>250</v>
      </c>
      <c r="W521" s="3" t="n"/>
      <c r="X521" s="4" t="n"/>
      <c r="Y521" s="5" t="n">
        <v>0.132</v>
      </c>
      <c r="Z521" s="4">
        <f>IF(L521&lt;&gt;"",SQRT(3)*G521*L521/1000,"")</f>
        <v/>
      </c>
      <c r="AA521" t="inlineStr">
        <is>
          <t>Source=Copeland 2D/3D/4D/4R/6D/8D/9R compressors (pdf) p15</t>
        </is>
      </c>
      <c r="AB521" t="inlineStr">
        <is>
          <t>Copeland_RLA_230_460_3ph_60Hz.xlsx</t>
        </is>
      </c>
      <c r="AC521" t="inlineStr">
        <is>
          <t>Recip_2D-9R</t>
        </is>
      </c>
    </row>
    <row r="522">
      <c r="A522" t="inlineStr">
        <is>
          <t>COPELAND</t>
        </is>
      </c>
      <c r="B522" t="inlineStr">
        <is>
          <t>4DH1-2500-TXK</t>
        </is>
      </c>
      <c r="D522" t="inlineStr">
        <is>
          <t>Reciprocating Semi-hermetic</t>
        </is>
      </c>
      <c r="E522" s="2" t="n">
        <v>3</v>
      </c>
      <c r="F522" s="2" t="n">
        <v>60</v>
      </c>
      <c r="G522" s="2" t="n">
        <v>460</v>
      </c>
      <c r="H522" t="inlineStr">
        <is>
          <t>460</t>
        </is>
      </c>
      <c r="I522" s="2" t="n">
        <v>460</v>
      </c>
      <c r="J522" s="2" t="n">
        <v>460</v>
      </c>
      <c r="L522" s="3" t="n"/>
      <c r="M522" s="3" t="n"/>
      <c r="N522" s="3" t="n"/>
      <c r="O522" s="3" t="n"/>
      <c r="P522" s="3">
        <f>IF(L522&lt;&gt;"",L522/1.4,"")</f>
        <v/>
      </c>
      <c r="Q522" s="3">
        <f>IF(L522&lt;&gt;"",L522/1.56,"")</f>
        <v/>
      </c>
      <c r="R522" s="3">
        <f>IF(M522&lt;&gt;"",M522/1.4,"")</f>
        <v/>
      </c>
      <c r="S522" s="3">
        <f>IF(M522&lt;&gt;"",M522/1.56,"")</f>
        <v/>
      </c>
      <c r="T522" s="3">
        <f>IF(N522&lt;&gt;"",N522,IF(O522&lt;&gt;"",O522,IF(L522&lt;&gt;"",L522/1.56,IF(M522&lt;&gt;"",M522/1.56,""))))</f>
        <v/>
      </c>
      <c r="U522" s="3" t="n">
        <v>214</v>
      </c>
      <c r="V522" s="3" t="n"/>
      <c r="W522" s="3" t="n"/>
      <c r="X522" s="4" t="n"/>
      <c r="Y522" s="5" t="n">
        <v>0.528</v>
      </c>
      <c r="Z522" s="4">
        <f>IF(L522&lt;&gt;"",SQRT(3)*G522*L522/1000,"")</f>
        <v/>
      </c>
      <c r="AA522" t="inlineStr">
        <is>
          <t>Source=Copeland 2D/3D/4D/4R/6D/8D/9R compressors (pdf) p15</t>
        </is>
      </c>
      <c r="AB522" t="inlineStr">
        <is>
          <t>Copeland_RLA_230_460_3ph_60Hz.xlsx</t>
        </is>
      </c>
      <c r="AC522" t="inlineStr">
        <is>
          <t>Recip_2D-9R</t>
        </is>
      </c>
    </row>
    <row r="523">
      <c r="A523" t="inlineStr">
        <is>
          <t>COPELAND</t>
        </is>
      </c>
      <c r="B523" t="inlineStr">
        <is>
          <t>4DH1A1500-FSD</t>
        </is>
      </c>
      <c r="D523" t="inlineStr">
        <is>
          <t>Reciprocating Semi-hermetic</t>
        </is>
      </c>
      <c r="E523" s="2" t="n">
        <v>3</v>
      </c>
      <c r="F523" s="2" t="n">
        <v>60</v>
      </c>
      <c r="G523" s="2" t="n">
        <v>460</v>
      </c>
      <c r="H523" t="inlineStr">
        <is>
          <t>460</t>
        </is>
      </c>
      <c r="I523" s="2" t="n">
        <v>460</v>
      </c>
      <c r="J523" s="2" t="n">
        <v>460</v>
      </c>
      <c r="L523" s="3" t="n"/>
      <c r="M523" s="3" t="n"/>
      <c r="N523" s="3" t="n">
        <v>32.9</v>
      </c>
      <c r="O523" s="3" t="n"/>
      <c r="P523" s="3">
        <f>IF(L523&lt;&gt;"",L523/1.4,"")</f>
        <v/>
      </c>
      <c r="Q523" s="3">
        <f>IF(L523&lt;&gt;"",L523/1.56,"")</f>
        <v/>
      </c>
      <c r="R523" s="3">
        <f>IF(M523&lt;&gt;"",M523/1.4,"")</f>
        <v/>
      </c>
      <c r="S523" s="3">
        <f>IF(M523&lt;&gt;"",M523/1.56,"")</f>
        <v/>
      </c>
      <c r="T523" s="3">
        <f>IF(N523&lt;&gt;"",N523,IF(O523&lt;&gt;"",O523,IF(L523&lt;&gt;"",L523/1.56,IF(M523&lt;&gt;"",M523/1.56,""))))</f>
        <v/>
      </c>
      <c r="U523" s="3" t="n">
        <v>136</v>
      </c>
      <c r="V523" s="3" t="n">
        <v>81.59999999999999</v>
      </c>
      <c r="W523" s="3" t="n"/>
      <c r="X523" s="4" t="n"/>
      <c r="Y523" s="5" t="n">
        <v>0.84</v>
      </c>
      <c r="Z523" s="4">
        <f>IF(L523&lt;&gt;"",SQRT(3)*G523*L523/1000,"")</f>
        <v/>
      </c>
      <c r="AA523" t="inlineStr">
        <is>
          <t>Source=Copeland 2D/3D/4D/4R/6D/8D/9R compressors (pdf) p16; PWS_RLA=16.5</t>
        </is>
      </c>
      <c r="AB523" t="inlineStr">
        <is>
          <t>Copeland_RLA_230_460_3ph_60Hz.xlsx</t>
        </is>
      </c>
      <c r="AC523" t="inlineStr">
        <is>
          <t>Recip_2D-9R</t>
        </is>
      </c>
    </row>
    <row r="524">
      <c r="A524" t="inlineStr">
        <is>
          <t>COPELAND</t>
        </is>
      </c>
      <c r="B524" t="inlineStr">
        <is>
          <t>4DH1A1500-TSK</t>
        </is>
      </c>
      <c r="D524" t="inlineStr">
        <is>
          <t>Reciprocating Semi-hermetic</t>
        </is>
      </c>
      <c r="E524" s="2" t="n">
        <v>3</v>
      </c>
      <c r="F524" s="2" t="n">
        <v>60</v>
      </c>
      <c r="G524" s="2" t="n">
        <v>230</v>
      </c>
      <c r="H524" t="inlineStr">
        <is>
          <t>208/230</t>
        </is>
      </c>
      <c r="I524" s="2" t="n">
        <v>208</v>
      </c>
      <c r="J524" s="2" t="n">
        <v>230</v>
      </c>
      <c r="L524" s="3" t="n"/>
      <c r="M524" s="3" t="n"/>
      <c r="N524" s="3" t="n">
        <v>61.4</v>
      </c>
      <c r="O524" s="3" t="n"/>
      <c r="P524" s="3">
        <f>IF(L524&lt;&gt;"",L524/1.4,"")</f>
        <v/>
      </c>
      <c r="Q524" s="3">
        <f>IF(L524&lt;&gt;"",L524/1.56,"")</f>
        <v/>
      </c>
      <c r="R524" s="3">
        <f>IF(M524&lt;&gt;"",M524/1.4,"")</f>
        <v/>
      </c>
      <c r="S524" s="3">
        <f>IF(M524&lt;&gt;"",M524/1.56,"")</f>
        <v/>
      </c>
      <c r="T524" s="3">
        <f>IF(N524&lt;&gt;"",N524,IF(O524&lt;&gt;"",O524,IF(L524&lt;&gt;"",L524/1.56,IF(M524&lt;&gt;"",M524/1.56,""))))</f>
        <v/>
      </c>
      <c r="U524" s="3" t="n">
        <v>278</v>
      </c>
      <c r="V524" s="3" t="n">
        <v>170</v>
      </c>
      <c r="W524" s="3" t="n"/>
      <c r="X524" s="4" t="n"/>
      <c r="Y524" s="5" t="n">
        <v>0.208</v>
      </c>
      <c r="Z524" s="4">
        <f>IF(L524&lt;&gt;"",SQRT(3)*G524*L524/1000,"")</f>
        <v/>
      </c>
      <c r="AA524" t="inlineStr">
        <is>
          <t>Source=Copeland 2D/3D/4D/4R/6D/8D/9R compressors (pdf) p16; PWS_RLA=30.7</t>
        </is>
      </c>
      <c r="AB524" t="inlineStr">
        <is>
          <t>Copeland_RLA_230_460_3ph_60Hz.xlsx</t>
        </is>
      </c>
      <c r="AC524" t="inlineStr">
        <is>
          <t>Recip_2D-9R</t>
        </is>
      </c>
    </row>
    <row r="525">
      <c r="A525" t="inlineStr">
        <is>
          <t>COPELAND</t>
        </is>
      </c>
      <c r="B525" t="inlineStr">
        <is>
          <t>4DH1A1500-TSK</t>
        </is>
      </c>
      <c r="D525" t="inlineStr">
        <is>
          <t>Reciprocating Semi-hermetic</t>
        </is>
      </c>
      <c r="E525" s="2" t="n">
        <v>3</v>
      </c>
      <c r="F525" s="2" t="n">
        <v>60</v>
      </c>
      <c r="G525" s="2" t="n">
        <v>460</v>
      </c>
      <c r="H525" t="inlineStr">
        <is>
          <t>460</t>
        </is>
      </c>
      <c r="I525" s="2" t="n">
        <v>460</v>
      </c>
      <c r="J525" s="2" t="n">
        <v>460</v>
      </c>
      <c r="L525" s="3" t="n"/>
      <c r="M525" s="3" t="n"/>
      <c r="N525" s="3" t="n">
        <v>30.7</v>
      </c>
      <c r="O525" s="3" t="n"/>
      <c r="P525" s="3">
        <f>IF(L525&lt;&gt;"",L525/1.4,"")</f>
        <v/>
      </c>
      <c r="Q525" s="3">
        <f>IF(L525&lt;&gt;"",L525/1.56,"")</f>
        <v/>
      </c>
      <c r="R525" s="3">
        <f>IF(M525&lt;&gt;"",M525/1.4,"")</f>
        <v/>
      </c>
      <c r="S525" s="3">
        <f>IF(M525&lt;&gt;"",M525/1.56,"")</f>
        <v/>
      </c>
      <c r="T525" s="3">
        <f>IF(N525&lt;&gt;"",N525,IF(O525&lt;&gt;"",O525,IF(L525&lt;&gt;"",L525/1.56,IF(M525&lt;&gt;"",M525/1.56,""))))</f>
        <v/>
      </c>
      <c r="U525" s="3" t="n">
        <v>139</v>
      </c>
      <c r="V525" s="3" t="n"/>
      <c r="W525" s="3" t="n"/>
      <c r="X525" s="4" t="n"/>
      <c r="Y525" s="5" t="n">
        <v>0.832</v>
      </c>
      <c r="Z525" s="4">
        <f>IF(L525&lt;&gt;"",SQRT(3)*G525*L525/1000,"")</f>
        <v/>
      </c>
      <c r="AA525" t="inlineStr">
        <is>
          <t>Source=Copeland 2D/3D/4D/4R/6D/8D/9R compressors (pdf) p16</t>
        </is>
      </c>
      <c r="AB525" t="inlineStr">
        <is>
          <t>Copeland_RLA_230_460_3ph_60Hz.xlsx</t>
        </is>
      </c>
      <c r="AC525" t="inlineStr">
        <is>
          <t>Recip_2D-9R</t>
        </is>
      </c>
    </row>
    <row r="526">
      <c r="A526" t="inlineStr">
        <is>
          <t>COPELAND</t>
        </is>
      </c>
      <c r="B526" t="inlineStr">
        <is>
          <t>4DH1A2500-FSD</t>
        </is>
      </c>
      <c r="D526" t="inlineStr">
        <is>
          <t>Reciprocating Semi-hermetic</t>
        </is>
      </c>
      <c r="E526" s="2" t="n">
        <v>3</v>
      </c>
      <c r="F526" s="2" t="n">
        <v>60</v>
      </c>
      <c r="G526" s="2" t="n">
        <v>460</v>
      </c>
      <c r="H526" t="inlineStr">
        <is>
          <t>460</t>
        </is>
      </c>
      <c r="I526" s="2" t="n">
        <v>460</v>
      </c>
      <c r="J526" s="2" t="n">
        <v>460</v>
      </c>
      <c r="L526" s="3" t="n"/>
      <c r="M526" s="3" t="n"/>
      <c r="N526" s="3" t="n">
        <v>46.4</v>
      </c>
      <c r="O526" s="3" t="n"/>
      <c r="P526" s="3">
        <f>IF(L526&lt;&gt;"",L526/1.4,"")</f>
        <v/>
      </c>
      <c r="Q526" s="3">
        <f>IF(L526&lt;&gt;"",L526/1.56,"")</f>
        <v/>
      </c>
      <c r="R526" s="3">
        <f>IF(M526&lt;&gt;"",M526/1.4,"")</f>
        <v/>
      </c>
      <c r="S526" s="3">
        <f>IF(M526&lt;&gt;"",M526/1.56,"")</f>
        <v/>
      </c>
      <c r="T526" s="3">
        <f>IF(N526&lt;&gt;"",N526,IF(O526&lt;&gt;"",O526,IF(L526&lt;&gt;"",L526/1.56,IF(M526&lt;&gt;"",M526/1.56,""))))</f>
        <v/>
      </c>
      <c r="U526" s="3" t="n">
        <v>195</v>
      </c>
      <c r="V526" s="3" t="n">
        <v>117</v>
      </c>
      <c r="W526" s="3" t="n"/>
      <c r="X526" s="4" t="n"/>
      <c r="Y526" s="5" t="n">
        <v>0.575</v>
      </c>
      <c r="Z526" s="4">
        <f>IF(L526&lt;&gt;"",SQRT(3)*G526*L526/1000,"")</f>
        <v/>
      </c>
      <c r="AA526" t="inlineStr">
        <is>
          <t>Source=Copeland 2D/3D/4D/4R/6D/8D/9R compressors (pdf) p16; PWS_RLA=23.2</t>
        </is>
      </c>
      <c r="AB526" t="inlineStr">
        <is>
          <t>Copeland_RLA_230_460_3ph_60Hz.xlsx</t>
        </is>
      </c>
      <c r="AC526" t="inlineStr">
        <is>
          <t>Recip_2D-9R</t>
        </is>
      </c>
    </row>
    <row r="527">
      <c r="A527" t="inlineStr">
        <is>
          <t>COPELAND</t>
        </is>
      </c>
      <c r="B527" t="inlineStr">
        <is>
          <t>4DH1A2500-FXD</t>
        </is>
      </c>
      <c r="D527" t="inlineStr">
        <is>
          <t>Reciprocating Semi-hermetic</t>
        </is>
      </c>
      <c r="E527" s="2" t="n">
        <v>3</v>
      </c>
      <c r="F527" s="2" t="n">
        <v>60</v>
      </c>
      <c r="G527" s="2" t="n">
        <v>460</v>
      </c>
      <c r="H527" t="inlineStr">
        <is>
          <t>460</t>
        </is>
      </c>
      <c r="I527" s="2" t="n">
        <v>460</v>
      </c>
      <c r="J527" s="2" t="n">
        <v>460</v>
      </c>
      <c r="L527" s="3" t="n"/>
      <c r="M527" s="3" t="n"/>
      <c r="N527" s="3" t="n"/>
      <c r="O527" s="3" t="n"/>
      <c r="P527" s="3">
        <f>IF(L527&lt;&gt;"",L527/1.4,"")</f>
        <v/>
      </c>
      <c r="Q527" s="3">
        <f>IF(L527&lt;&gt;"",L527/1.56,"")</f>
        <v/>
      </c>
      <c r="R527" s="3">
        <f>IF(M527&lt;&gt;"",M527/1.4,"")</f>
        <v/>
      </c>
      <c r="S527" s="3">
        <f>IF(M527&lt;&gt;"",M527/1.56,"")</f>
        <v/>
      </c>
      <c r="T527" s="3">
        <f>IF(N527&lt;&gt;"",N527,IF(O527&lt;&gt;"",O527,IF(L527&lt;&gt;"",L527/1.56,IF(M527&lt;&gt;"",M527/1.56,""))))</f>
        <v/>
      </c>
      <c r="U527" s="3" t="n">
        <v>195</v>
      </c>
      <c r="V527" s="3" t="n">
        <v>117</v>
      </c>
      <c r="W527" s="3" t="n"/>
      <c r="X527" s="4" t="n"/>
      <c r="Y527" s="5" t="n">
        <v>0.575</v>
      </c>
      <c r="Z527" s="4">
        <f>IF(L527&lt;&gt;"",SQRT(3)*G527*L527/1000,"")</f>
        <v/>
      </c>
      <c r="AA527" t="inlineStr">
        <is>
          <t>Source=Copeland 2D/3D/4D/4R/6D/8D/9R compressors (pdf) p16</t>
        </is>
      </c>
      <c r="AB527" t="inlineStr">
        <is>
          <t>Copeland_RLA_230_460_3ph_60Hz.xlsx</t>
        </is>
      </c>
      <c r="AC527" t="inlineStr">
        <is>
          <t>Recip_2D-9R</t>
        </is>
      </c>
    </row>
    <row r="528">
      <c r="A528" t="inlineStr">
        <is>
          <t>COPELAND</t>
        </is>
      </c>
      <c r="B528" t="inlineStr">
        <is>
          <t>4DH1A2500-TSK</t>
        </is>
      </c>
      <c r="D528" t="inlineStr">
        <is>
          <t>Reciprocating Semi-hermetic</t>
        </is>
      </c>
      <c r="E528" s="2" t="n">
        <v>3</v>
      </c>
      <c r="F528" s="2" t="n">
        <v>60</v>
      </c>
      <c r="G528" s="2" t="n">
        <v>230</v>
      </c>
      <c r="H528" t="inlineStr">
        <is>
          <t>208/230</t>
        </is>
      </c>
      <c r="I528" s="2" t="n">
        <v>208</v>
      </c>
      <c r="J528" s="2" t="n">
        <v>230</v>
      </c>
      <c r="L528" s="3" t="n"/>
      <c r="M528" s="3" t="n"/>
      <c r="N528" s="3" t="n">
        <v>85.7</v>
      </c>
      <c r="O528" s="3" t="n"/>
      <c r="P528" s="3">
        <f>IF(L528&lt;&gt;"",L528/1.4,"")</f>
        <v/>
      </c>
      <c r="Q528" s="3">
        <f>IF(L528&lt;&gt;"",L528/1.56,"")</f>
        <v/>
      </c>
      <c r="R528" s="3">
        <f>IF(M528&lt;&gt;"",M528/1.4,"")</f>
        <v/>
      </c>
      <c r="S528" s="3">
        <f>IF(M528&lt;&gt;"",M528/1.56,"")</f>
        <v/>
      </c>
      <c r="T528" s="3">
        <f>IF(N528&lt;&gt;"",N528,IF(O528&lt;&gt;"",O528,IF(L528&lt;&gt;"",L528/1.56,IF(M528&lt;&gt;"",M528/1.56,""))))</f>
        <v/>
      </c>
      <c r="U528" s="3" t="n">
        <v>428</v>
      </c>
      <c r="V528" s="3" t="n">
        <v>250</v>
      </c>
      <c r="W528" s="3" t="n"/>
      <c r="X528" s="4" t="n"/>
      <c r="Y528" s="5" t="n">
        <v>0.132</v>
      </c>
      <c r="Z528" s="4">
        <f>IF(L528&lt;&gt;"",SQRT(3)*G528*L528/1000,"")</f>
        <v/>
      </c>
      <c r="AA528" t="inlineStr">
        <is>
          <t>Source=Copeland 2D/3D/4D/4R/6D/8D/9R compressors (pdf) p16; PWS_RLA=42.9</t>
        </is>
      </c>
      <c r="AB528" t="inlineStr">
        <is>
          <t>Copeland_RLA_230_460_3ph_60Hz.xlsx</t>
        </is>
      </c>
      <c r="AC528" t="inlineStr">
        <is>
          <t>Recip_2D-9R</t>
        </is>
      </c>
    </row>
    <row r="529">
      <c r="A529" t="inlineStr">
        <is>
          <t>COPELAND</t>
        </is>
      </c>
      <c r="B529" t="inlineStr">
        <is>
          <t>4DH1A2500-TSK</t>
        </is>
      </c>
      <c r="D529" t="inlineStr">
        <is>
          <t>Reciprocating Semi-hermetic</t>
        </is>
      </c>
      <c r="E529" s="2" t="n">
        <v>3</v>
      </c>
      <c r="F529" s="2" t="n">
        <v>60</v>
      </c>
      <c r="G529" s="2" t="n">
        <v>460</v>
      </c>
      <c r="H529" t="inlineStr">
        <is>
          <t>460</t>
        </is>
      </c>
      <c r="I529" s="2" t="n">
        <v>460</v>
      </c>
      <c r="J529" s="2" t="n">
        <v>460</v>
      </c>
      <c r="L529" s="3" t="n"/>
      <c r="M529" s="3" t="n"/>
      <c r="N529" s="3" t="n">
        <v>42.9</v>
      </c>
      <c r="O529" s="3" t="n"/>
      <c r="P529" s="3">
        <f>IF(L529&lt;&gt;"",L529/1.4,"")</f>
        <v/>
      </c>
      <c r="Q529" s="3">
        <f>IF(L529&lt;&gt;"",L529/1.56,"")</f>
        <v/>
      </c>
      <c r="R529" s="3">
        <f>IF(M529&lt;&gt;"",M529/1.4,"")</f>
        <v/>
      </c>
      <c r="S529" s="3">
        <f>IF(M529&lt;&gt;"",M529/1.56,"")</f>
        <v/>
      </c>
      <c r="T529" s="3">
        <f>IF(N529&lt;&gt;"",N529,IF(O529&lt;&gt;"",O529,IF(L529&lt;&gt;"",L529/1.56,IF(M529&lt;&gt;"",M529/1.56,""))))</f>
        <v/>
      </c>
      <c r="U529" s="3" t="n">
        <v>214</v>
      </c>
      <c r="V529" s="3" t="n"/>
      <c r="W529" s="3" t="n"/>
      <c r="X529" s="4" t="n"/>
      <c r="Y529" s="5" t="n">
        <v>0.528</v>
      </c>
      <c r="Z529" s="4">
        <f>IF(L529&lt;&gt;"",SQRT(3)*G529*L529/1000,"")</f>
        <v/>
      </c>
      <c r="AA529" t="inlineStr">
        <is>
          <t>Source=Copeland 2D/3D/4D/4R/6D/8D/9R compressors (pdf) p16</t>
        </is>
      </c>
      <c r="AB529" t="inlineStr">
        <is>
          <t>Copeland_RLA_230_460_3ph_60Hz.xlsx</t>
        </is>
      </c>
      <c r="AC529" t="inlineStr">
        <is>
          <t>Recip_2D-9R</t>
        </is>
      </c>
    </row>
    <row r="530">
      <c r="A530" t="inlineStr">
        <is>
          <t>COPELAND</t>
        </is>
      </c>
      <c r="B530" t="inlineStr">
        <is>
          <t>4DH1A2500-TXK</t>
        </is>
      </c>
      <c r="D530" t="inlineStr">
        <is>
          <t>Reciprocating Semi-hermetic</t>
        </is>
      </c>
      <c r="E530" s="2" t="n">
        <v>3</v>
      </c>
      <c r="F530" s="2" t="n">
        <v>60</v>
      </c>
      <c r="G530" s="2" t="n">
        <v>230</v>
      </c>
      <c r="H530" t="inlineStr">
        <is>
          <t>208/230</t>
        </is>
      </c>
      <c r="I530" s="2" t="n">
        <v>208</v>
      </c>
      <c r="J530" s="2" t="n">
        <v>230</v>
      </c>
      <c r="L530" s="3" t="n"/>
      <c r="M530" s="3" t="n"/>
      <c r="N530" s="3" t="n"/>
      <c r="O530" s="3" t="n"/>
      <c r="P530" s="3">
        <f>IF(L530&lt;&gt;"",L530/1.4,"")</f>
        <v/>
      </c>
      <c r="Q530" s="3">
        <f>IF(L530&lt;&gt;"",L530/1.56,"")</f>
        <v/>
      </c>
      <c r="R530" s="3">
        <f>IF(M530&lt;&gt;"",M530/1.4,"")</f>
        <v/>
      </c>
      <c r="S530" s="3">
        <f>IF(M530&lt;&gt;"",M530/1.56,"")</f>
        <v/>
      </c>
      <c r="T530" s="3">
        <f>IF(N530&lt;&gt;"",N530,IF(O530&lt;&gt;"",O530,IF(L530&lt;&gt;"",L530/1.56,IF(M530&lt;&gt;"",M530/1.56,""))))</f>
        <v/>
      </c>
      <c r="U530" s="3" t="n">
        <v>428</v>
      </c>
      <c r="V530" s="3" t="n">
        <v>250</v>
      </c>
      <c r="W530" s="3" t="n"/>
      <c r="X530" s="4" t="n"/>
      <c r="Y530" s="5" t="n">
        <v>0.132</v>
      </c>
      <c r="Z530" s="4">
        <f>IF(L530&lt;&gt;"",SQRT(3)*G530*L530/1000,"")</f>
        <v/>
      </c>
      <c r="AA530" t="inlineStr">
        <is>
          <t>Source=Copeland 2D/3D/4D/4R/6D/8D/9R compressors (pdf) p16</t>
        </is>
      </c>
      <c r="AB530" t="inlineStr">
        <is>
          <t>Copeland_RLA_230_460_3ph_60Hz.xlsx</t>
        </is>
      </c>
      <c r="AC530" t="inlineStr">
        <is>
          <t>Recip_2D-9R</t>
        </is>
      </c>
    </row>
    <row r="531">
      <c r="A531" t="inlineStr">
        <is>
          <t>COPELAND</t>
        </is>
      </c>
      <c r="B531" t="inlineStr">
        <is>
          <t>4DH1A2500-TXK</t>
        </is>
      </c>
      <c r="D531" t="inlineStr">
        <is>
          <t>Reciprocating Semi-hermetic</t>
        </is>
      </c>
      <c r="E531" s="2" t="n">
        <v>3</v>
      </c>
      <c r="F531" s="2" t="n">
        <v>60</v>
      </c>
      <c r="G531" s="2" t="n">
        <v>460</v>
      </c>
      <c r="H531" t="inlineStr">
        <is>
          <t>460</t>
        </is>
      </c>
      <c r="I531" s="2" t="n">
        <v>460</v>
      </c>
      <c r="J531" s="2" t="n">
        <v>460</v>
      </c>
      <c r="L531" s="3" t="n"/>
      <c r="M531" s="3" t="n"/>
      <c r="N531" s="3" t="n"/>
      <c r="O531" s="3" t="n"/>
      <c r="P531" s="3">
        <f>IF(L531&lt;&gt;"",L531/1.4,"")</f>
        <v/>
      </c>
      <c r="Q531" s="3">
        <f>IF(L531&lt;&gt;"",L531/1.56,"")</f>
        <v/>
      </c>
      <c r="R531" s="3">
        <f>IF(M531&lt;&gt;"",M531/1.4,"")</f>
        <v/>
      </c>
      <c r="S531" s="3">
        <f>IF(M531&lt;&gt;"",M531/1.56,"")</f>
        <v/>
      </c>
      <c r="T531" s="3">
        <f>IF(N531&lt;&gt;"",N531,IF(O531&lt;&gt;"",O531,IF(L531&lt;&gt;"",L531/1.56,IF(M531&lt;&gt;"",M531/1.56,""))))</f>
        <v/>
      </c>
      <c r="U531" s="3" t="n">
        <v>214</v>
      </c>
      <c r="V531" s="3" t="n"/>
      <c r="W531" s="3" t="n"/>
      <c r="X531" s="4" t="n"/>
      <c r="Y531" s="5" t="n">
        <v>0.528</v>
      </c>
      <c r="Z531" s="4">
        <f>IF(L531&lt;&gt;"",SQRT(3)*G531*L531/1000,"")</f>
        <v/>
      </c>
      <c r="AA531" t="inlineStr">
        <is>
          <t>Source=Copeland 2D/3D/4D/4R/6D/8D/9R compressors (pdf) p16</t>
        </is>
      </c>
      <c r="AB531" t="inlineStr">
        <is>
          <t>Copeland_RLA_230_460_3ph_60Hz.xlsx</t>
        </is>
      </c>
      <c r="AC531" t="inlineStr">
        <is>
          <t>Recip_2D-9R</t>
        </is>
      </c>
    </row>
    <row r="532">
      <c r="A532" t="inlineStr">
        <is>
          <t>COPELAND</t>
        </is>
      </c>
      <c r="B532" t="inlineStr">
        <is>
          <t>4DH1R22M0-FSD</t>
        </is>
      </c>
      <c r="D532" t="inlineStr">
        <is>
          <t>Reciprocating Semi-hermetic</t>
        </is>
      </c>
      <c r="E532" s="2" t="n">
        <v>3</v>
      </c>
      <c r="F532" s="2" t="n">
        <v>60</v>
      </c>
      <c r="G532" s="2" t="n">
        <v>460</v>
      </c>
      <c r="H532" t="inlineStr">
        <is>
          <t>460</t>
        </is>
      </c>
      <c r="I532" s="2" t="n">
        <v>460</v>
      </c>
      <c r="J532" s="2" t="n">
        <v>460</v>
      </c>
      <c r="L532" s="3" t="n"/>
      <c r="M532" s="3" t="n"/>
      <c r="N532" s="3" t="n">
        <v>46.4</v>
      </c>
      <c r="O532" s="3" t="n"/>
      <c r="P532" s="3">
        <f>IF(L532&lt;&gt;"",L532/1.4,"")</f>
        <v/>
      </c>
      <c r="Q532" s="3">
        <f>IF(L532&lt;&gt;"",L532/1.56,"")</f>
        <v/>
      </c>
      <c r="R532" s="3">
        <f>IF(M532&lt;&gt;"",M532/1.4,"")</f>
        <v/>
      </c>
      <c r="S532" s="3">
        <f>IF(M532&lt;&gt;"",M532/1.56,"")</f>
        <v/>
      </c>
      <c r="T532" s="3">
        <f>IF(N532&lt;&gt;"",N532,IF(O532&lt;&gt;"",O532,IF(L532&lt;&gt;"",L532/1.56,IF(M532&lt;&gt;"",M532/1.56,""))))</f>
        <v/>
      </c>
      <c r="U532" s="3" t="n">
        <v>195</v>
      </c>
      <c r="V532" s="3" t="n">
        <v>117</v>
      </c>
      <c r="W532" s="3" t="n"/>
      <c r="X532" s="4" t="n"/>
      <c r="Y532" s="5" t="n">
        <v>0.575</v>
      </c>
      <c r="Z532" s="4">
        <f>IF(L532&lt;&gt;"",SQRT(3)*G532*L532/1000,"")</f>
        <v/>
      </c>
      <c r="AA532" t="inlineStr">
        <is>
          <t>Source=Copeland 2D/3D/4D/4R/6D/8D/9R compressors (pdf) p16; PWS_RLA=23.2</t>
        </is>
      </c>
      <c r="AB532" t="inlineStr">
        <is>
          <t>Copeland_RLA_230_460_3ph_60Hz.xlsx</t>
        </is>
      </c>
      <c r="AC532" t="inlineStr">
        <is>
          <t>Recip_2D-9R</t>
        </is>
      </c>
    </row>
    <row r="533">
      <c r="A533" t="inlineStr">
        <is>
          <t>COPELAND</t>
        </is>
      </c>
      <c r="B533" t="inlineStr">
        <is>
          <t>4DH1R22M0-TSK</t>
        </is>
      </c>
      <c r="D533" t="inlineStr">
        <is>
          <t>Reciprocating Semi-hermetic</t>
        </is>
      </c>
      <c r="E533" s="2" t="n">
        <v>3</v>
      </c>
      <c r="F533" s="2" t="n">
        <v>60</v>
      </c>
      <c r="G533" s="2" t="n">
        <v>230</v>
      </c>
      <c r="H533" t="inlineStr">
        <is>
          <t>208/230</t>
        </is>
      </c>
      <c r="I533" s="2" t="n">
        <v>208</v>
      </c>
      <c r="J533" s="2" t="n">
        <v>230</v>
      </c>
      <c r="L533" s="3" t="n"/>
      <c r="M533" s="3" t="n"/>
      <c r="N533" s="3" t="n">
        <v>85.7</v>
      </c>
      <c r="O533" s="3" t="n"/>
      <c r="P533" s="3">
        <f>IF(L533&lt;&gt;"",L533/1.4,"")</f>
        <v/>
      </c>
      <c r="Q533" s="3">
        <f>IF(L533&lt;&gt;"",L533/1.56,"")</f>
        <v/>
      </c>
      <c r="R533" s="3">
        <f>IF(M533&lt;&gt;"",M533/1.4,"")</f>
        <v/>
      </c>
      <c r="S533" s="3">
        <f>IF(M533&lt;&gt;"",M533/1.56,"")</f>
        <v/>
      </c>
      <c r="T533" s="3">
        <f>IF(N533&lt;&gt;"",N533,IF(O533&lt;&gt;"",O533,IF(L533&lt;&gt;"",L533/1.56,IF(M533&lt;&gt;"",M533/1.56,""))))</f>
        <v/>
      </c>
      <c r="U533" s="3" t="n">
        <v>428</v>
      </c>
      <c r="V533" s="3" t="n">
        <v>250</v>
      </c>
      <c r="W533" s="3" t="n"/>
      <c r="X533" s="4" t="n"/>
      <c r="Y533" s="5" t="n">
        <v>0.132</v>
      </c>
      <c r="Z533" s="4">
        <f>IF(L533&lt;&gt;"",SQRT(3)*G533*L533/1000,"")</f>
        <v/>
      </c>
      <c r="AA533" t="inlineStr">
        <is>
          <t>Source=Copeland 2D/3D/4D/4R/6D/8D/9R compressors (pdf) p16; PWS_RLA=42.9</t>
        </is>
      </c>
      <c r="AB533" t="inlineStr">
        <is>
          <t>Copeland_RLA_230_460_3ph_60Hz.xlsx</t>
        </is>
      </c>
      <c r="AC533" t="inlineStr">
        <is>
          <t>Recip_2D-9R</t>
        </is>
      </c>
    </row>
    <row r="534">
      <c r="A534" t="inlineStr">
        <is>
          <t>COPELAND</t>
        </is>
      </c>
      <c r="B534" t="inlineStr">
        <is>
          <t>4DH1R22M0-TSK</t>
        </is>
      </c>
      <c r="D534" t="inlineStr">
        <is>
          <t>Reciprocating Semi-hermetic</t>
        </is>
      </c>
      <c r="E534" s="2" t="n">
        <v>3</v>
      </c>
      <c r="F534" s="2" t="n">
        <v>60</v>
      </c>
      <c r="G534" s="2" t="n">
        <v>460</v>
      </c>
      <c r="H534" t="inlineStr">
        <is>
          <t>460</t>
        </is>
      </c>
      <c r="I534" s="2" t="n">
        <v>460</v>
      </c>
      <c r="J534" s="2" t="n">
        <v>460</v>
      </c>
      <c r="L534" s="3" t="n"/>
      <c r="M534" s="3" t="n"/>
      <c r="N534" s="3" t="n">
        <v>42.9</v>
      </c>
      <c r="O534" s="3" t="n"/>
      <c r="P534" s="3">
        <f>IF(L534&lt;&gt;"",L534/1.4,"")</f>
        <v/>
      </c>
      <c r="Q534" s="3">
        <f>IF(L534&lt;&gt;"",L534/1.56,"")</f>
        <v/>
      </c>
      <c r="R534" s="3">
        <f>IF(M534&lt;&gt;"",M534/1.4,"")</f>
        <v/>
      </c>
      <c r="S534" s="3">
        <f>IF(M534&lt;&gt;"",M534/1.56,"")</f>
        <v/>
      </c>
      <c r="T534" s="3">
        <f>IF(N534&lt;&gt;"",N534,IF(O534&lt;&gt;"",O534,IF(L534&lt;&gt;"",L534/1.56,IF(M534&lt;&gt;"",M534/1.56,""))))</f>
        <v/>
      </c>
      <c r="U534" s="3" t="n">
        <v>214</v>
      </c>
      <c r="V534" s="3" t="n"/>
      <c r="W534" s="3" t="n"/>
      <c r="X534" s="4" t="n"/>
      <c r="Y534" s="5" t="n">
        <v>0.528</v>
      </c>
      <c r="Z534" s="4">
        <f>IF(L534&lt;&gt;"",SQRT(3)*G534*L534/1000,"")</f>
        <v/>
      </c>
      <c r="AA534" t="inlineStr">
        <is>
          <t>Source=Copeland 2D/3D/4D/4R/6D/8D/9R compressors (pdf) p16</t>
        </is>
      </c>
      <c r="AB534" t="inlineStr">
        <is>
          <t>Copeland_RLA_230_460_3ph_60Hz.xlsx</t>
        </is>
      </c>
      <c r="AC534" t="inlineStr">
        <is>
          <t>Recip_2D-9R</t>
        </is>
      </c>
    </row>
    <row r="535">
      <c r="A535" t="inlineStr">
        <is>
          <t>COPELAND</t>
        </is>
      </c>
      <c r="B535" t="inlineStr">
        <is>
          <t>4DH3A150E-TSK</t>
        </is>
      </c>
      <c r="D535" t="inlineStr">
        <is>
          <t>Reciprocating Semi-hermetic</t>
        </is>
      </c>
      <c r="E535" s="2" t="n">
        <v>3</v>
      </c>
      <c r="F535" s="2" t="n">
        <v>60</v>
      </c>
      <c r="G535" s="2" t="n">
        <v>230</v>
      </c>
      <c r="H535" t="inlineStr">
        <is>
          <t>208/230</t>
        </is>
      </c>
      <c r="I535" s="2" t="n">
        <v>208</v>
      </c>
      <c r="J535" s="2" t="n">
        <v>230</v>
      </c>
      <c r="L535" s="3" t="n"/>
      <c r="M535" s="3" t="n"/>
      <c r="N535" s="3" t="n">
        <v>57.9</v>
      </c>
      <c r="O535" s="3" t="n"/>
      <c r="P535" s="3">
        <f>IF(L535&lt;&gt;"",L535/1.4,"")</f>
        <v/>
      </c>
      <c r="Q535" s="3">
        <f>IF(L535&lt;&gt;"",L535/1.56,"")</f>
        <v/>
      </c>
      <c r="R535" s="3">
        <f>IF(M535&lt;&gt;"",M535/1.4,"")</f>
        <v/>
      </c>
      <c r="S535" s="3">
        <f>IF(M535&lt;&gt;"",M535/1.56,"")</f>
        <v/>
      </c>
      <c r="T535" s="3">
        <f>IF(N535&lt;&gt;"",N535,IF(O535&lt;&gt;"",O535,IF(L535&lt;&gt;"",L535/1.56,IF(M535&lt;&gt;"",M535/1.56,""))))</f>
        <v/>
      </c>
      <c r="U535" s="3" t="n">
        <v>278</v>
      </c>
      <c r="V535" s="3" t="n">
        <v>170</v>
      </c>
      <c r="W535" s="3" t="n"/>
      <c r="X535" s="4" t="n"/>
      <c r="Y535" s="5" t="n">
        <v>0.208</v>
      </c>
      <c r="Z535" s="4">
        <f>IF(L535&lt;&gt;"",SQRT(3)*G535*L535/1000,"")</f>
        <v/>
      </c>
      <c r="AA535" t="inlineStr">
        <is>
          <t>Source=Copeland 2D/3D/4D/4R/6D/8D/9R compressors (pdf) p16; PWS_RLA=29.0</t>
        </is>
      </c>
      <c r="AB535" t="inlineStr">
        <is>
          <t>Copeland_RLA_230_460_3ph_60Hz.xlsx</t>
        </is>
      </c>
      <c r="AC535" t="inlineStr">
        <is>
          <t>Recip_2D-9R</t>
        </is>
      </c>
    </row>
    <row r="536">
      <c r="A536" t="inlineStr">
        <is>
          <t>COPELAND</t>
        </is>
      </c>
      <c r="B536" t="inlineStr">
        <is>
          <t>4DH3A150E-TSK</t>
        </is>
      </c>
      <c r="D536" t="inlineStr">
        <is>
          <t>Reciprocating Semi-hermetic</t>
        </is>
      </c>
      <c r="E536" s="2" t="n">
        <v>3</v>
      </c>
      <c r="F536" s="2" t="n">
        <v>60</v>
      </c>
      <c r="G536" s="2" t="n">
        <v>460</v>
      </c>
      <c r="H536" t="inlineStr">
        <is>
          <t>460</t>
        </is>
      </c>
      <c r="I536" s="2" t="n">
        <v>460</v>
      </c>
      <c r="J536" s="2" t="n">
        <v>460</v>
      </c>
      <c r="L536" s="3" t="n"/>
      <c r="M536" s="3" t="n"/>
      <c r="N536" s="3" t="n">
        <v>28.9</v>
      </c>
      <c r="O536" s="3" t="n"/>
      <c r="P536" s="3">
        <f>IF(L536&lt;&gt;"",L536/1.4,"")</f>
        <v/>
      </c>
      <c r="Q536" s="3">
        <f>IF(L536&lt;&gt;"",L536/1.56,"")</f>
        <v/>
      </c>
      <c r="R536" s="3">
        <f>IF(M536&lt;&gt;"",M536/1.4,"")</f>
        <v/>
      </c>
      <c r="S536" s="3">
        <f>IF(M536&lt;&gt;"",M536/1.56,"")</f>
        <v/>
      </c>
      <c r="T536" s="3">
        <f>IF(N536&lt;&gt;"",N536,IF(O536&lt;&gt;"",O536,IF(L536&lt;&gt;"",L536/1.56,IF(M536&lt;&gt;"",M536/1.56,""))))</f>
        <v/>
      </c>
      <c r="U536" s="3" t="n">
        <v>139</v>
      </c>
      <c r="V536" s="3" t="n"/>
      <c r="W536" s="3" t="n"/>
      <c r="X536" s="4" t="n"/>
      <c r="Y536" s="5" t="n">
        <v>0.832</v>
      </c>
      <c r="Z536" s="4">
        <f>IF(L536&lt;&gt;"",SQRT(3)*G536*L536/1000,"")</f>
        <v/>
      </c>
      <c r="AA536" t="inlineStr">
        <is>
          <t>Source=Copeland 2D/3D/4D/4R/6D/8D/9R compressors (pdf) p16</t>
        </is>
      </c>
      <c r="AB536" t="inlineStr">
        <is>
          <t>Copeland_RLA_230_460_3ph_60Hz.xlsx</t>
        </is>
      </c>
      <c r="AC536" t="inlineStr">
        <is>
          <t>Recip_2D-9R</t>
        </is>
      </c>
    </row>
    <row r="537">
      <c r="A537" t="inlineStr">
        <is>
          <t>COPELAND</t>
        </is>
      </c>
      <c r="B537" t="inlineStr">
        <is>
          <t>4DH3A150L-TSK</t>
        </is>
      </c>
      <c r="D537" t="inlineStr">
        <is>
          <t>Reciprocating Semi-hermetic</t>
        </is>
      </c>
      <c r="E537" s="2" t="n">
        <v>3</v>
      </c>
      <c r="F537" s="2" t="n">
        <v>60</v>
      </c>
      <c r="G537" s="2" t="n">
        <v>230</v>
      </c>
      <c r="H537" t="inlineStr">
        <is>
          <t>208/230</t>
        </is>
      </c>
      <c r="I537" s="2" t="n">
        <v>208</v>
      </c>
      <c r="J537" s="2" t="n">
        <v>230</v>
      </c>
      <c r="L537" s="3" t="n"/>
      <c r="M537" s="3" t="n"/>
      <c r="N537" s="3" t="n">
        <v>57.9</v>
      </c>
      <c r="O537" s="3" t="n"/>
      <c r="P537" s="3">
        <f>IF(L537&lt;&gt;"",L537/1.4,"")</f>
        <v/>
      </c>
      <c r="Q537" s="3">
        <f>IF(L537&lt;&gt;"",L537/1.56,"")</f>
        <v/>
      </c>
      <c r="R537" s="3">
        <f>IF(M537&lt;&gt;"",M537/1.4,"")</f>
        <v/>
      </c>
      <c r="S537" s="3">
        <f>IF(M537&lt;&gt;"",M537/1.56,"")</f>
        <v/>
      </c>
      <c r="T537" s="3">
        <f>IF(N537&lt;&gt;"",N537,IF(O537&lt;&gt;"",O537,IF(L537&lt;&gt;"",L537/1.56,IF(M537&lt;&gt;"",M537/1.56,""))))</f>
        <v/>
      </c>
      <c r="U537" s="3" t="n">
        <v>278</v>
      </c>
      <c r="V537" s="3" t="n">
        <v>170</v>
      </c>
      <c r="W537" s="3" t="n"/>
      <c r="X537" s="4" t="n"/>
      <c r="Y537" s="5" t="n">
        <v>0.208</v>
      </c>
      <c r="Z537" s="4">
        <f>IF(L537&lt;&gt;"",SQRT(3)*G537*L537/1000,"")</f>
        <v/>
      </c>
      <c r="AA537" t="inlineStr">
        <is>
          <t>Source=Copeland 2D/3D/4D/4R/6D/8D/9R compressors (pdf) p16; PWS_RLA=29.0</t>
        </is>
      </c>
      <c r="AB537" t="inlineStr">
        <is>
          <t>Copeland_RLA_230_460_3ph_60Hz.xlsx</t>
        </is>
      </c>
      <c r="AC537" t="inlineStr">
        <is>
          <t>Recip_2D-9R</t>
        </is>
      </c>
    </row>
    <row r="538">
      <c r="A538" t="inlineStr">
        <is>
          <t>COPELAND</t>
        </is>
      </c>
      <c r="B538" t="inlineStr">
        <is>
          <t>4DH3A150L-TSK</t>
        </is>
      </c>
      <c r="D538" t="inlineStr">
        <is>
          <t>Reciprocating Semi-hermetic</t>
        </is>
      </c>
      <c r="E538" s="2" t="n">
        <v>3</v>
      </c>
      <c r="F538" s="2" t="n">
        <v>60</v>
      </c>
      <c r="G538" s="2" t="n">
        <v>460</v>
      </c>
      <c r="H538" t="inlineStr">
        <is>
          <t>460</t>
        </is>
      </c>
      <c r="I538" s="2" t="n">
        <v>460</v>
      </c>
      <c r="J538" s="2" t="n">
        <v>460</v>
      </c>
      <c r="L538" s="3" t="n"/>
      <c r="M538" s="3" t="n"/>
      <c r="N538" s="3" t="n">
        <v>28.9</v>
      </c>
      <c r="O538" s="3" t="n"/>
      <c r="P538" s="3">
        <f>IF(L538&lt;&gt;"",L538/1.4,"")</f>
        <v/>
      </c>
      <c r="Q538" s="3">
        <f>IF(L538&lt;&gt;"",L538/1.56,"")</f>
        <v/>
      </c>
      <c r="R538" s="3">
        <f>IF(M538&lt;&gt;"",M538/1.4,"")</f>
        <v/>
      </c>
      <c r="S538" s="3">
        <f>IF(M538&lt;&gt;"",M538/1.56,"")</f>
        <v/>
      </c>
      <c r="T538" s="3">
        <f>IF(N538&lt;&gt;"",N538,IF(O538&lt;&gt;"",O538,IF(L538&lt;&gt;"",L538/1.56,IF(M538&lt;&gt;"",M538/1.56,""))))</f>
        <v/>
      </c>
      <c r="U538" s="3" t="n">
        <v>139</v>
      </c>
      <c r="V538" s="3" t="n"/>
      <c r="W538" s="3" t="n"/>
      <c r="X538" s="4" t="n"/>
      <c r="Y538" s="5" t="n">
        <v>0.832</v>
      </c>
      <c r="Z538" s="4">
        <f>IF(L538&lt;&gt;"",SQRT(3)*G538*L538/1000,"")</f>
        <v/>
      </c>
      <c r="AA538" t="inlineStr">
        <is>
          <t>Source=Copeland 2D/3D/4D/4R/6D/8D/9R compressors (pdf) p17</t>
        </is>
      </c>
      <c r="AB538" t="inlineStr">
        <is>
          <t>Copeland_RLA_230_460_3ph_60Hz.xlsx</t>
        </is>
      </c>
      <c r="AC538" t="inlineStr">
        <is>
          <t>Recip_2D-9R</t>
        </is>
      </c>
    </row>
    <row r="539">
      <c r="A539" t="inlineStr">
        <is>
          <t>COPELAND</t>
        </is>
      </c>
      <c r="B539" t="inlineStr">
        <is>
          <t>4DH3A2500-FSD</t>
        </is>
      </c>
      <c r="D539" t="inlineStr">
        <is>
          <t>Reciprocating Semi-hermetic</t>
        </is>
      </c>
      <c r="E539" s="2" t="n">
        <v>3</v>
      </c>
      <c r="F539" s="2" t="n">
        <v>60</v>
      </c>
      <c r="G539" s="2" t="n">
        <v>460</v>
      </c>
      <c r="H539" t="inlineStr">
        <is>
          <t>460</t>
        </is>
      </c>
      <c r="I539" s="2" t="n">
        <v>460</v>
      </c>
      <c r="J539" s="2" t="n">
        <v>460</v>
      </c>
      <c r="L539" s="3" t="n"/>
      <c r="M539" s="3" t="n"/>
      <c r="N539" s="3" t="n">
        <v>40.6</v>
      </c>
      <c r="O539" s="3" t="n"/>
      <c r="P539" s="3">
        <f>IF(L539&lt;&gt;"",L539/1.4,"")</f>
        <v/>
      </c>
      <c r="Q539" s="3">
        <f>IF(L539&lt;&gt;"",L539/1.56,"")</f>
        <v/>
      </c>
      <c r="R539" s="3">
        <f>IF(M539&lt;&gt;"",M539/1.4,"")</f>
        <v/>
      </c>
      <c r="S539" s="3">
        <f>IF(M539&lt;&gt;"",M539/1.56,"")</f>
        <v/>
      </c>
      <c r="T539" s="3">
        <f>IF(N539&lt;&gt;"",N539,IF(O539&lt;&gt;"",O539,IF(L539&lt;&gt;"",L539/1.56,IF(M539&lt;&gt;"",M539/1.56,""))))</f>
        <v/>
      </c>
      <c r="U539" s="3" t="n">
        <v>206</v>
      </c>
      <c r="V539" s="3" t="n">
        <v>132</v>
      </c>
      <c r="W539" s="3" t="n"/>
      <c r="X539" s="4" t="n"/>
      <c r="Y539" s="5" t="n">
        <v>0.524</v>
      </c>
      <c r="Z539" s="4">
        <f>IF(L539&lt;&gt;"",SQRT(3)*G539*L539/1000,"")</f>
        <v/>
      </c>
      <c r="AA539" t="inlineStr">
        <is>
          <t>Source=Copeland 2D/3D/4D/4R/6D/8D/9R compressors (pdf) p17; PWS_RLA=20.3</t>
        </is>
      </c>
      <c r="AB539" t="inlineStr">
        <is>
          <t>Copeland_RLA_230_460_3ph_60Hz.xlsx</t>
        </is>
      </c>
      <c r="AC539" t="inlineStr">
        <is>
          <t>Recip_2D-9R</t>
        </is>
      </c>
    </row>
    <row r="540">
      <c r="A540" t="inlineStr">
        <is>
          <t>COPELAND</t>
        </is>
      </c>
      <c r="B540" t="inlineStr">
        <is>
          <t>4DH3A2500-FXD</t>
        </is>
      </c>
      <c r="D540" t="inlineStr">
        <is>
          <t>Reciprocating Semi-hermetic</t>
        </is>
      </c>
      <c r="E540" s="2" t="n">
        <v>3</v>
      </c>
      <c r="F540" s="2" t="n">
        <v>60</v>
      </c>
      <c r="G540" s="2" t="n">
        <v>460</v>
      </c>
      <c r="H540" t="inlineStr">
        <is>
          <t>460</t>
        </is>
      </c>
      <c r="I540" s="2" t="n">
        <v>460</v>
      </c>
      <c r="J540" s="2" t="n">
        <v>460</v>
      </c>
      <c r="L540" s="3" t="n"/>
      <c r="M540" s="3" t="n"/>
      <c r="N540" s="3" t="n"/>
      <c r="O540" s="3" t="n"/>
      <c r="P540" s="3">
        <f>IF(L540&lt;&gt;"",L540/1.4,"")</f>
        <v/>
      </c>
      <c r="Q540" s="3">
        <f>IF(L540&lt;&gt;"",L540/1.56,"")</f>
        <v/>
      </c>
      <c r="R540" s="3">
        <f>IF(M540&lt;&gt;"",M540/1.4,"")</f>
        <v/>
      </c>
      <c r="S540" s="3">
        <f>IF(M540&lt;&gt;"",M540/1.56,"")</f>
        <v/>
      </c>
      <c r="T540" s="3">
        <f>IF(N540&lt;&gt;"",N540,IF(O540&lt;&gt;"",O540,IF(L540&lt;&gt;"",L540/1.56,IF(M540&lt;&gt;"",M540/1.56,""))))</f>
        <v/>
      </c>
      <c r="U540" s="3" t="n">
        <v>206</v>
      </c>
      <c r="V540" s="3" t="n">
        <v>132</v>
      </c>
      <c r="W540" s="3" t="n"/>
      <c r="X540" s="4" t="n"/>
      <c r="Y540" s="5" t="n">
        <v>0.524</v>
      </c>
      <c r="Z540" s="4">
        <f>IF(L540&lt;&gt;"",SQRT(3)*G540*L540/1000,"")</f>
        <v/>
      </c>
      <c r="AA540" t="inlineStr">
        <is>
          <t>Source=Copeland 2D/3D/4D/4R/6D/8D/9R compressors (pdf) p17</t>
        </is>
      </c>
      <c r="AB540" t="inlineStr">
        <is>
          <t>Copeland_RLA_230_460_3ph_60Hz.xlsx</t>
        </is>
      </c>
      <c r="AC540" t="inlineStr">
        <is>
          <t>Recip_2D-9R</t>
        </is>
      </c>
    </row>
    <row r="541">
      <c r="A541" t="inlineStr">
        <is>
          <t>COPELAND</t>
        </is>
      </c>
      <c r="B541" t="inlineStr">
        <is>
          <t>4DH3A2500-TSK</t>
        </is>
      </c>
      <c r="D541" t="inlineStr">
        <is>
          <t>Reciprocating Semi-hermetic</t>
        </is>
      </c>
      <c r="E541" s="2" t="n">
        <v>3</v>
      </c>
      <c r="F541" s="2" t="n">
        <v>60</v>
      </c>
      <c r="G541" s="2" t="n">
        <v>230</v>
      </c>
      <c r="H541" t="inlineStr">
        <is>
          <t>208/230</t>
        </is>
      </c>
      <c r="I541" s="2" t="n">
        <v>208</v>
      </c>
      <c r="J541" s="2" t="n">
        <v>230</v>
      </c>
      <c r="L541" s="3" t="n"/>
      <c r="M541" s="3" t="n"/>
      <c r="N541" s="3" t="n">
        <v>82.09999999999999</v>
      </c>
      <c r="O541" s="3" t="n"/>
      <c r="P541" s="3">
        <f>IF(L541&lt;&gt;"",L541/1.4,"")</f>
        <v/>
      </c>
      <c r="Q541" s="3">
        <f>IF(L541&lt;&gt;"",L541/1.56,"")</f>
        <v/>
      </c>
      <c r="R541" s="3">
        <f>IF(M541&lt;&gt;"",M541/1.4,"")</f>
        <v/>
      </c>
      <c r="S541" s="3">
        <f>IF(M541&lt;&gt;"",M541/1.56,"")</f>
        <v/>
      </c>
      <c r="T541" s="3">
        <f>IF(N541&lt;&gt;"",N541,IF(O541&lt;&gt;"",O541,IF(L541&lt;&gt;"",L541/1.56,IF(M541&lt;&gt;"",M541/1.56,""))))</f>
        <v/>
      </c>
      <c r="U541" s="3" t="n">
        <v>428</v>
      </c>
      <c r="V541" s="3" t="n">
        <v>250</v>
      </c>
      <c r="W541" s="3" t="n"/>
      <c r="X541" s="4" t="n"/>
      <c r="Y541" s="5" t="n">
        <v>0.132</v>
      </c>
      <c r="Z541" s="4">
        <f>IF(L541&lt;&gt;"",SQRT(3)*G541*L541/1000,"")</f>
        <v/>
      </c>
      <c r="AA541" t="inlineStr">
        <is>
          <t>Source=Copeland 2D/3D/4D/4R/6D/8D/9R compressors (pdf) p17; PWS_RLA=41.1</t>
        </is>
      </c>
      <c r="AB541" t="inlineStr">
        <is>
          <t>Copeland_RLA_230_460_3ph_60Hz.xlsx</t>
        </is>
      </c>
      <c r="AC541" t="inlineStr">
        <is>
          <t>Recip_2D-9R</t>
        </is>
      </c>
    </row>
    <row r="542">
      <c r="A542" t="inlineStr">
        <is>
          <t>COPELAND</t>
        </is>
      </c>
      <c r="B542" t="inlineStr">
        <is>
          <t>4DH3A2500-TSK</t>
        </is>
      </c>
      <c r="D542" t="inlineStr">
        <is>
          <t>Reciprocating Semi-hermetic</t>
        </is>
      </c>
      <c r="E542" s="2" t="n">
        <v>3</v>
      </c>
      <c r="F542" s="2" t="n">
        <v>60</v>
      </c>
      <c r="G542" s="2" t="n">
        <v>460</v>
      </c>
      <c r="H542" t="inlineStr">
        <is>
          <t>460</t>
        </is>
      </c>
      <c r="I542" s="2" t="n">
        <v>460</v>
      </c>
      <c r="J542" s="2" t="n">
        <v>460</v>
      </c>
      <c r="L542" s="3" t="n"/>
      <c r="M542" s="3" t="n"/>
      <c r="N542" s="3" t="n">
        <v>41.1</v>
      </c>
      <c r="O542" s="3" t="n"/>
      <c r="P542" s="3">
        <f>IF(L542&lt;&gt;"",L542/1.4,"")</f>
        <v/>
      </c>
      <c r="Q542" s="3">
        <f>IF(L542&lt;&gt;"",L542/1.56,"")</f>
        <v/>
      </c>
      <c r="R542" s="3">
        <f>IF(M542&lt;&gt;"",M542/1.4,"")</f>
        <v/>
      </c>
      <c r="S542" s="3">
        <f>IF(M542&lt;&gt;"",M542/1.56,"")</f>
        <v/>
      </c>
      <c r="T542" s="3">
        <f>IF(N542&lt;&gt;"",N542,IF(O542&lt;&gt;"",O542,IF(L542&lt;&gt;"",L542/1.56,IF(M542&lt;&gt;"",M542/1.56,""))))</f>
        <v/>
      </c>
      <c r="U542" s="3" t="n">
        <v>214</v>
      </c>
      <c r="V542" s="3" t="n"/>
      <c r="W542" s="3" t="n"/>
      <c r="X542" s="4" t="n"/>
      <c r="Y542" s="5" t="n">
        <v>0.528</v>
      </c>
      <c r="Z542" s="4">
        <f>IF(L542&lt;&gt;"",SQRT(3)*G542*L542/1000,"")</f>
        <v/>
      </c>
      <c r="AA542" t="inlineStr">
        <is>
          <t>Source=Copeland 2D/3D/4D/4R/6D/8D/9R compressors (pdf) p17</t>
        </is>
      </c>
      <c r="AB542" t="inlineStr">
        <is>
          <t>Copeland_RLA_230_460_3ph_60Hz.xlsx</t>
        </is>
      </c>
      <c r="AC542" t="inlineStr">
        <is>
          <t>Recip_2D-9R</t>
        </is>
      </c>
    </row>
    <row r="543">
      <c r="A543" t="inlineStr">
        <is>
          <t>COPELAND</t>
        </is>
      </c>
      <c r="B543" t="inlineStr">
        <is>
          <t>4DH3A2500-TXK</t>
        </is>
      </c>
      <c r="D543" t="inlineStr">
        <is>
          <t>Reciprocating Semi-hermetic</t>
        </is>
      </c>
      <c r="E543" s="2" t="n">
        <v>3</v>
      </c>
      <c r="F543" s="2" t="n">
        <v>60</v>
      </c>
      <c r="G543" s="2" t="n">
        <v>230</v>
      </c>
      <c r="H543" t="inlineStr">
        <is>
          <t>208/230</t>
        </is>
      </c>
      <c r="I543" s="2" t="n">
        <v>208</v>
      </c>
      <c r="J543" s="2" t="n">
        <v>230</v>
      </c>
      <c r="L543" s="3" t="n"/>
      <c r="M543" s="3" t="n"/>
      <c r="N543" s="3" t="n"/>
      <c r="O543" s="3" t="n"/>
      <c r="P543" s="3">
        <f>IF(L543&lt;&gt;"",L543/1.4,"")</f>
        <v/>
      </c>
      <c r="Q543" s="3">
        <f>IF(L543&lt;&gt;"",L543/1.56,"")</f>
        <v/>
      </c>
      <c r="R543" s="3">
        <f>IF(M543&lt;&gt;"",M543/1.4,"")</f>
        <v/>
      </c>
      <c r="S543" s="3">
        <f>IF(M543&lt;&gt;"",M543/1.56,"")</f>
        <v/>
      </c>
      <c r="T543" s="3">
        <f>IF(N543&lt;&gt;"",N543,IF(O543&lt;&gt;"",O543,IF(L543&lt;&gt;"",L543/1.56,IF(M543&lt;&gt;"",M543/1.56,""))))</f>
        <v/>
      </c>
      <c r="U543" s="3" t="n">
        <v>428</v>
      </c>
      <c r="V543" s="3" t="n">
        <v>250</v>
      </c>
      <c r="W543" s="3" t="n"/>
      <c r="X543" s="4" t="n"/>
      <c r="Y543" s="5" t="n">
        <v>0.132</v>
      </c>
      <c r="Z543" s="4">
        <f>IF(L543&lt;&gt;"",SQRT(3)*G543*L543/1000,"")</f>
        <v/>
      </c>
      <c r="AA543" t="inlineStr">
        <is>
          <t>Source=Copeland 2D/3D/4D/4R/6D/8D/9R compressors (pdf) p17</t>
        </is>
      </c>
      <c r="AB543" t="inlineStr">
        <is>
          <t>Copeland_RLA_230_460_3ph_60Hz.xlsx</t>
        </is>
      </c>
      <c r="AC543" t="inlineStr">
        <is>
          <t>Recip_2D-9R</t>
        </is>
      </c>
    </row>
    <row r="544">
      <c r="A544" t="inlineStr">
        <is>
          <t>COPELAND</t>
        </is>
      </c>
      <c r="B544" t="inlineStr">
        <is>
          <t>4DH3A2500-TXK</t>
        </is>
      </c>
      <c r="D544" t="inlineStr">
        <is>
          <t>Reciprocating Semi-hermetic</t>
        </is>
      </c>
      <c r="E544" s="2" t="n">
        <v>3</v>
      </c>
      <c r="F544" s="2" t="n">
        <v>60</v>
      </c>
      <c r="G544" s="2" t="n">
        <v>460</v>
      </c>
      <c r="H544" t="inlineStr">
        <is>
          <t>460</t>
        </is>
      </c>
      <c r="I544" s="2" t="n">
        <v>460</v>
      </c>
      <c r="J544" s="2" t="n">
        <v>460</v>
      </c>
      <c r="L544" s="3" t="n"/>
      <c r="M544" s="3" t="n"/>
      <c r="N544" s="3" t="n"/>
      <c r="O544" s="3" t="n"/>
      <c r="P544" s="3">
        <f>IF(L544&lt;&gt;"",L544/1.4,"")</f>
        <v/>
      </c>
      <c r="Q544" s="3">
        <f>IF(L544&lt;&gt;"",L544/1.56,"")</f>
        <v/>
      </c>
      <c r="R544" s="3">
        <f>IF(M544&lt;&gt;"",M544/1.4,"")</f>
        <v/>
      </c>
      <c r="S544" s="3">
        <f>IF(M544&lt;&gt;"",M544/1.56,"")</f>
        <v/>
      </c>
      <c r="T544" s="3">
        <f>IF(N544&lt;&gt;"",N544,IF(O544&lt;&gt;"",O544,IF(L544&lt;&gt;"",L544/1.56,IF(M544&lt;&gt;"",M544/1.56,""))))</f>
        <v/>
      </c>
      <c r="U544" s="3" t="n">
        <v>214</v>
      </c>
      <c r="V544" s="3" t="n"/>
      <c r="W544" s="3" t="n"/>
      <c r="X544" s="4" t="n"/>
      <c r="Y544" s="5" t="n">
        <v>0.528</v>
      </c>
      <c r="Z544" s="4">
        <f>IF(L544&lt;&gt;"",SQRT(3)*G544*L544/1000,"")</f>
        <v/>
      </c>
      <c r="AA544" t="inlineStr">
        <is>
          <t>Source=Copeland 2D/3D/4D/4R/6D/8D/9R compressors (pdf) p17</t>
        </is>
      </c>
      <c r="AB544" t="inlineStr">
        <is>
          <t>Copeland_RLA_230_460_3ph_60Hz.xlsx</t>
        </is>
      </c>
      <c r="AC544" t="inlineStr">
        <is>
          <t>Recip_2D-9R</t>
        </is>
      </c>
    </row>
    <row r="545">
      <c r="A545" t="inlineStr">
        <is>
          <t>COPELAND</t>
        </is>
      </c>
      <c r="B545" t="inlineStr">
        <is>
          <t>4DH3A250E-FSD</t>
        </is>
      </c>
      <c r="D545" t="inlineStr">
        <is>
          <t>Reciprocating Semi-hermetic</t>
        </is>
      </c>
      <c r="E545" s="2" t="n">
        <v>3</v>
      </c>
      <c r="F545" s="2" t="n">
        <v>60</v>
      </c>
      <c r="G545" s="2" t="n">
        <v>460</v>
      </c>
      <c r="H545" t="inlineStr">
        <is>
          <t>460</t>
        </is>
      </c>
      <c r="I545" s="2" t="n">
        <v>460</v>
      </c>
      <c r="J545" s="2" t="n">
        <v>460</v>
      </c>
      <c r="L545" s="3" t="n"/>
      <c r="M545" s="3" t="n"/>
      <c r="N545" s="3" t="n">
        <v>40.6</v>
      </c>
      <c r="O545" s="3" t="n"/>
      <c r="P545" s="3">
        <f>IF(L545&lt;&gt;"",L545/1.4,"")</f>
        <v/>
      </c>
      <c r="Q545" s="3">
        <f>IF(L545&lt;&gt;"",L545/1.56,"")</f>
        <v/>
      </c>
      <c r="R545" s="3">
        <f>IF(M545&lt;&gt;"",M545/1.4,"")</f>
        <v/>
      </c>
      <c r="S545" s="3">
        <f>IF(M545&lt;&gt;"",M545/1.56,"")</f>
        <v/>
      </c>
      <c r="T545" s="3">
        <f>IF(N545&lt;&gt;"",N545,IF(O545&lt;&gt;"",O545,IF(L545&lt;&gt;"",L545/1.56,IF(M545&lt;&gt;"",M545/1.56,""))))</f>
        <v/>
      </c>
      <c r="U545" s="3" t="n">
        <v>206</v>
      </c>
      <c r="V545" s="3" t="n">
        <v>132</v>
      </c>
      <c r="W545" s="3" t="n"/>
      <c r="X545" s="4" t="n"/>
      <c r="Y545" s="5" t="n">
        <v>0.524</v>
      </c>
      <c r="Z545" s="4">
        <f>IF(L545&lt;&gt;"",SQRT(3)*G545*L545/1000,"")</f>
        <v/>
      </c>
      <c r="AA545" t="inlineStr">
        <is>
          <t>Source=Copeland 2D/3D/4D/4R/6D/8D/9R compressors (pdf) p17; PWS_RLA=20.3</t>
        </is>
      </c>
      <c r="AB545" t="inlineStr">
        <is>
          <t>Copeland_RLA_230_460_3ph_60Hz.xlsx</t>
        </is>
      </c>
      <c r="AC545" t="inlineStr">
        <is>
          <t>Recip_2D-9R</t>
        </is>
      </c>
    </row>
    <row r="546">
      <c r="A546" t="inlineStr">
        <is>
          <t>COPELAND</t>
        </is>
      </c>
      <c r="B546" t="inlineStr">
        <is>
          <t>4DH3A250E-TSK</t>
        </is>
      </c>
      <c r="D546" t="inlineStr">
        <is>
          <t>Reciprocating Semi-hermetic</t>
        </is>
      </c>
      <c r="E546" s="2" t="n">
        <v>3</v>
      </c>
      <c r="F546" s="2" t="n">
        <v>60</v>
      </c>
      <c r="G546" s="2" t="n">
        <v>230</v>
      </c>
      <c r="H546" t="inlineStr">
        <is>
          <t>208/230</t>
        </is>
      </c>
      <c r="I546" s="2" t="n">
        <v>208</v>
      </c>
      <c r="J546" s="2" t="n">
        <v>230</v>
      </c>
      <c r="L546" s="3" t="n"/>
      <c r="M546" s="3" t="n"/>
      <c r="N546" s="3" t="n">
        <v>82.09999999999999</v>
      </c>
      <c r="O546" s="3" t="n"/>
      <c r="P546" s="3">
        <f>IF(L546&lt;&gt;"",L546/1.4,"")</f>
        <v/>
      </c>
      <c r="Q546" s="3">
        <f>IF(L546&lt;&gt;"",L546/1.56,"")</f>
        <v/>
      </c>
      <c r="R546" s="3">
        <f>IF(M546&lt;&gt;"",M546/1.4,"")</f>
        <v/>
      </c>
      <c r="S546" s="3">
        <f>IF(M546&lt;&gt;"",M546/1.56,"")</f>
        <v/>
      </c>
      <c r="T546" s="3">
        <f>IF(N546&lt;&gt;"",N546,IF(O546&lt;&gt;"",O546,IF(L546&lt;&gt;"",L546/1.56,IF(M546&lt;&gt;"",M546/1.56,""))))</f>
        <v/>
      </c>
      <c r="U546" s="3" t="n">
        <v>428</v>
      </c>
      <c r="V546" s="3" t="n">
        <v>250</v>
      </c>
      <c r="W546" s="3" t="n"/>
      <c r="X546" s="4" t="n"/>
      <c r="Y546" s="5" t="n">
        <v>0.132</v>
      </c>
      <c r="Z546" s="4">
        <f>IF(L546&lt;&gt;"",SQRT(3)*G546*L546/1000,"")</f>
        <v/>
      </c>
      <c r="AA546" t="inlineStr">
        <is>
          <t>Source=Copeland 2D/3D/4D/4R/6D/8D/9R compressors (pdf) p17; PWS_RLA=41.1</t>
        </is>
      </c>
      <c r="AB546" t="inlineStr">
        <is>
          <t>Copeland_RLA_230_460_3ph_60Hz.xlsx</t>
        </is>
      </c>
      <c r="AC546" t="inlineStr">
        <is>
          <t>Recip_2D-9R</t>
        </is>
      </c>
    </row>
    <row r="547">
      <c r="A547" t="inlineStr">
        <is>
          <t>COPELAND</t>
        </is>
      </c>
      <c r="B547" t="inlineStr">
        <is>
          <t>4DH3A250E-TSK</t>
        </is>
      </c>
      <c r="D547" t="inlineStr">
        <is>
          <t>Reciprocating Semi-hermetic</t>
        </is>
      </c>
      <c r="E547" s="2" t="n">
        <v>3</v>
      </c>
      <c r="F547" s="2" t="n">
        <v>60</v>
      </c>
      <c r="G547" s="2" t="n">
        <v>460</v>
      </c>
      <c r="H547" t="inlineStr">
        <is>
          <t>460</t>
        </is>
      </c>
      <c r="I547" s="2" t="n">
        <v>460</v>
      </c>
      <c r="J547" s="2" t="n">
        <v>460</v>
      </c>
      <c r="L547" s="3" t="n"/>
      <c r="M547" s="3" t="n"/>
      <c r="N547" s="3" t="n">
        <v>52.9</v>
      </c>
      <c r="O547" s="3" t="n"/>
      <c r="P547" s="3">
        <f>IF(L547&lt;&gt;"",L547/1.4,"")</f>
        <v/>
      </c>
      <c r="Q547" s="3">
        <f>IF(L547&lt;&gt;"",L547/1.56,"")</f>
        <v/>
      </c>
      <c r="R547" s="3">
        <f>IF(M547&lt;&gt;"",M547/1.4,"")</f>
        <v/>
      </c>
      <c r="S547" s="3">
        <f>IF(M547&lt;&gt;"",M547/1.56,"")</f>
        <v/>
      </c>
      <c r="T547" s="3">
        <f>IF(N547&lt;&gt;"",N547,IF(O547&lt;&gt;"",O547,IF(L547&lt;&gt;"",L547/1.56,IF(M547&lt;&gt;"",M547/1.56,""))))</f>
        <v/>
      </c>
      <c r="U547" s="3" t="n">
        <v>214</v>
      </c>
      <c r="V547" s="3" t="n"/>
      <c r="W547" s="3" t="n"/>
      <c r="X547" s="4" t="n"/>
      <c r="Y547" s="5" t="n">
        <v>0.528</v>
      </c>
      <c r="Z547" s="4">
        <f>IF(L547&lt;&gt;"",SQRT(3)*G547*L547/1000,"")</f>
        <v/>
      </c>
      <c r="AA547" t="inlineStr">
        <is>
          <t>Source=Copeland 2D/3D/4D/4R/6D/8D/9R compressors (pdf) p17</t>
        </is>
      </c>
      <c r="AB547" t="inlineStr">
        <is>
          <t>Copeland_RLA_230_460_3ph_60Hz.xlsx</t>
        </is>
      </c>
      <c r="AC547" t="inlineStr">
        <is>
          <t>Recip_2D-9R</t>
        </is>
      </c>
    </row>
    <row r="548">
      <c r="A548" t="inlineStr">
        <is>
          <t>COPELAND</t>
        </is>
      </c>
      <c r="B548" t="inlineStr">
        <is>
          <t>4DH3A250L-FSD</t>
        </is>
      </c>
      <c r="D548" t="inlineStr">
        <is>
          <t>Reciprocating Semi-hermetic</t>
        </is>
      </c>
      <c r="E548" s="2" t="n">
        <v>3</v>
      </c>
      <c r="F548" s="2" t="n">
        <v>60</v>
      </c>
      <c r="G548" s="2" t="n">
        <v>460</v>
      </c>
      <c r="H548" t="inlineStr">
        <is>
          <t>460</t>
        </is>
      </c>
      <c r="I548" s="2" t="n">
        <v>460</v>
      </c>
      <c r="J548" s="2" t="n">
        <v>460</v>
      </c>
      <c r="L548" s="3" t="n"/>
      <c r="M548" s="3" t="n"/>
      <c r="N548" s="3" t="n">
        <v>40.6</v>
      </c>
      <c r="O548" s="3" t="n"/>
      <c r="P548" s="3">
        <f>IF(L548&lt;&gt;"",L548/1.4,"")</f>
        <v/>
      </c>
      <c r="Q548" s="3">
        <f>IF(L548&lt;&gt;"",L548/1.56,"")</f>
        <v/>
      </c>
      <c r="R548" s="3">
        <f>IF(M548&lt;&gt;"",M548/1.4,"")</f>
        <v/>
      </c>
      <c r="S548" s="3">
        <f>IF(M548&lt;&gt;"",M548/1.56,"")</f>
        <v/>
      </c>
      <c r="T548" s="3">
        <f>IF(N548&lt;&gt;"",N548,IF(O548&lt;&gt;"",O548,IF(L548&lt;&gt;"",L548/1.56,IF(M548&lt;&gt;"",M548/1.56,""))))</f>
        <v/>
      </c>
      <c r="U548" s="3" t="n">
        <v>206</v>
      </c>
      <c r="V548" s="3" t="n">
        <v>132</v>
      </c>
      <c r="W548" s="3" t="n"/>
      <c r="X548" s="4" t="n"/>
      <c r="Y548" s="5" t="n">
        <v>0.524</v>
      </c>
      <c r="Z548" s="4">
        <f>IF(L548&lt;&gt;"",SQRT(3)*G548*L548/1000,"")</f>
        <v/>
      </c>
      <c r="AA548" t="inlineStr">
        <is>
          <t>Source=Copeland 2D/3D/4D/4R/6D/8D/9R compressors (pdf) p17; PWS_RLA=20.3</t>
        </is>
      </c>
      <c r="AB548" t="inlineStr">
        <is>
          <t>Copeland_RLA_230_460_3ph_60Hz.xlsx</t>
        </is>
      </c>
      <c r="AC548" t="inlineStr">
        <is>
          <t>Recip_2D-9R</t>
        </is>
      </c>
    </row>
    <row r="549">
      <c r="A549" t="inlineStr">
        <is>
          <t>COPELAND</t>
        </is>
      </c>
      <c r="B549" t="inlineStr">
        <is>
          <t>4DH3A250L-TSK</t>
        </is>
      </c>
      <c r="D549" t="inlineStr">
        <is>
          <t>Reciprocating Semi-hermetic</t>
        </is>
      </c>
      <c r="E549" s="2" t="n">
        <v>3</v>
      </c>
      <c r="F549" s="2" t="n">
        <v>60</v>
      </c>
      <c r="G549" s="2" t="n">
        <v>230</v>
      </c>
      <c r="H549" t="inlineStr">
        <is>
          <t>208/230</t>
        </is>
      </c>
      <c r="I549" s="2" t="n">
        <v>208</v>
      </c>
      <c r="J549" s="2" t="n">
        <v>230</v>
      </c>
      <c r="L549" s="3" t="n"/>
      <c r="M549" s="3" t="n"/>
      <c r="N549" s="3" t="n">
        <v>82.09999999999999</v>
      </c>
      <c r="O549" s="3" t="n"/>
      <c r="P549" s="3">
        <f>IF(L549&lt;&gt;"",L549/1.4,"")</f>
        <v/>
      </c>
      <c r="Q549" s="3">
        <f>IF(L549&lt;&gt;"",L549/1.56,"")</f>
        <v/>
      </c>
      <c r="R549" s="3">
        <f>IF(M549&lt;&gt;"",M549/1.4,"")</f>
        <v/>
      </c>
      <c r="S549" s="3">
        <f>IF(M549&lt;&gt;"",M549/1.56,"")</f>
        <v/>
      </c>
      <c r="T549" s="3">
        <f>IF(N549&lt;&gt;"",N549,IF(O549&lt;&gt;"",O549,IF(L549&lt;&gt;"",L549/1.56,IF(M549&lt;&gt;"",M549/1.56,""))))</f>
        <v/>
      </c>
      <c r="U549" s="3" t="n">
        <v>428</v>
      </c>
      <c r="V549" s="3" t="n">
        <v>250</v>
      </c>
      <c r="W549" s="3" t="n"/>
      <c r="X549" s="4" t="n"/>
      <c r="Y549" s="5" t="n">
        <v>0.132</v>
      </c>
      <c r="Z549" s="4">
        <f>IF(L549&lt;&gt;"",SQRT(3)*G549*L549/1000,"")</f>
        <v/>
      </c>
      <c r="AA549" t="inlineStr">
        <is>
          <t>Source=Copeland 2D/3D/4D/4R/6D/8D/9R compressors (pdf) p17; PWS_RLA=41.1</t>
        </is>
      </c>
      <c r="AB549" t="inlineStr">
        <is>
          <t>Copeland_RLA_230_460_3ph_60Hz.xlsx</t>
        </is>
      </c>
      <c r="AC549" t="inlineStr">
        <is>
          <t>Recip_2D-9R</t>
        </is>
      </c>
    </row>
    <row r="550">
      <c r="A550" t="inlineStr">
        <is>
          <t>COPELAND</t>
        </is>
      </c>
      <c r="B550" t="inlineStr">
        <is>
          <t>4DH3A250L-TSK</t>
        </is>
      </c>
      <c r="D550" t="inlineStr">
        <is>
          <t>Reciprocating Semi-hermetic</t>
        </is>
      </c>
      <c r="E550" s="2" t="n">
        <v>3</v>
      </c>
      <c r="F550" s="2" t="n">
        <v>60</v>
      </c>
      <c r="G550" s="2" t="n">
        <v>460</v>
      </c>
      <c r="H550" t="inlineStr">
        <is>
          <t>460</t>
        </is>
      </c>
      <c r="I550" s="2" t="n">
        <v>460</v>
      </c>
      <c r="J550" s="2" t="n">
        <v>460</v>
      </c>
      <c r="L550" s="3" t="n"/>
      <c r="M550" s="3" t="n"/>
      <c r="N550" s="3" t="n">
        <v>52.9</v>
      </c>
      <c r="O550" s="3" t="n"/>
      <c r="P550" s="3">
        <f>IF(L550&lt;&gt;"",L550/1.4,"")</f>
        <v/>
      </c>
      <c r="Q550" s="3">
        <f>IF(L550&lt;&gt;"",L550/1.56,"")</f>
        <v/>
      </c>
      <c r="R550" s="3">
        <f>IF(M550&lt;&gt;"",M550/1.4,"")</f>
        <v/>
      </c>
      <c r="S550" s="3">
        <f>IF(M550&lt;&gt;"",M550/1.56,"")</f>
        <v/>
      </c>
      <c r="T550" s="3">
        <f>IF(N550&lt;&gt;"",N550,IF(O550&lt;&gt;"",O550,IF(L550&lt;&gt;"",L550/1.56,IF(M550&lt;&gt;"",M550/1.56,""))))</f>
        <v/>
      </c>
      <c r="U550" s="3" t="n">
        <v>214</v>
      </c>
      <c r="V550" s="3" t="n"/>
      <c r="W550" s="3" t="n"/>
      <c r="X550" s="4" t="n"/>
      <c r="Y550" s="5" t="n">
        <v>0.528</v>
      </c>
      <c r="Z550" s="4">
        <f>IF(L550&lt;&gt;"",SQRT(3)*G550*L550/1000,"")</f>
        <v/>
      </c>
      <c r="AA550" t="inlineStr">
        <is>
          <t>Source=Copeland 2D/3D/4D/4R/6D/8D/9R compressors (pdf) p17</t>
        </is>
      </c>
      <c r="AB550" t="inlineStr">
        <is>
          <t>Copeland_RLA_230_460_3ph_60Hz.xlsx</t>
        </is>
      </c>
      <c r="AC550" t="inlineStr">
        <is>
          <t>Recip_2D-9R</t>
        </is>
      </c>
    </row>
    <row r="551">
      <c r="A551" t="inlineStr">
        <is>
          <t>COPELAND</t>
        </is>
      </c>
      <c r="B551" t="inlineStr">
        <is>
          <t>4DH3F63KE-FSD</t>
        </is>
      </c>
      <c r="D551" t="inlineStr">
        <is>
          <t>Reciprocating Semi-hermetic</t>
        </is>
      </c>
      <c r="E551" s="2" t="n">
        <v>3</v>
      </c>
      <c r="F551" s="2" t="n">
        <v>60</v>
      </c>
      <c r="G551" s="2" t="n">
        <v>460</v>
      </c>
      <c r="H551" t="inlineStr">
        <is>
          <t>460</t>
        </is>
      </c>
      <c r="I551" s="2" t="n">
        <v>460</v>
      </c>
      <c r="J551" s="2" t="n">
        <v>460</v>
      </c>
      <c r="L551" s="3" t="n"/>
      <c r="M551" s="3" t="n"/>
      <c r="N551" s="3" t="n">
        <v>24.5</v>
      </c>
      <c r="O551" s="3" t="n"/>
      <c r="P551" s="3">
        <f>IF(L551&lt;&gt;"",L551/1.4,"")</f>
        <v/>
      </c>
      <c r="Q551" s="3">
        <f>IF(L551&lt;&gt;"",L551/1.56,"")</f>
        <v/>
      </c>
      <c r="R551" s="3">
        <f>IF(M551&lt;&gt;"",M551/1.4,"")</f>
        <v/>
      </c>
      <c r="S551" s="3">
        <f>IF(M551&lt;&gt;"",M551/1.56,"")</f>
        <v/>
      </c>
      <c r="T551" s="3">
        <f>IF(N551&lt;&gt;"",N551,IF(O551&lt;&gt;"",O551,IF(L551&lt;&gt;"",L551/1.56,IF(M551&lt;&gt;"",M551/1.56,""))))</f>
        <v/>
      </c>
      <c r="U551" s="3" t="n">
        <v>136</v>
      </c>
      <c r="V551" s="3" t="n">
        <v>81.59999999999999</v>
      </c>
      <c r="W551" s="3" t="n"/>
      <c r="X551" s="4" t="n"/>
      <c r="Y551" s="5" t="n">
        <v>0.84</v>
      </c>
      <c r="Z551" s="4">
        <f>IF(L551&lt;&gt;"",SQRT(3)*G551*L551/1000,"")</f>
        <v/>
      </c>
      <c r="AA551" t="inlineStr">
        <is>
          <t>Source=Copeland 2D/3D/4D/4R/6D/8D/9R compressors (pdf) p17; PWS_RLA=12.3</t>
        </is>
      </c>
      <c r="AB551" t="inlineStr">
        <is>
          <t>Copeland_RLA_230_460_3ph_60Hz.xlsx</t>
        </is>
      </c>
      <c r="AC551" t="inlineStr">
        <is>
          <t>Recip_2D-9R</t>
        </is>
      </c>
    </row>
    <row r="552">
      <c r="A552" t="inlineStr">
        <is>
          <t>COPELAND</t>
        </is>
      </c>
      <c r="B552" t="inlineStr">
        <is>
          <t>4DH3F63KE-TSK</t>
        </is>
      </c>
      <c r="D552" t="inlineStr">
        <is>
          <t>Reciprocating Semi-hermetic</t>
        </is>
      </c>
      <c r="E552" s="2" t="n">
        <v>3</v>
      </c>
      <c r="F552" s="2" t="n">
        <v>60</v>
      </c>
      <c r="G552" s="2" t="n">
        <v>230</v>
      </c>
      <c r="H552" t="inlineStr">
        <is>
          <t>208/230</t>
        </is>
      </c>
      <c r="I552" s="2" t="n">
        <v>208</v>
      </c>
      <c r="J552" s="2" t="n">
        <v>230</v>
      </c>
      <c r="L552" s="3" t="n"/>
      <c r="M552" s="3" t="n"/>
      <c r="N552" s="3" t="n">
        <v>52.6</v>
      </c>
      <c r="O552" s="3" t="n"/>
      <c r="P552" s="3">
        <f>IF(L552&lt;&gt;"",L552/1.4,"")</f>
        <v/>
      </c>
      <c r="Q552" s="3">
        <f>IF(L552&lt;&gt;"",L552/1.56,"")</f>
        <v/>
      </c>
      <c r="R552" s="3">
        <f>IF(M552&lt;&gt;"",M552/1.4,"")</f>
        <v/>
      </c>
      <c r="S552" s="3">
        <f>IF(M552&lt;&gt;"",M552/1.56,"")</f>
        <v/>
      </c>
      <c r="T552" s="3">
        <f>IF(N552&lt;&gt;"",N552,IF(O552&lt;&gt;"",O552,IF(L552&lt;&gt;"",L552/1.56,IF(M552&lt;&gt;"",M552/1.56,""))))</f>
        <v/>
      </c>
      <c r="U552" s="3" t="n">
        <v>278</v>
      </c>
      <c r="V552" s="3" t="n">
        <v>170</v>
      </c>
      <c r="W552" s="3" t="n"/>
      <c r="X552" s="4" t="n"/>
      <c r="Y552" s="5" t="n">
        <v>0.208</v>
      </c>
      <c r="Z552" s="4">
        <f>IF(L552&lt;&gt;"",SQRT(3)*G552*L552/1000,"")</f>
        <v/>
      </c>
      <c r="AA552" t="inlineStr">
        <is>
          <t>Source=Copeland 2D/3D/4D/4R/6D/8D/9R compressors (pdf) p18; PWS_RLA=26.3</t>
        </is>
      </c>
      <c r="AB552" t="inlineStr">
        <is>
          <t>Copeland_RLA_230_460_3ph_60Hz.xlsx</t>
        </is>
      </c>
      <c r="AC552" t="inlineStr">
        <is>
          <t>Recip_2D-9R</t>
        </is>
      </c>
    </row>
    <row r="553">
      <c r="A553" t="inlineStr">
        <is>
          <t>COPELAND</t>
        </is>
      </c>
      <c r="B553" t="inlineStr">
        <is>
          <t>4DH3F63KE-TSK</t>
        </is>
      </c>
      <c r="D553" t="inlineStr">
        <is>
          <t>Reciprocating Semi-hermetic</t>
        </is>
      </c>
      <c r="E553" s="2" t="n">
        <v>3</v>
      </c>
      <c r="F553" s="2" t="n">
        <v>60</v>
      </c>
      <c r="G553" s="2" t="n">
        <v>460</v>
      </c>
      <c r="H553" t="inlineStr">
        <is>
          <t>460</t>
        </is>
      </c>
      <c r="I553" s="2" t="n">
        <v>460</v>
      </c>
      <c r="J553" s="2" t="n">
        <v>460</v>
      </c>
      <c r="L553" s="3" t="n"/>
      <c r="M553" s="3" t="n"/>
      <c r="N553" s="3" t="n">
        <v>26.3</v>
      </c>
      <c r="O553" s="3" t="n"/>
      <c r="P553" s="3">
        <f>IF(L553&lt;&gt;"",L553/1.4,"")</f>
        <v/>
      </c>
      <c r="Q553" s="3">
        <f>IF(L553&lt;&gt;"",L553/1.56,"")</f>
        <v/>
      </c>
      <c r="R553" s="3">
        <f>IF(M553&lt;&gt;"",M553/1.4,"")</f>
        <v/>
      </c>
      <c r="S553" s="3">
        <f>IF(M553&lt;&gt;"",M553/1.56,"")</f>
        <v/>
      </c>
      <c r="T553" s="3">
        <f>IF(N553&lt;&gt;"",N553,IF(O553&lt;&gt;"",O553,IF(L553&lt;&gt;"",L553/1.56,IF(M553&lt;&gt;"",M553/1.56,""))))</f>
        <v/>
      </c>
      <c r="U553" s="3" t="n">
        <v>139</v>
      </c>
      <c r="V553" s="3" t="n"/>
      <c r="W553" s="3" t="n"/>
      <c r="X553" s="4" t="n"/>
      <c r="Y553" s="5" t="n">
        <v>0.832</v>
      </c>
      <c r="Z553" s="4">
        <f>IF(L553&lt;&gt;"",SQRT(3)*G553*L553/1000,"")</f>
        <v/>
      </c>
      <c r="AA553" t="inlineStr">
        <is>
          <t>Source=Copeland 2D/3D/4D/4R/6D/8D/9R compressors (pdf) p18</t>
        </is>
      </c>
      <c r="AB553" t="inlineStr">
        <is>
          <t>Copeland_RLA_230_460_3ph_60Hz.xlsx</t>
        </is>
      </c>
      <c r="AC553" t="inlineStr">
        <is>
          <t>Recip_2D-9R</t>
        </is>
      </c>
    </row>
    <row r="554">
      <c r="A554" t="inlineStr">
        <is>
          <t>COPELAND</t>
        </is>
      </c>
      <c r="B554" t="inlineStr">
        <is>
          <t>4DH3F63KL-FSD</t>
        </is>
      </c>
      <c r="D554" t="inlineStr">
        <is>
          <t>Reciprocating Semi-hermetic</t>
        </is>
      </c>
      <c r="E554" s="2" t="n">
        <v>3</v>
      </c>
      <c r="F554" s="2" t="n">
        <v>60</v>
      </c>
      <c r="G554" s="2" t="n">
        <v>460</v>
      </c>
      <c r="H554" t="inlineStr">
        <is>
          <t>460</t>
        </is>
      </c>
      <c r="I554" s="2" t="n">
        <v>460</v>
      </c>
      <c r="J554" s="2" t="n">
        <v>460</v>
      </c>
      <c r="L554" s="3" t="n"/>
      <c r="M554" s="3" t="n"/>
      <c r="N554" s="3" t="n">
        <v>24.5</v>
      </c>
      <c r="O554" s="3" t="n"/>
      <c r="P554" s="3">
        <f>IF(L554&lt;&gt;"",L554/1.4,"")</f>
        <v/>
      </c>
      <c r="Q554" s="3">
        <f>IF(L554&lt;&gt;"",L554/1.56,"")</f>
        <v/>
      </c>
      <c r="R554" s="3">
        <f>IF(M554&lt;&gt;"",M554/1.4,"")</f>
        <v/>
      </c>
      <c r="S554" s="3">
        <f>IF(M554&lt;&gt;"",M554/1.56,"")</f>
        <v/>
      </c>
      <c r="T554" s="3">
        <f>IF(N554&lt;&gt;"",N554,IF(O554&lt;&gt;"",O554,IF(L554&lt;&gt;"",L554/1.56,IF(M554&lt;&gt;"",M554/1.56,""))))</f>
        <v/>
      </c>
      <c r="U554" s="3" t="n">
        <v>136</v>
      </c>
      <c r="V554" s="3" t="n">
        <v>81.59999999999999</v>
      </c>
      <c r="W554" s="3" t="n"/>
      <c r="X554" s="4" t="n"/>
      <c r="Y554" s="5" t="n">
        <v>0.84</v>
      </c>
      <c r="Z554" s="4">
        <f>IF(L554&lt;&gt;"",SQRT(3)*G554*L554/1000,"")</f>
        <v/>
      </c>
      <c r="AA554" t="inlineStr">
        <is>
          <t>Source=Copeland 2D/3D/4D/4R/6D/8D/9R compressors (pdf) p18; PWS_RLA=12.3</t>
        </is>
      </c>
      <c r="AB554" t="inlineStr">
        <is>
          <t>Copeland_RLA_230_460_3ph_60Hz.xlsx</t>
        </is>
      </c>
      <c r="AC554" t="inlineStr">
        <is>
          <t>Recip_2D-9R</t>
        </is>
      </c>
    </row>
    <row r="555">
      <c r="A555" t="inlineStr">
        <is>
          <t>COPELAND</t>
        </is>
      </c>
      <c r="B555" t="inlineStr">
        <is>
          <t>4DH3F63KL-TSK</t>
        </is>
      </c>
      <c r="D555" t="inlineStr">
        <is>
          <t>Reciprocating Semi-hermetic</t>
        </is>
      </c>
      <c r="E555" s="2" t="n">
        <v>3</v>
      </c>
      <c r="F555" s="2" t="n">
        <v>60</v>
      </c>
      <c r="G555" s="2" t="n">
        <v>230</v>
      </c>
      <c r="H555" t="inlineStr">
        <is>
          <t>208/230</t>
        </is>
      </c>
      <c r="I555" s="2" t="n">
        <v>208</v>
      </c>
      <c r="J555" s="2" t="n">
        <v>230</v>
      </c>
      <c r="L555" s="3" t="n"/>
      <c r="M555" s="3" t="n"/>
      <c r="N555" s="3" t="n">
        <v>52.6</v>
      </c>
      <c r="O555" s="3" t="n"/>
      <c r="P555" s="3">
        <f>IF(L555&lt;&gt;"",L555/1.4,"")</f>
        <v/>
      </c>
      <c r="Q555" s="3">
        <f>IF(L555&lt;&gt;"",L555/1.56,"")</f>
        <v/>
      </c>
      <c r="R555" s="3">
        <f>IF(M555&lt;&gt;"",M555/1.4,"")</f>
        <v/>
      </c>
      <c r="S555" s="3">
        <f>IF(M555&lt;&gt;"",M555/1.56,"")</f>
        <v/>
      </c>
      <c r="T555" s="3">
        <f>IF(N555&lt;&gt;"",N555,IF(O555&lt;&gt;"",O555,IF(L555&lt;&gt;"",L555/1.56,IF(M555&lt;&gt;"",M555/1.56,""))))</f>
        <v/>
      </c>
      <c r="U555" s="3" t="n">
        <v>278</v>
      </c>
      <c r="V555" s="3" t="n">
        <v>170</v>
      </c>
      <c r="W555" s="3" t="n"/>
      <c r="X555" s="4" t="n"/>
      <c r="Y555" s="5" t="n">
        <v>0.208</v>
      </c>
      <c r="Z555" s="4">
        <f>IF(L555&lt;&gt;"",SQRT(3)*G555*L555/1000,"")</f>
        <v/>
      </c>
      <c r="AA555" t="inlineStr">
        <is>
          <t>Source=Copeland 2D/3D/4D/4R/6D/8D/9R compressors (pdf) p18; PWS_RLA=26.3</t>
        </is>
      </c>
      <c r="AB555" t="inlineStr">
        <is>
          <t>Copeland_RLA_230_460_3ph_60Hz.xlsx</t>
        </is>
      </c>
      <c r="AC555" t="inlineStr">
        <is>
          <t>Recip_2D-9R</t>
        </is>
      </c>
    </row>
    <row r="556">
      <c r="A556" t="inlineStr">
        <is>
          <t>COPELAND</t>
        </is>
      </c>
      <c r="B556" t="inlineStr">
        <is>
          <t>4DH3F63KL-TSK</t>
        </is>
      </c>
      <c r="D556" t="inlineStr">
        <is>
          <t>Reciprocating Semi-hermetic</t>
        </is>
      </c>
      <c r="E556" s="2" t="n">
        <v>3</v>
      </c>
      <c r="F556" s="2" t="n">
        <v>60</v>
      </c>
      <c r="G556" s="2" t="n">
        <v>460</v>
      </c>
      <c r="H556" t="inlineStr">
        <is>
          <t>460</t>
        </is>
      </c>
      <c r="I556" s="2" t="n">
        <v>460</v>
      </c>
      <c r="J556" s="2" t="n">
        <v>460</v>
      </c>
      <c r="L556" s="3" t="n"/>
      <c r="M556" s="3" t="n"/>
      <c r="N556" s="3" t="n">
        <v>26.3</v>
      </c>
      <c r="O556" s="3" t="n"/>
      <c r="P556" s="3">
        <f>IF(L556&lt;&gt;"",L556/1.4,"")</f>
        <v/>
      </c>
      <c r="Q556" s="3">
        <f>IF(L556&lt;&gt;"",L556/1.56,"")</f>
        <v/>
      </c>
      <c r="R556" s="3">
        <f>IF(M556&lt;&gt;"",M556/1.4,"")</f>
        <v/>
      </c>
      <c r="S556" s="3">
        <f>IF(M556&lt;&gt;"",M556/1.56,"")</f>
        <v/>
      </c>
      <c r="T556" s="3">
        <f>IF(N556&lt;&gt;"",N556,IF(O556&lt;&gt;"",O556,IF(L556&lt;&gt;"",L556/1.56,IF(M556&lt;&gt;"",M556/1.56,""))))</f>
        <v/>
      </c>
      <c r="U556" s="3" t="n">
        <v>139</v>
      </c>
      <c r="V556" s="3" t="n"/>
      <c r="W556" s="3" t="n"/>
      <c r="X556" s="4" t="n"/>
      <c r="Y556" s="5" t="n">
        <v>0.832</v>
      </c>
      <c r="Z556" s="4">
        <f>IF(L556&lt;&gt;"",SQRT(3)*G556*L556/1000,"")</f>
        <v/>
      </c>
      <c r="AA556" t="inlineStr">
        <is>
          <t>Source=Copeland 2D/3D/4D/4R/6D/8D/9R compressors (pdf) p18</t>
        </is>
      </c>
      <c r="AB556" t="inlineStr">
        <is>
          <t>Copeland_RLA_230_460_3ph_60Hz.xlsx</t>
        </is>
      </c>
      <c r="AC556" t="inlineStr">
        <is>
          <t>Recip_2D-9R</t>
        </is>
      </c>
    </row>
    <row r="557">
      <c r="A557" t="inlineStr">
        <is>
          <t>COPELAND</t>
        </is>
      </c>
      <c r="B557" t="inlineStr">
        <is>
          <t>4DH3R16ME-TSK</t>
        </is>
      </c>
      <c r="D557" t="inlineStr">
        <is>
          <t>Reciprocating Semi-hermetic</t>
        </is>
      </c>
      <c r="E557" s="2" t="n">
        <v>3</v>
      </c>
      <c r="F557" s="2" t="n">
        <v>60</v>
      </c>
      <c r="G557" s="2" t="n">
        <v>230</v>
      </c>
      <c r="H557" t="inlineStr">
        <is>
          <t>208/230</t>
        </is>
      </c>
      <c r="I557" s="2" t="n">
        <v>208</v>
      </c>
      <c r="J557" s="2" t="n">
        <v>230</v>
      </c>
      <c r="L557" s="3" t="n"/>
      <c r="M557" s="3" t="n"/>
      <c r="N557" s="3" t="n">
        <v>57.9</v>
      </c>
      <c r="O557" s="3" t="n"/>
      <c r="P557" s="3">
        <f>IF(L557&lt;&gt;"",L557/1.4,"")</f>
        <v/>
      </c>
      <c r="Q557" s="3">
        <f>IF(L557&lt;&gt;"",L557/1.56,"")</f>
        <v/>
      </c>
      <c r="R557" s="3">
        <f>IF(M557&lt;&gt;"",M557/1.4,"")</f>
        <v/>
      </c>
      <c r="S557" s="3">
        <f>IF(M557&lt;&gt;"",M557/1.56,"")</f>
        <v/>
      </c>
      <c r="T557" s="3">
        <f>IF(N557&lt;&gt;"",N557,IF(O557&lt;&gt;"",O557,IF(L557&lt;&gt;"",L557/1.56,IF(M557&lt;&gt;"",M557/1.56,""))))</f>
        <v/>
      </c>
      <c r="U557" s="3" t="n">
        <v>278</v>
      </c>
      <c r="V557" s="3" t="n">
        <v>170</v>
      </c>
      <c r="W557" s="3" t="n"/>
      <c r="X557" s="4" t="n"/>
      <c r="Y557" s="5" t="n">
        <v>0.208</v>
      </c>
      <c r="Z557" s="4">
        <f>IF(L557&lt;&gt;"",SQRT(3)*G557*L557/1000,"")</f>
        <v/>
      </c>
      <c r="AA557" t="inlineStr">
        <is>
          <t>Source=Copeland 2D/3D/4D/4R/6D/8D/9R compressors (pdf) p18; PWS_RLA=29.0</t>
        </is>
      </c>
      <c r="AB557" t="inlineStr">
        <is>
          <t>Copeland_RLA_230_460_3ph_60Hz.xlsx</t>
        </is>
      </c>
      <c r="AC557" t="inlineStr">
        <is>
          <t>Recip_2D-9R</t>
        </is>
      </c>
    </row>
    <row r="558">
      <c r="A558" t="inlineStr">
        <is>
          <t>COPELAND</t>
        </is>
      </c>
      <c r="B558" t="inlineStr">
        <is>
          <t>4DH3R16ME-TSK</t>
        </is>
      </c>
      <c r="D558" t="inlineStr">
        <is>
          <t>Reciprocating Semi-hermetic</t>
        </is>
      </c>
      <c r="E558" s="2" t="n">
        <v>3</v>
      </c>
      <c r="F558" s="2" t="n">
        <v>60</v>
      </c>
      <c r="G558" s="2" t="n">
        <v>460</v>
      </c>
      <c r="H558" t="inlineStr">
        <is>
          <t>460</t>
        </is>
      </c>
      <c r="I558" s="2" t="n">
        <v>460</v>
      </c>
      <c r="J558" s="2" t="n">
        <v>460</v>
      </c>
      <c r="L558" s="3" t="n"/>
      <c r="M558" s="3" t="n"/>
      <c r="N558" s="3" t="n">
        <v>28.9</v>
      </c>
      <c r="O558" s="3" t="n"/>
      <c r="P558" s="3">
        <f>IF(L558&lt;&gt;"",L558/1.4,"")</f>
        <v/>
      </c>
      <c r="Q558" s="3">
        <f>IF(L558&lt;&gt;"",L558/1.56,"")</f>
        <v/>
      </c>
      <c r="R558" s="3">
        <f>IF(M558&lt;&gt;"",M558/1.4,"")</f>
        <v/>
      </c>
      <c r="S558" s="3">
        <f>IF(M558&lt;&gt;"",M558/1.56,"")</f>
        <v/>
      </c>
      <c r="T558" s="3">
        <f>IF(N558&lt;&gt;"",N558,IF(O558&lt;&gt;"",O558,IF(L558&lt;&gt;"",L558/1.56,IF(M558&lt;&gt;"",M558/1.56,""))))</f>
        <v/>
      </c>
      <c r="U558" s="3" t="n">
        <v>139</v>
      </c>
      <c r="V558" s="3" t="n"/>
      <c r="W558" s="3" t="n"/>
      <c r="X558" s="4" t="n"/>
      <c r="Y558" s="5" t="n">
        <v>0.832</v>
      </c>
      <c r="Z558" s="4">
        <f>IF(L558&lt;&gt;"",SQRT(3)*G558*L558/1000,"")</f>
        <v/>
      </c>
      <c r="AA558" t="inlineStr">
        <is>
          <t>Source=Copeland 2D/3D/4D/4R/6D/8D/9R compressors (pdf) p18</t>
        </is>
      </c>
      <c r="AB558" t="inlineStr">
        <is>
          <t>Copeland_RLA_230_460_3ph_60Hz.xlsx</t>
        </is>
      </c>
      <c r="AC558" t="inlineStr">
        <is>
          <t>Recip_2D-9R</t>
        </is>
      </c>
    </row>
    <row r="559">
      <c r="A559" t="inlineStr">
        <is>
          <t>COPELAND</t>
        </is>
      </c>
      <c r="B559" t="inlineStr">
        <is>
          <t>4DH3R16ML-TSK</t>
        </is>
      </c>
      <c r="D559" t="inlineStr">
        <is>
          <t>Reciprocating Semi-hermetic</t>
        </is>
      </c>
      <c r="E559" s="2" t="n">
        <v>3</v>
      </c>
      <c r="F559" s="2" t="n">
        <v>60</v>
      </c>
      <c r="G559" s="2" t="n">
        <v>230</v>
      </c>
      <c r="H559" t="inlineStr">
        <is>
          <t>208/230</t>
        </is>
      </c>
      <c r="I559" s="2" t="n">
        <v>208</v>
      </c>
      <c r="J559" s="2" t="n">
        <v>230</v>
      </c>
      <c r="L559" s="3" t="n"/>
      <c r="M559" s="3" t="n"/>
      <c r="N559" s="3" t="n">
        <v>57.9</v>
      </c>
      <c r="O559" s="3" t="n"/>
      <c r="P559" s="3">
        <f>IF(L559&lt;&gt;"",L559/1.4,"")</f>
        <v/>
      </c>
      <c r="Q559" s="3">
        <f>IF(L559&lt;&gt;"",L559/1.56,"")</f>
        <v/>
      </c>
      <c r="R559" s="3">
        <f>IF(M559&lt;&gt;"",M559/1.4,"")</f>
        <v/>
      </c>
      <c r="S559" s="3">
        <f>IF(M559&lt;&gt;"",M559/1.56,"")</f>
        <v/>
      </c>
      <c r="T559" s="3">
        <f>IF(N559&lt;&gt;"",N559,IF(O559&lt;&gt;"",O559,IF(L559&lt;&gt;"",L559/1.56,IF(M559&lt;&gt;"",M559/1.56,""))))</f>
        <v/>
      </c>
      <c r="U559" s="3" t="n">
        <v>278</v>
      </c>
      <c r="V559" s="3" t="n">
        <v>170</v>
      </c>
      <c r="W559" s="3" t="n"/>
      <c r="X559" s="4" t="n"/>
      <c r="Y559" s="5" t="n">
        <v>0.208</v>
      </c>
      <c r="Z559" s="4">
        <f>IF(L559&lt;&gt;"",SQRT(3)*G559*L559/1000,"")</f>
        <v/>
      </c>
      <c r="AA559" t="inlineStr">
        <is>
          <t>Source=Copeland 2D/3D/4D/4R/6D/8D/9R compressors (pdf) p18; PWS_RLA=29.0</t>
        </is>
      </c>
      <c r="AB559" t="inlineStr">
        <is>
          <t>Copeland_RLA_230_460_3ph_60Hz.xlsx</t>
        </is>
      </c>
      <c r="AC559" t="inlineStr">
        <is>
          <t>Recip_2D-9R</t>
        </is>
      </c>
    </row>
    <row r="560">
      <c r="A560" t="inlineStr">
        <is>
          <t>COPELAND</t>
        </is>
      </c>
      <c r="B560" t="inlineStr">
        <is>
          <t>4DH3R16ML-TSK</t>
        </is>
      </c>
      <c r="D560" t="inlineStr">
        <is>
          <t>Reciprocating Semi-hermetic</t>
        </is>
      </c>
      <c r="E560" s="2" t="n">
        <v>3</v>
      </c>
      <c r="F560" s="2" t="n">
        <v>60</v>
      </c>
      <c r="G560" s="2" t="n">
        <v>460</v>
      </c>
      <c r="H560" t="inlineStr">
        <is>
          <t>460</t>
        </is>
      </c>
      <c r="I560" s="2" t="n">
        <v>460</v>
      </c>
      <c r="J560" s="2" t="n">
        <v>460</v>
      </c>
      <c r="L560" s="3" t="n"/>
      <c r="M560" s="3" t="n"/>
      <c r="N560" s="3" t="n">
        <v>28.9</v>
      </c>
      <c r="O560" s="3" t="n"/>
      <c r="P560" s="3">
        <f>IF(L560&lt;&gt;"",L560/1.4,"")</f>
        <v/>
      </c>
      <c r="Q560" s="3">
        <f>IF(L560&lt;&gt;"",L560/1.56,"")</f>
        <v/>
      </c>
      <c r="R560" s="3">
        <f>IF(M560&lt;&gt;"",M560/1.4,"")</f>
        <v/>
      </c>
      <c r="S560" s="3">
        <f>IF(M560&lt;&gt;"",M560/1.56,"")</f>
        <v/>
      </c>
      <c r="T560" s="3">
        <f>IF(N560&lt;&gt;"",N560,IF(O560&lt;&gt;"",O560,IF(L560&lt;&gt;"",L560/1.56,IF(M560&lt;&gt;"",M560/1.56,""))))</f>
        <v/>
      </c>
      <c r="U560" s="3" t="n">
        <v>139</v>
      </c>
      <c r="V560" s="3" t="n"/>
      <c r="W560" s="3" t="n"/>
      <c r="X560" s="4" t="n"/>
      <c r="Y560" s="5" t="n">
        <v>0.832</v>
      </c>
      <c r="Z560" s="4">
        <f>IF(L560&lt;&gt;"",SQRT(3)*G560*L560/1000,"")</f>
        <v/>
      </c>
      <c r="AA560" t="inlineStr">
        <is>
          <t>Source=Copeland 2D/3D/4D/4R/6D/8D/9R compressors (pdf) p18</t>
        </is>
      </c>
      <c r="AB560" t="inlineStr">
        <is>
          <t>Copeland_RLA_230_460_3ph_60Hz.xlsx</t>
        </is>
      </c>
      <c r="AC560" t="inlineStr">
        <is>
          <t>Recip_2D-9R</t>
        </is>
      </c>
    </row>
    <row r="561">
      <c r="A561" t="inlineStr">
        <is>
          <t>COPELAND</t>
        </is>
      </c>
      <c r="B561" t="inlineStr">
        <is>
          <t>4DH3R22M0-FSD</t>
        </is>
      </c>
      <c r="D561" t="inlineStr">
        <is>
          <t>Reciprocating Semi-hermetic</t>
        </is>
      </c>
      <c r="E561" s="2" t="n">
        <v>3</v>
      </c>
      <c r="F561" s="2" t="n">
        <v>60</v>
      </c>
      <c r="G561" s="2" t="n">
        <v>460</v>
      </c>
      <c r="H561" t="inlineStr">
        <is>
          <t>460</t>
        </is>
      </c>
      <c r="I561" s="2" t="n">
        <v>460</v>
      </c>
      <c r="J561" s="2" t="n">
        <v>460</v>
      </c>
      <c r="L561" s="3" t="n"/>
      <c r="M561" s="3" t="n"/>
      <c r="N561" s="3" t="n">
        <v>40.6</v>
      </c>
      <c r="O561" s="3" t="n"/>
      <c r="P561" s="3">
        <f>IF(L561&lt;&gt;"",L561/1.4,"")</f>
        <v/>
      </c>
      <c r="Q561" s="3">
        <f>IF(L561&lt;&gt;"",L561/1.56,"")</f>
        <v/>
      </c>
      <c r="R561" s="3">
        <f>IF(M561&lt;&gt;"",M561/1.4,"")</f>
        <v/>
      </c>
      <c r="S561" s="3">
        <f>IF(M561&lt;&gt;"",M561/1.56,"")</f>
        <v/>
      </c>
      <c r="T561" s="3">
        <f>IF(N561&lt;&gt;"",N561,IF(O561&lt;&gt;"",O561,IF(L561&lt;&gt;"",L561/1.56,IF(M561&lt;&gt;"",M561/1.56,""))))</f>
        <v/>
      </c>
      <c r="U561" s="3" t="n">
        <v>206</v>
      </c>
      <c r="V561" s="3" t="n">
        <v>132</v>
      </c>
      <c r="W561" s="3" t="n"/>
      <c r="X561" s="4" t="n"/>
      <c r="Y561" s="5" t="n">
        <v>0.524</v>
      </c>
      <c r="Z561" s="4">
        <f>IF(L561&lt;&gt;"",SQRT(3)*G561*L561/1000,"")</f>
        <v/>
      </c>
      <c r="AA561" t="inlineStr">
        <is>
          <t>Source=Copeland 2D/3D/4D/4R/6D/8D/9R compressors (pdf) p18; PWS_RLA=20.3</t>
        </is>
      </c>
      <c r="AB561" t="inlineStr">
        <is>
          <t>Copeland_RLA_230_460_3ph_60Hz.xlsx</t>
        </is>
      </c>
      <c r="AC561" t="inlineStr">
        <is>
          <t>Recip_2D-9R</t>
        </is>
      </c>
    </row>
    <row r="562">
      <c r="A562" t="inlineStr">
        <is>
          <t>COPELAND</t>
        </is>
      </c>
      <c r="B562" t="inlineStr">
        <is>
          <t>4DH3R22M0-TSK</t>
        </is>
      </c>
      <c r="D562" t="inlineStr">
        <is>
          <t>Reciprocating Semi-hermetic</t>
        </is>
      </c>
      <c r="E562" s="2" t="n">
        <v>3</v>
      </c>
      <c r="F562" s="2" t="n">
        <v>60</v>
      </c>
      <c r="G562" s="2" t="n">
        <v>230</v>
      </c>
      <c r="H562" t="inlineStr">
        <is>
          <t>208/230</t>
        </is>
      </c>
      <c r="I562" s="2" t="n">
        <v>208</v>
      </c>
      <c r="J562" s="2" t="n">
        <v>230</v>
      </c>
      <c r="L562" s="3" t="n"/>
      <c r="M562" s="3" t="n"/>
      <c r="N562" s="3" t="n">
        <v>82.09999999999999</v>
      </c>
      <c r="O562" s="3" t="n"/>
      <c r="P562" s="3">
        <f>IF(L562&lt;&gt;"",L562/1.4,"")</f>
        <v/>
      </c>
      <c r="Q562" s="3">
        <f>IF(L562&lt;&gt;"",L562/1.56,"")</f>
        <v/>
      </c>
      <c r="R562" s="3">
        <f>IF(M562&lt;&gt;"",M562/1.4,"")</f>
        <v/>
      </c>
      <c r="S562" s="3">
        <f>IF(M562&lt;&gt;"",M562/1.56,"")</f>
        <v/>
      </c>
      <c r="T562" s="3">
        <f>IF(N562&lt;&gt;"",N562,IF(O562&lt;&gt;"",O562,IF(L562&lt;&gt;"",L562/1.56,IF(M562&lt;&gt;"",M562/1.56,""))))</f>
        <v/>
      </c>
      <c r="U562" s="3" t="n">
        <v>428</v>
      </c>
      <c r="V562" s="3" t="n">
        <v>250</v>
      </c>
      <c r="W562" s="3" t="n"/>
      <c r="X562" s="4" t="n"/>
      <c r="Y562" s="5" t="n">
        <v>0.132</v>
      </c>
      <c r="Z562" s="4">
        <f>IF(L562&lt;&gt;"",SQRT(3)*G562*L562/1000,"")</f>
        <v/>
      </c>
      <c r="AA562" t="inlineStr">
        <is>
          <t>Source=Copeland 2D/3D/4D/4R/6D/8D/9R compressors (pdf) p18; PWS_RLA=41.1</t>
        </is>
      </c>
      <c r="AB562" t="inlineStr">
        <is>
          <t>Copeland_RLA_230_460_3ph_60Hz.xlsx</t>
        </is>
      </c>
      <c r="AC562" t="inlineStr">
        <is>
          <t>Recip_2D-9R</t>
        </is>
      </c>
    </row>
    <row r="563">
      <c r="A563" t="inlineStr">
        <is>
          <t>COPELAND</t>
        </is>
      </c>
      <c r="B563" t="inlineStr">
        <is>
          <t>4DH3R22M0-TSK</t>
        </is>
      </c>
      <c r="D563" t="inlineStr">
        <is>
          <t>Reciprocating Semi-hermetic</t>
        </is>
      </c>
      <c r="E563" s="2" t="n">
        <v>3</v>
      </c>
      <c r="F563" s="2" t="n">
        <v>60</v>
      </c>
      <c r="G563" s="2" t="n">
        <v>460</v>
      </c>
      <c r="H563" t="inlineStr">
        <is>
          <t>460</t>
        </is>
      </c>
      <c r="I563" s="2" t="n">
        <v>460</v>
      </c>
      <c r="J563" s="2" t="n">
        <v>460</v>
      </c>
      <c r="L563" s="3" t="n"/>
      <c r="M563" s="3" t="n"/>
      <c r="N563" s="3" t="n">
        <v>41.1</v>
      </c>
      <c r="O563" s="3" t="n"/>
      <c r="P563" s="3">
        <f>IF(L563&lt;&gt;"",L563/1.4,"")</f>
        <v/>
      </c>
      <c r="Q563" s="3">
        <f>IF(L563&lt;&gt;"",L563/1.56,"")</f>
        <v/>
      </c>
      <c r="R563" s="3">
        <f>IF(M563&lt;&gt;"",M563/1.4,"")</f>
        <v/>
      </c>
      <c r="S563" s="3">
        <f>IF(M563&lt;&gt;"",M563/1.56,"")</f>
        <v/>
      </c>
      <c r="T563" s="3">
        <f>IF(N563&lt;&gt;"",N563,IF(O563&lt;&gt;"",O563,IF(L563&lt;&gt;"",L563/1.56,IF(M563&lt;&gt;"",M563/1.56,""))))</f>
        <v/>
      </c>
      <c r="U563" s="3" t="n">
        <v>214</v>
      </c>
      <c r="V563" s="3" t="n"/>
      <c r="W563" s="3" t="n"/>
      <c r="X563" s="4" t="n"/>
      <c r="Y563" s="5" t="n">
        <v>0.528</v>
      </c>
      <c r="Z563" s="4">
        <f>IF(L563&lt;&gt;"",SQRT(3)*G563*L563/1000,"")</f>
        <v/>
      </c>
      <c r="AA563" t="inlineStr">
        <is>
          <t>Source=Copeland 2D/3D/4D/4R/6D/8D/9R compressors (pdf) p18</t>
        </is>
      </c>
      <c r="AB563" t="inlineStr">
        <is>
          <t>Copeland_RLA_230_460_3ph_60Hz.xlsx</t>
        </is>
      </c>
      <c r="AC563" t="inlineStr">
        <is>
          <t>Recip_2D-9R</t>
        </is>
      </c>
    </row>
    <row r="564">
      <c r="A564" t="inlineStr">
        <is>
          <t>COPELAND</t>
        </is>
      </c>
      <c r="B564" t="inlineStr">
        <is>
          <t>4DH3R22ME-FSD</t>
        </is>
      </c>
      <c r="D564" t="inlineStr">
        <is>
          <t>Reciprocating Semi-hermetic</t>
        </is>
      </c>
      <c r="E564" s="2" t="n">
        <v>3</v>
      </c>
      <c r="F564" s="2" t="n">
        <v>60</v>
      </c>
      <c r="G564" s="2" t="n">
        <v>460</v>
      </c>
      <c r="H564" t="inlineStr">
        <is>
          <t>460</t>
        </is>
      </c>
      <c r="I564" s="2" t="n">
        <v>460</v>
      </c>
      <c r="J564" s="2" t="n">
        <v>460</v>
      </c>
      <c r="L564" s="3" t="n"/>
      <c r="M564" s="3" t="n"/>
      <c r="N564" s="3" t="n">
        <v>40.6</v>
      </c>
      <c r="O564" s="3" t="n"/>
      <c r="P564" s="3">
        <f>IF(L564&lt;&gt;"",L564/1.4,"")</f>
        <v/>
      </c>
      <c r="Q564" s="3">
        <f>IF(L564&lt;&gt;"",L564/1.56,"")</f>
        <v/>
      </c>
      <c r="R564" s="3">
        <f>IF(M564&lt;&gt;"",M564/1.4,"")</f>
        <v/>
      </c>
      <c r="S564" s="3">
        <f>IF(M564&lt;&gt;"",M564/1.56,"")</f>
        <v/>
      </c>
      <c r="T564" s="3">
        <f>IF(N564&lt;&gt;"",N564,IF(O564&lt;&gt;"",O564,IF(L564&lt;&gt;"",L564/1.56,IF(M564&lt;&gt;"",M564/1.56,""))))</f>
        <v/>
      </c>
      <c r="U564" s="3" t="n">
        <v>206</v>
      </c>
      <c r="V564" s="3" t="n">
        <v>132</v>
      </c>
      <c r="W564" s="3" t="n"/>
      <c r="X564" s="4" t="n"/>
      <c r="Y564" s="5" t="n">
        <v>0.524</v>
      </c>
      <c r="Z564" s="4">
        <f>IF(L564&lt;&gt;"",SQRT(3)*G564*L564/1000,"")</f>
        <v/>
      </c>
      <c r="AA564" t="inlineStr">
        <is>
          <t>Source=Copeland 2D/3D/4D/4R/6D/8D/9R compressors (pdf) p18; PWS_RLA=20.3</t>
        </is>
      </c>
      <c r="AB564" t="inlineStr">
        <is>
          <t>Copeland_RLA_230_460_3ph_60Hz.xlsx</t>
        </is>
      </c>
      <c r="AC564" t="inlineStr">
        <is>
          <t>Recip_2D-9R</t>
        </is>
      </c>
    </row>
    <row r="565">
      <c r="A565" t="inlineStr">
        <is>
          <t>COPELAND</t>
        </is>
      </c>
      <c r="B565" t="inlineStr">
        <is>
          <t>4DH3R22ME-FSD</t>
        </is>
      </c>
      <c r="D565" t="inlineStr">
        <is>
          <t>Reciprocating Semi-hermetic</t>
        </is>
      </c>
      <c r="E565" s="2" t="n">
        <v>3</v>
      </c>
      <c r="F565" s="2" t="n">
        <v>60</v>
      </c>
      <c r="G565" s="2" t="n">
        <v>460</v>
      </c>
      <c r="H565" t="inlineStr">
        <is>
          <t>460</t>
        </is>
      </c>
      <c r="I565" s="2" t="n">
        <v>460</v>
      </c>
      <c r="J565" s="2" t="n">
        <v>460</v>
      </c>
      <c r="L565" s="3" t="n"/>
      <c r="M565" s="3" t="n"/>
      <c r="N565" s="3" t="n">
        <v>51.4</v>
      </c>
      <c r="O565" s="3" t="n"/>
      <c r="P565" s="3">
        <f>IF(L565&lt;&gt;"",L565/1.4,"")</f>
        <v/>
      </c>
      <c r="Q565" s="3">
        <f>IF(L565&lt;&gt;"",L565/1.56,"")</f>
        <v/>
      </c>
      <c r="R565" s="3">
        <f>IF(M565&lt;&gt;"",M565/1.4,"")</f>
        <v/>
      </c>
      <c r="S565" s="3">
        <f>IF(M565&lt;&gt;"",M565/1.56,"")</f>
        <v/>
      </c>
      <c r="T565" s="3">
        <f>IF(N565&lt;&gt;"",N565,IF(O565&lt;&gt;"",O565,IF(L565&lt;&gt;"",L565/1.56,IF(M565&lt;&gt;"",M565/1.56,""))))</f>
        <v/>
      </c>
      <c r="U565" s="3" t="n">
        <v>206</v>
      </c>
      <c r="V565" s="3" t="n">
        <v>132</v>
      </c>
      <c r="W565" s="3" t="n"/>
      <c r="X565" s="4" t="n"/>
      <c r="Y565" s="5" t="n">
        <v>0.524</v>
      </c>
      <c r="Z565" s="4">
        <f>IF(L565&lt;&gt;"",SQRT(3)*G565*L565/1000,"")</f>
        <v/>
      </c>
      <c r="AA565" t="inlineStr">
        <is>
          <t>Source=Copeland 2D/3D/4D/4R/6D/8D/9R compressors (pdf) p18; PWS_RLA=25.7</t>
        </is>
      </c>
      <c r="AB565" t="inlineStr">
        <is>
          <t>Copeland_RLA_230_460_3ph_60Hz.xlsx</t>
        </is>
      </c>
      <c r="AC565" t="inlineStr">
        <is>
          <t>Recip_2D-9R</t>
        </is>
      </c>
    </row>
    <row r="566">
      <c r="A566" t="inlineStr">
        <is>
          <t>COPELAND</t>
        </is>
      </c>
      <c r="B566" t="inlineStr">
        <is>
          <t>4DH3R22ME-TSK</t>
        </is>
      </c>
      <c r="D566" t="inlineStr">
        <is>
          <t>Reciprocating Semi-hermetic</t>
        </is>
      </c>
      <c r="E566" s="2" t="n">
        <v>3</v>
      </c>
      <c r="F566" s="2" t="n">
        <v>60</v>
      </c>
      <c r="G566" s="2" t="n">
        <v>230</v>
      </c>
      <c r="H566" t="inlineStr">
        <is>
          <t>208/230</t>
        </is>
      </c>
      <c r="I566" s="2" t="n">
        <v>208</v>
      </c>
      <c r="J566" s="2" t="n">
        <v>230</v>
      </c>
      <c r="L566" s="3" t="n"/>
      <c r="M566" s="3" t="n"/>
      <c r="N566" s="3" t="n">
        <v>82.09999999999999</v>
      </c>
      <c r="O566" s="3" t="n"/>
      <c r="P566" s="3">
        <f>IF(L566&lt;&gt;"",L566/1.4,"")</f>
        <v/>
      </c>
      <c r="Q566" s="3">
        <f>IF(L566&lt;&gt;"",L566/1.56,"")</f>
        <v/>
      </c>
      <c r="R566" s="3">
        <f>IF(M566&lt;&gt;"",M566/1.4,"")</f>
        <v/>
      </c>
      <c r="S566" s="3">
        <f>IF(M566&lt;&gt;"",M566/1.56,"")</f>
        <v/>
      </c>
      <c r="T566" s="3">
        <f>IF(N566&lt;&gt;"",N566,IF(O566&lt;&gt;"",O566,IF(L566&lt;&gt;"",L566/1.56,IF(M566&lt;&gt;"",M566/1.56,""))))</f>
        <v/>
      </c>
      <c r="U566" s="3" t="n">
        <v>428</v>
      </c>
      <c r="V566" s="3" t="n">
        <v>250</v>
      </c>
      <c r="W566" s="3" t="n"/>
      <c r="X566" s="4" t="n"/>
      <c r="Y566" s="5" t="n">
        <v>0.132</v>
      </c>
      <c r="Z566" s="4">
        <f>IF(L566&lt;&gt;"",SQRT(3)*G566*L566/1000,"")</f>
        <v/>
      </c>
      <c r="AA566" t="inlineStr">
        <is>
          <t>Source=Copeland 2D/3D/4D/4R/6D/8D/9R compressors (pdf) p18; PWS_RLA=53.6</t>
        </is>
      </c>
      <c r="AB566" t="inlineStr">
        <is>
          <t>Copeland_RLA_230_460_3ph_60Hz.xlsx</t>
        </is>
      </c>
      <c r="AC566" t="inlineStr">
        <is>
          <t>Recip_2D-9R</t>
        </is>
      </c>
    </row>
    <row r="567">
      <c r="A567" t="inlineStr">
        <is>
          <t>COPELAND</t>
        </is>
      </c>
      <c r="B567" t="inlineStr">
        <is>
          <t>4DH3R22ME-TSK</t>
        </is>
      </c>
      <c r="D567" t="inlineStr">
        <is>
          <t>Reciprocating Semi-hermetic</t>
        </is>
      </c>
      <c r="E567" s="2" t="n">
        <v>3</v>
      </c>
      <c r="F567" s="2" t="n">
        <v>60</v>
      </c>
      <c r="G567" s="2" t="n">
        <v>460</v>
      </c>
      <c r="H567" t="inlineStr">
        <is>
          <t>460</t>
        </is>
      </c>
      <c r="I567" s="2" t="n">
        <v>460</v>
      </c>
      <c r="J567" s="2" t="n">
        <v>460</v>
      </c>
      <c r="L567" s="3" t="n"/>
      <c r="M567" s="3" t="n"/>
      <c r="N567" s="3" t="n">
        <v>53.6</v>
      </c>
      <c r="O567" s="3" t="n"/>
      <c r="P567" s="3">
        <f>IF(L567&lt;&gt;"",L567/1.4,"")</f>
        <v/>
      </c>
      <c r="Q567" s="3">
        <f>IF(L567&lt;&gt;"",L567/1.56,"")</f>
        <v/>
      </c>
      <c r="R567" s="3">
        <f>IF(M567&lt;&gt;"",M567/1.4,"")</f>
        <v/>
      </c>
      <c r="S567" s="3">
        <f>IF(M567&lt;&gt;"",M567/1.56,"")</f>
        <v/>
      </c>
      <c r="T567" s="3">
        <f>IF(N567&lt;&gt;"",N567,IF(O567&lt;&gt;"",O567,IF(L567&lt;&gt;"",L567/1.56,IF(M567&lt;&gt;"",M567/1.56,""))))</f>
        <v/>
      </c>
      <c r="U567" s="3" t="n">
        <v>214</v>
      </c>
      <c r="V567" s="3" t="n"/>
      <c r="W567" s="3" t="n"/>
      <c r="X567" s="4" t="n"/>
      <c r="Y567" s="5" t="n">
        <v>0.528</v>
      </c>
      <c r="Z567" s="4">
        <f>IF(L567&lt;&gt;"",SQRT(3)*G567*L567/1000,"")</f>
        <v/>
      </c>
      <c r="AA567" t="inlineStr">
        <is>
          <t>Source=Copeland 2D/3D/4D/4R/6D/8D/9R compressors (pdf) p18</t>
        </is>
      </c>
      <c r="AB567" t="inlineStr">
        <is>
          <t>Copeland_RLA_230_460_3ph_60Hz.xlsx</t>
        </is>
      </c>
      <c r="AC567" t="inlineStr">
        <is>
          <t>Recip_2D-9R</t>
        </is>
      </c>
    </row>
    <row r="568">
      <c r="A568" t="inlineStr">
        <is>
          <t>COPELAND</t>
        </is>
      </c>
      <c r="B568" t="inlineStr">
        <is>
          <t>4DH3R22ML-FSD</t>
        </is>
      </c>
      <c r="D568" t="inlineStr">
        <is>
          <t>Reciprocating Semi-hermetic</t>
        </is>
      </c>
      <c r="E568" s="2" t="n">
        <v>3</v>
      </c>
      <c r="F568" s="2" t="n">
        <v>60</v>
      </c>
      <c r="G568" s="2" t="n">
        <v>460</v>
      </c>
      <c r="H568" t="inlineStr">
        <is>
          <t>460</t>
        </is>
      </c>
      <c r="I568" s="2" t="n">
        <v>460</v>
      </c>
      <c r="J568" s="2" t="n">
        <v>460</v>
      </c>
      <c r="L568" s="3" t="n"/>
      <c r="M568" s="3" t="n"/>
      <c r="N568" s="3" t="n">
        <v>40.6</v>
      </c>
      <c r="O568" s="3" t="n"/>
      <c r="P568" s="3">
        <f>IF(L568&lt;&gt;"",L568/1.4,"")</f>
        <v/>
      </c>
      <c r="Q568" s="3">
        <f>IF(L568&lt;&gt;"",L568/1.56,"")</f>
        <v/>
      </c>
      <c r="R568" s="3">
        <f>IF(M568&lt;&gt;"",M568/1.4,"")</f>
        <v/>
      </c>
      <c r="S568" s="3">
        <f>IF(M568&lt;&gt;"",M568/1.56,"")</f>
        <v/>
      </c>
      <c r="T568" s="3">
        <f>IF(N568&lt;&gt;"",N568,IF(O568&lt;&gt;"",O568,IF(L568&lt;&gt;"",L568/1.56,IF(M568&lt;&gt;"",M568/1.56,""))))</f>
        <v/>
      </c>
      <c r="U568" s="3" t="n">
        <v>206</v>
      </c>
      <c r="V568" s="3" t="n">
        <v>132</v>
      </c>
      <c r="W568" s="3" t="n"/>
      <c r="X568" s="4" t="n"/>
      <c r="Y568" s="5" t="n">
        <v>0.524</v>
      </c>
      <c r="Z568" s="4">
        <f>IF(L568&lt;&gt;"",SQRT(3)*G568*L568/1000,"")</f>
        <v/>
      </c>
      <c r="AA568" t="inlineStr">
        <is>
          <t>Source=Copeland 2D/3D/4D/4R/6D/8D/9R compressors (pdf) p19; PWS_RLA=20.3</t>
        </is>
      </c>
      <c r="AB568" t="inlineStr">
        <is>
          <t>Copeland_RLA_230_460_3ph_60Hz.xlsx</t>
        </is>
      </c>
      <c r="AC568" t="inlineStr">
        <is>
          <t>Recip_2D-9R</t>
        </is>
      </c>
    </row>
    <row r="569">
      <c r="A569" t="inlineStr">
        <is>
          <t>COPELAND</t>
        </is>
      </c>
      <c r="B569" t="inlineStr">
        <is>
          <t>4DH3R22ML-FSD</t>
        </is>
      </c>
      <c r="D569" t="inlineStr">
        <is>
          <t>Reciprocating Semi-hermetic</t>
        </is>
      </c>
      <c r="E569" s="2" t="n">
        <v>3</v>
      </c>
      <c r="F569" s="2" t="n">
        <v>60</v>
      </c>
      <c r="G569" s="2" t="n">
        <v>460</v>
      </c>
      <c r="H569" t="inlineStr">
        <is>
          <t>460</t>
        </is>
      </c>
      <c r="I569" s="2" t="n">
        <v>460</v>
      </c>
      <c r="J569" s="2" t="n">
        <v>460</v>
      </c>
      <c r="L569" s="3" t="n"/>
      <c r="M569" s="3" t="n"/>
      <c r="N569" s="3" t="n">
        <v>51.4</v>
      </c>
      <c r="O569" s="3" t="n"/>
      <c r="P569" s="3">
        <f>IF(L569&lt;&gt;"",L569/1.4,"")</f>
        <v/>
      </c>
      <c r="Q569" s="3">
        <f>IF(L569&lt;&gt;"",L569/1.56,"")</f>
        <v/>
      </c>
      <c r="R569" s="3">
        <f>IF(M569&lt;&gt;"",M569/1.4,"")</f>
        <v/>
      </c>
      <c r="S569" s="3">
        <f>IF(M569&lt;&gt;"",M569/1.56,"")</f>
        <v/>
      </c>
      <c r="T569" s="3">
        <f>IF(N569&lt;&gt;"",N569,IF(O569&lt;&gt;"",O569,IF(L569&lt;&gt;"",L569/1.56,IF(M569&lt;&gt;"",M569/1.56,""))))</f>
        <v/>
      </c>
      <c r="U569" s="3" t="n">
        <v>206</v>
      </c>
      <c r="V569" s="3" t="n">
        <v>132</v>
      </c>
      <c r="W569" s="3" t="n"/>
      <c r="X569" s="4" t="n"/>
      <c r="Y569" s="5" t="n">
        <v>0.524</v>
      </c>
      <c r="Z569" s="4">
        <f>IF(L569&lt;&gt;"",SQRT(3)*G569*L569/1000,"")</f>
        <v/>
      </c>
      <c r="AA569" t="inlineStr">
        <is>
          <t>Source=Copeland 2D/3D/4D/4R/6D/8D/9R compressors (pdf) p19; PWS_RLA=25.7</t>
        </is>
      </c>
      <c r="AB569" t="inlineStr">
        <is>
          <t>Copeland_RLA_230_460_3ph_60Hz.xlsx</t>
        </is>
      </c>
      <c r="AC569" t="inlineStr">
        <is>
          <t>Recip_2D-9R</t>
        </is>
      </c>
    </row>
    <row r="570">
      <c r="A570" t="inlineStr">
        <is>
          <t>COPELAND</t>
        </is>
      </c>
      <c r="B570" t="inlineStr">
        <is>
          <t>4DH3R22ML-TSK</t>
        </is>
      </c>
      <c r="D570" t="inlineStr">
        <is>
          <t>Reciprocating Semi-hermetic</t>
        </is>
      </c>
      <c r="E570" s="2" t="n">
        <v>3</v>
      </c>
      <c r="F570" s="2" t="n">
        <v>60</v>
      </c>
      <c r="G570" s="2" t="n">
        <v>230</v>
      </c>
      <c r="H570" t="inlineStr">
        <is>
          <t>208/230</t>
        </is>
      </c>
      <c r="I570" s="2" t="n">
        <v>208</v>
      </c>
      <c r="J570" s="2" t="n">
        <v>230</v>
      </c>
      <c r="L570" s="3" t="n"/>
      <c r="M570" s="3" t="n"/>
      <c r="N570" s="3" t="n">
        <v>82.09999999999999</v>
      </c>
      <c r="O570" s="3" t="n"/>
      <c r="P570" s="3">
        <f>IF(L570&lt;&gt;"",L570/1.4,"")</f>
        <v/>
      </c>
      <c r="Q570" s="3">
        <f>IF(L570&lt;&gt;"",L570/1.56,"")</f>
        <v/>
      </c>
      <c r="R570" s="3">
        <f>IF(M570&lt;&gt;"",M570/1.4,"")</f>
        <v/>
      </c>
      <c r="S570" s="3">
        <f>IF(M570&lt;&gt;"",M570/1.56,"")</f>
        <v/>
      </c>
      <c r="T570" s="3">
        <f>IF(N570&lt;&gt;"",N570,IF(O570&lt;&gt;"",O570,IF(L570&lt;&gt;"",L570/1.56,IF(M570&lt;&gt;"",M570/1.56,""))))</f>
        <v/>
      </c>
      <c r="U570" s="3" t="n">
        <v>428</v>
      </c>
      <c r="V570" s="3" t="n">
        <v>250</v>
      </c>
      <c r="W570" s="3" t="n"/>
      <c r="X570" s="4" t="n"/>
      <c r="Y570" s="5" t="n">
        <v>0.132</v>
      </c>
      <c r="Z570" s="4">
        <f>IF(L570&lt;&gt;"",SQRT(3)*G570*L570/1000,"")</f>
        <v/>
      </c>
      <c r="AA570" t="inlineStr">
        <is>
          <t>Source=Copeland 2D/3D/4D/4R/6D/8D/9R compressors (pdf) p19; PWS_RLA=53.6</t>
        </is>
      </c>
      <c r="AB570" t="inlineStr">
        <is>
          <t>Copeland_RLA_230_460_3ph_60Hz.xlsx</t>
        </is>
      </c>
      <c r="AC570" t="inlineStr">
        <is>
          <t>Recip_2D-9R</t>
        </is>
      </c>
    </row>
    <row r="571">
      <c r="A571" t="inlineStr">
        <is>
          <t>COPELAND</t>
        </is>
      </c>
      <c r="B571" t="inlineStr">
        <is>
          <t>4DH3R22ML-TSK</t>
        </is>
      </c>
      <c r="D571" t="inlineStr">
        <is>
          <t>Reciprocating Semi-hermetic</t>
        </is>
      </c>
      <c r="E571" s="2" t="n">
        <v>3</v>
      </c>
      <c r="F571" s="2" t="n">
        <v>60</v>
      </c>
      <c r="G571" s="2" t="n">
        <v>460</v>
      </c>
      <c r="H571" t="inlineStr">
        <is>
          <t>460</t>
        </is>
      </c>
      <c r="I571" s="2" t="n">
        <v>460</v>
      </c>
      <c r="J571" s="2" t="n">
        <v>460</v>
      </c>
      <c r="L571" s="3" t="n"/>
      <c r="M571" s="3" t="n"/>
      <c r="N571" s="3" t="n">
        <v>53.6</v>
      </c>
      <c r="O571" s="3" t="n"/>
      <c r="P571" s="3">
        <f>IF(L571&lt;&gt;"",L571/1.4,"")</f>
        <v/>
      </c>
      <c r="Q571" s="3">
        <f>IF(L571&lt;&gt;"",L571/1.56,"")</f>
        <v/>
      </c>
      <c r="R571" s="3">
        <f>IF(M571&lt;&gt;"",M571/1.4,"")</f>
        <v/>
      </c>
      <c r="S571" s="3">
        <f>IF(M571&lt;&gt;"",M571/1.56,"")</f>
        <v/>
      </c>
      <c r="T571" s="3">
        <f>IF(N571&lt;&gt;"",N571,IF(O571&lt;&gt;"",O571,IF(L571&lt;&gt;"",L571/1.56,IF(M571&lt;&gt;"",M571/1.56,""))))</f>
        <v/>
      </c>
      <c r="U571" s="3" t="n">
        <v>214</v>
      </c>
      <c r="V571" s="3" t="n"/>
      <c r="W571" s="3" t="n"/>
      <c r="X571" s="4" t="n"/>
      <c r="Y571" s="5" t="n">
        <v>0.528</v>
      </c>
      <c r="Z571" s="4">
        <f>IF(L571&lt;&gt;"",SQRT(3)*G571*L571/1000,"")</f>
        <v/>
      </c>
      <c r="AA571" t="inlineStr">
        <is>
          <t>Source=Copeland 2D/3D/4D/4R/6D/8D/9R compressors (pdf) p19</t>
        </is>
      </c>
      <c r="AB571" t="inlineStr">
        <is>
          <t>Copeland_RLA_230_460_3ph_60Hz.xlsx</t>
        </is>
      </c>
      <c r="AC571" t="inlineStr">
        <is>
          <t>Recip_2D-9R</t>
        </is>
      </c>
    </row>
    <row r="572">
      <c r="A572" t="inlineStr">
        <is>
          <t>COPELAND</t>
        </is>
      </c>
      <c r="B572" t="inlineStr">
        <is>
          <t>4DH3R23ME-TSK</t>
        </is>
      </c>
      <c r="D572" t="inlineStr">
        <is>
          <t>Reciprocating Semi-hermetic</t>
        </is>
      </c>
      <c r="E572" s="2" t="n">
        <v>3</v>
      </c>
      <c r="F572" s="2" t="n">
        <v>60</v>
      </c>
      <c r="G572" s="2" t="n">
        <v>230</v>
      </c>
      <c r="H572" t="inlineStr">
        <is>
          <t>208/230</t>
        </is>
      </c>
      <c r="I572" s="2" t="n">
        <v>208</v>
      </c>
      <c r="J572" s="2" t="n">
        <v>230</v>
      </c>
      <c r="L572" s="3" t="n"/>
      <c r="M572" s="3" t="n"/>
      <c r="N572" s="3" t="n">
        <v>107.1</v>
      </c>
      <c r="O572" s="3" t="n"/>
      <c r="P572" s="3">
        <f>IF(L572&lt;&gt;"",L572/1.4,"")</f>
        <v/>
      </c>
      <c r="Q572" s="3">
        <f>IF(L572&lt;&gt;"",L572/1.56,"")</f>
        <v/>
      </c>
      <c r="R572" s="3">
        <f>IF(M572&lt;&gt;"",M572/1.4,"")</f>
        <v/>
      </c>
      <c r="S572" s="3">
        <f>IF(M572&lt;&gt;"",M572/1.56,"")</f>
        <v/>
      </c>
      <c r="T572" s="3">
        <f>IF(N572&lt;&gt;"",N572,IF(O572&lt;&gt;"",O572,IF(L572&lt;&gt;"",L572/1.56,IF(M572&lt;&gt;"",M572/1.56,""))))</f>
        <v/>
      </c>
      <c r="U572" s="3" t="n">
        <v>428</v>
      </c>
      <c r="V572" s="3" t="n">
        <v>250</v>
      </c>
      <c r="W572" s="3" t="n"/>
      <c r="X572" s="4" t="n"/>
      <c r="Y572" s="5" t="n">
        <v>0.132</v>
      </c>
      <c r="Z572" s="4">
        <f>IF(L572&lt;&gt;"",SQRT(3)*G572*L572/1000,"")</f>
        <v/>
      </c>
      <c r="AA572" t="inlineStr">
        <is>
          <t>Source=Copeland 2D/3D/4D/4R/6D/8D/9R compressors (pdf) p19; PWS_RLA=53.6</t>
        </is>
      </c>
      <c r="AB572" t="inlineStr">
        <is>
          <t>Copeland_RLA_230_460_3ph_60Hz.xlsx</t>
        </is>
      </c>
      <c r="AC572" t="inlineStr">
        <is>
          <t>Recip_2D-9R</t>
        </is>
      </c>
    </row>
    <row r="573">
      <c r="A573" t="inlineStr">
        <is>
          <t>COPELAND</t>
        </is>
      </c>
      <c r="B573" t="inlineStr">
        <is>
          <t>4DH3R23ME-TSK</t>
        </is>
      </c>
      <c r="D573" t="inlineStr">
        <is>
          <t>Reciprocating Semi-hermetic</t>
        </is>
      </c>
      <c r="E573" s="2" t="n">
        <v>3</v>
      </c>
      <c r="F573" s="2" t="n">
        <v>60</v>
      </c>
      <c r="G573" s="2" t="n">
        <v>460</v>
      </c>
      <c r="H573" t="inlineStr">
        <is>
          <t>460</t>
        </is>
      </c>
      <c r="I573" s="2" t="n">
        <v>460</v>
      </c>
      <c r="J573" s="2" t="n">
        <v>460</v>
      </c>
      <c r="L573" s="3" t="n"/>
      <c r="M573" s="3" t="n"/>
      <c r="N573" s="3" t="n">
        <v>53.6</v>
      </c>
      <c r="O573" s="3" t="n"/>
      <c r="P573" s="3">
        <f>IF(L573&lt;&gt;"",L573/1.4,"")</f>
        <v/>
      </c>
      <c r="Q573" s="3">
        <f>IF(L573&lt;&gt;"",L573/1.56,"")</f>
        <v/>
      </c>
      <c r="R573" s="3">
        <f>IF(M573&lt;&gt;"",M573/1.4,"")</f>
        <v/>
      </c>
      <c r="S573" s="3">
        <f>IF(M573&lt;&gt;"",M573/1.56,"")</f>
        <v/>
      </c>
      <c r="T573" s="3">
        <f>IF(N573&lt;&gt;"",N573,IF(O573&lt;&gt;"",O573,IF(L573&lt;&gt;"",L573/1.56,IF(M573&lt;&gt;"",M573/1.56,""))))</f>
        <v/>
      </c>
      <c r="U573" s="3" t="n">
        <v>214</v>
      </c>
      <c r="V573" s="3" t="n"/>
      <c r="W573" s="3" t="n"/>
      <c r="X573" s="4" t="n"/>
      <c r="Y573" s="5" t="n">
        <v>0.528</v>
      </c>
      <c r="Z573" s="4">
        <f>IF(L573&lt;&gt;"",SQRT(3)*G573*L573/1000,"")</f>
        <v/>
      </c>
      <c r="AA573" t="inlineStr">
        <is>
          <t>Source=Copeland 2D/3D/4D/4R/6D/8D/9R compressors (pdf) p19</t>
        </is>
      </c>
      <c r="AB573" t="inlineStr">
        <is>
          <t>Copeland_RLA_230_460_3ph_60Hz.xlsx</t>
        </is>
      </c>
      <c r="AC573" t="inlineStr">
        <is>
          <t>Recip_2D-9R</t>
        </is>
      </c>
    </row>
    <row r="574">
      <c r="A574" t="inlineStr">
        <is>
          <t>COPELAND</t>
        </is>
      </c>
      <c r="B574" t="inlineStr">
        <is>
          <t>4DH3S16M0-TSK</t>
        </is>
      </c>
      <c r="D574" t="inlineStr">
        <is>
          <t>Reciprocating Semi-hermetic</t>
        </is>
      </c>
      <c r="E574" s="2" t="n">
        <v>3</v>
      </c>
      <c r="F574" s="2" t="n">
        <v>60</v>
      </c>
      <c r="G574" s="2" t="n">
        <v>230</v>
      </c>
      <c r="H574" t="inlineStr">
        <is>
          <t>208/230</t>
        </is>
      </c>
      <c r="I574" s="2" t="n">
        <v>208</v>
      </c>
      <c r="J574" s="2" t="n">
        <v>230</v>
      </c>
      <c r="L574" s="3" t="n"/>
      <c r="M574" s="3" t="n"/>
      <c r="N574" s="3" t="n"/>
      <c r="O574" s="3" t="n"/>
      <c r="P574" s="3">
        <f>IF(L574&lt;&gt;"",L574/1.4,"")</f>
        <v/>
      </c>
      <c r="Q574" s="3">
        <f>IF(L574&lt;&gt;"",L574/1.56,"")</f>
        <v/>
      </c>
      <c r="R574" s="3">
        <f>IF(M574&lt;&gt;"",M574/1.4,"")</f>
        <v/>
      </c>
      <c r="S574" s="3">
        <f>IF(M574&lt;&gt;"",M574/1.56,"")</f>
        <v/>
      </c>
      <c r="T574" s="3">
        <f>IF(N574&lt;&gt;"",N574,IF(O574&lt;&gt;"",O574,IF(L574&lt;&gt;"",L574/1.56,IF(M574&lt;&gt;"",M574/1.56,""))))</f>
        <v/>
      </c>
      <c r="U574" s="3" t="n">
        <v>295</v>
      </c>
      <c r="V574" s="3" t="n"/>
      <c r="W574" s="3" t="n"/>
      <c r="X574" s="4" t="n"/>
      <c r="Y574" s="5" t="n">
        <v>0.179</v>
      </c>
      <c r="Z574" s="4">
        <f>IF(L574&lt;&gt;"",SQRT(3)*G574*L574/1000,"")</f>
        <v/>
      </c>
      <c r="AA574" t="inlineStr">
        <is>
          <t>Source=Copeland 2D/3D/4D/4R/6D/8D/9R compressors (pdf) p19</t>
        </is>
      </c>
      <c r="AB574" t="inlineStr">
        <is>
          <t>Copeland_RLA_230_460_3ph_60Hz.xlsx</t>
        </is>
      </c>
      <c r="AC574" t="inlineStr">
        <is>
          <t>Recip_2D-9R</t>
        </is>
      </c>
    </row>
    <row r="575">
      <c r="A575" t="inlineStr">
        <is>
          <t>COPELAND</t>
        </is>
      </c>
      <c r="B575" t="inlineStr">
        <is>
          <t>4DH3S16M0-TSK</t>
        </is>
      </c>
      <c r="D575" t="inlineStr">
        <is>
          <t>Reciprocating Semi-hermetic</t>
        </is>
      </c>
      <c r="E575" s="2" t="n">
        <v>3</v>
      </c>
      <c r="F575" s="2" t="n">
        <v>60</v>
      </c>
      <c r="G575" s="2" t="n">
        <v>230</v>
      </c>
      <c r="H575" t="inlineStr">
        <is>
          <t>208/230</t>
        </is>
      </c>
      <c r="I575" s="2" t="n">
        <v>208</v>
      </c>
      <c r="J575" s="2" t="n">
        <v>230</v>
      </c>
      <c r="L575" s="3" t="n"/>
      <c r="M575" s="3" t="n"/>
      <c r="N575" s="3" t="n"/>
      <c r="O575" s="3" t="n"/>
      <c r="P575" s="3">
        <f>IF(L575&lt;&gt;"",L575/1.4,"")</f>
        <v/>
      </c>
      <c r="Q575" s="3">
        <f>IF(L575&lt;&gt;"",L575/1.56,"")</f>
        <v/>
      </c>
      <c r="R575" s="3">
        <f>IF(M575&lt;&gt;"",M575/1.4,"")</f>
        <v/>
      </c>
      <c r="S575" s="3">
        <f>IF(M575&lt;&gt;"",M575/1.56,"")</f>
        <v/>
      </c>
      <c r="T575" s="3">
        <f>IF(N575&lt;&gt;"",N575,IF(O575&lt;&gt;"",O575,IF(L575&lt;&gt;"",L575/1.56,IF(M575&lt;&gt;"",M575/1.56,""))))</f>
        <v/>
      </c>
      <c r="U575" s="3" t="n">
        <v>308</v>
      </c>
      <c r="V575" s="3" t="n"/>
      <c r="W575" s="3" t="n"/>
      <c r="X575" s="4" t="n"/>
      <c r="Y575" s="5" t="n">
        <v>0.179</v>
      </c>
      <c r="Z575" s="4">
        <f>IF(L575&lt;&gt;"",SQRT(3)*G575*L575/1000,"")</f>
        <v/>
      </c>
      <c r="AA575" t="inlineStr">
        <is>
          <t>Source=Copeland 2D/3D/4D/4R/6D/8D/9R compressors (pdf) p19</t>
        </is>
      </c>
      <c r="AB575" t="inlineStr">
        <is>
          <t>Copeland_RLA_230_460_3ph_60Hz.xlsx</t>
        </is>
      </c>
      <c r="AC575" t="inlineStr">
        <is>
          <t>Recip_2D-9R</t>
        </is>
      </c>
    </row>
    <row r="576">
      <c r="A576" t="inlineStr">
        <is>
          <t>COPELAND</t>
        </is>
      </c>
      <c r="B576" t="inlineStr">
        <is>
          <t>4DH3S16M0-TSK</t>
        </is>
      </c>
      <c r="D576" t="inlineStr">
        <is>
          <t>Reciprocating Semi-hermetic</t>
        </is>
      </c>
      <c r="E576" s="2" t="n">
        <v>3</v>
      </c>
      <c r="F576" s="2" t="n">
        <v>60</v>
      </c>
      <c r="G576" s="2" t="n">
        <v>460</v>
      </c>
      <c r="H576" t="inlineStr">
        <is>
          <t>460</t>
        </is>
      </c>
      <c r="I576" s="2" t="n">
        <v>460</v>
      </c>
      <c r="J576" s="2" t="n">
        <v>460</v>
      </c>
      <c r="L576" s="3" t="n"/>
      <c r="M576" s="3" t="n"/>
      <c r="N576" s="3" t="n"/>
      <c r="O576" s="3" t="n"/>
      <c r="P576" s="3">
        <f>IF(L576&lt;&gt;"",L576/1.4,"")</f>
        <v/>
      </c>
      <c r="Q576" s="3">
        <f>IF(L576&lt;&gt;"",L576/1.56,"")</f>
        <v/>
      </c>
      <c r="R576" s="3">
        <f>IF(M576&lt;&gt;"",M576/1.4,"")</f>
        <v/>
      </c>
      <c r="S576" s="3">
        <f>IF(M576&lt;&gt;"",M576/1.56,"")</f>
        <v/>
      </c>
      <c r="T576" s="3">
        <f>IF(N576&lt;&gt;"",N576,IF(O576&lt;&gt;"",O576,IF(L576&lt;&gt;"",L576/1.56,IF(M576&lt;&gt;"",M576/1.56,""))))</f>
        <v/>
      </c>
      <c r="U576" s="3" t="n">
        <v>148</v>
      </c>
      <c r="V576" s="3" t="n"/>
      <c r="W576" s="3" t="n"/>
      <c r="X576" s="4" t="n"/>
      <c r="Y576" s="5" t="n">
        <v>0.716</v>
      </c>
      <c r="Z576" s="4">
        <f>IF(L576&lt;&gt;"",SQRT(3)*G576*L576/1000,"")</f>
        <v/>
      </c>
      <c r="AA576" t="inlineStr">
        <is>
          <t>Source=Copeland 2D/3D/4D/4R/6D/8D/9R compressors (pdf) p19</t>
        </is>
      </c>
      <c r="AB576" t="inlineStr">
        <is>
          <t>Copeland_RLA_230_460_3ph_60Hz.xlsx</t>
        </is>
      </c>
      <c r="AC576" t="inlineStr">
        <is>
          <t>Recip_2D-9R</t>
        </is>
      </c>
    </row>
    <row r="577">
      <c r="A577" t="inlineStr">
        <is>
          <t>COPELAND</t>
        </is>
      </c>
      <c r="B577" t="inlineStr">
        <is>
          <t>4DH3S16M0-TSK</t>
        </is>
      </c>
      <c r="D577" t="inlineStr">
        <is>
          <t>Reciprocating Semi-hermetic</t>
        </is>
      </c>
      <c r="E577" s="2" t="n">
        <v>3</v>
      </c>
      <c r="F577" s="2" t="n">
        <v>60</v>
      </c>
      <c r="G577" s="2" t="n">
        <v>460</v>
      </c>
      <c r="H577" t="inlineStr">
        <is>
          <t>460</t>
        </is>
      </c>
      <c r="I577" s="2" t="n">
        <v>460</v>
      </c>
      <c r="J577" s="2" t="n">
        <v>460</v>
      </c>
      <c r="L577" s="3" t="n"/>
      <c r="M577" s="3" t="n"/>
      <c r="N577" s="3" t="n"/>
      <c r="O577" s="3" t="n"/>
      <c r="P577" s="3">
        <f>IF(L577&lt;&gt;"",L577/1.4,"")</f>
        <v/>
      </c>
      <c r="Q577" s="3">
        <f>IF(L577&lt;&gt;"",L577/1.56,"")</f>
        <v/>
      </c>
      <c r="R577" s="3">
        <f>IF(M577&lt;&gt;"",M577/1.4,"")</f>
        <v/>
      </c>
      <c r="S577" s="3">
        <f>IF(M577&lt;&gt;"",M577/1.56,"")</f>
        <v/>
      </c>
      <c r="T577" s="3">
        <f>IF(N577&lt;&gt;"",N577,IF(O577&lt;&gt;"",O577,IF(L577&lt;&gt;"",L577/1.56,IF(M577&lt;&gt;"",M577/1.56,""))))</f>
        <v/>
      </c>
      <c r="U577" s="3" t="n">
        <v>154</v>
      </c>
      <c r="V577" s="3" t="n"/>
      <c r="W577" s="3" t="n"/>
      <c r="X577" s="4" t="n"/>
      <c r="Y577" s="5" t="n">
        <v>0.716</v>
      </c>
      <c r="Z577" s="4">
        <f>IF(L577&lt;&gt;"",SQRT(3)*G577*L577/1000,"")</f>
        <v/>
      </c>
      <c r="AA577" t="inlineStr">
        <is>
          <t>Source=Copeland 2D/3D/4D/4R/6D/8D/9R compressors (pdf) p19</t>
        </is>
      </c>
      <c r="AB577" t="inlineStr">
        <is>
          <t>Copeland_RLA_230_460_3ph_60Hz.xlsx</t>
        </is>
      </c>
      <c r="AC577" t="inlineStr">
        <is>
          <t>Recip_2D-9R</t>
        </is>
      </c>
    </row>
    <row r="578">
      <c r="A578" t="inlineStr">
        <is>
          <t>COPELAND</t>
        </is>
      </c>
      <c r="B578" t="inlineStr">
        <is>
          <t>4DH3S16ME-TSK</t>
        </is>
      </c>
      <c r="D578" t="inlineStr">
        <is>
          <t>Reciprocating Semi-hermetic</t>
        </is>
      </c>
      <c r="E578" s="2" t="n">
        <v>3</v>
      </c>
      <c r="F578" s="2" t="n">
        <v>60</v>
      </c>
      <c r="G578" s="2" t="n">
        <v>230</v>
      </c>
      <c r="H578" t="inlineStr">
        <is>
          <t>208/230</t>
        </is>
      </c>
      <c r="I578" s="2" t="n">
        <v>208</v>
      </c>
      <c r="J578" s="2" t="n">
        <v>230</v>
      </c>
      <c r="L578" s="3" t="n"/>
      <c r="M578" s="3" t="n"/>
      <c r="N578" s="3" t="n">
        <v>65.7</v>
      </c>
      <c r="O578" s="3" t="n"/>
      <c r="P578" s="3">
        <f>IF(L578&lt;&gt;"",L578/1.4,"")</f>
        <v/>
      </c>
      <c r="Q578" s="3">
        <f>IF(L578&lt;&gt;"",L578/1.56,"")</f>
        <v/>
      </c>
      <c r="R578" s="3">
        <f>IF(M578&lt;&gt;"",M578/1.4,"")</f>
        <v/>
      </c>
      <c r="S578" s="3">
        <f>IF(M578&lt;&gt;"",M578/1.56,"")</f>
        <v/>
      </c>
      <c r="T578" s="3">
        <f>IF(N578&lt;&gt;"",N578,IF(O578&lt;&gt;"",O578,IF(L578&lt;&gt;"",L578/1.56,IF(M578&lt;&gt;"",M578/1.56,""))))</f>
        <v/>
      </c>
      <c r="U578" s="3" t="n">
        <v>308</v>
      </c>
      <c r="V578" s="3" t="n"/>
      <c r="W578" s="3" t="n"/>
      <c r="X578" s="4" t="n"/>
      <c r="Y578" s="5" t="n">
        <v>0.179</v>
      </c>
      <c r="Z578" s="4">
        <f>IF(L578&lt;&gt;"",SQRT(3)*G578*L578/1000,"")</f>
        <v/>
      </c>
      <c r="AA578" t="inlineStr">
        <is>
          <t>Source=Copeland 2D/3D/4D/4R/6D/8D/9R compressors (pdf) p19</t>
        </is>
      </c>
      <c r="AB578" t="inlineStr">
        <is>
          <t>Copeland_RLA_230_460_3ph_60Hz.xlsx</t>
        </is>
      </c>
      <c r="AC578" t="inlineStr">
        <is>
          <t>Recip_2D-9R</t>
        </is>
      </c>
    </row>
    <row r="579">
      <c r="A579" t="inlineStr">
        <is>
          <t>COPELAND</t>
        </is>
      </c>
      <c r="B579" t="inlineStr">
        <is>
          <t>4DH3S16ME-TSK</t>
        </is>
      </c>
      <c r="D579" t="inlineStr">
        <is>
          <t>Reciprocating Semi-hermetic</t>
        </is>
      </c>
      <c r="E579" s="2" t="n">
        <v>3</v>
      </c>
      <c r="F579" s="2" t="n">
        <v>60</v>
      </c>
      <c r="G579" s="2" t="n">
        <v>460</v>
      </c>
      <c r="H579" t="inlineStr">
        <is>
          <t>460</t>
        </is>
      </c>
      <c r="I579" s="2" t="n">
        <v>460</v>
      </c>
      <c r="J579" s="2" t="n">
        <v>460</v>
      </c>
      <c r="L579" s="3" t="n"/>
      <c r="M579" s="3" t="n"/>
      <c r="N579" s="3" t="n">
        <v>32.9</v>
      </c>
      <c r="O579" s="3" t="n"/>
      <c r="P579" s="3">
        <f>IF(L579&lt;&gt;"",L579/1.4,"")</f>
        <v/>
      </c>
      <c r="Q579" s="3">
        <f>IF(L579&lt;&gt;"",L579/1.56,"")</f>
        <v/>
      </c>
      <c r="R579" s="3">
        <f>IF(M579&lt;&gt;"",M579/1.4,"")</f>
        <v/>
      </c>
      <c r="S579" s="3">
        <f>IF(M579&lt;&gt;"",M579/1.56,"")</f>
        <v/>
      </c>
      <c r="T579" s="3">
        <f>IF(N579&lt;&gt;"",N579,IF(O579&lt;&gt;"",O579,IF(L579&lt;&gt;"",L579/1.56,IF(M579&lt;&gt;"",M579/1.56,""))))</f>
        <v/>
      </c>
      <c r="U579" s="3" t="n">
        <v>154</v>
      </c>
      <c r="V579" s="3" t="n"/>
      <c r="W579" s="3" t="n"/>
      <c r="X579" s="4" t="n"/>
      <c r="Y579" s="5" t="n">
        <v>0.716</v>
      </c>
      <c r="Z579" s="4">
        <f>IF(L579&lt;&gt;"",SQRT(3)*G579*L579/1000,"")</f>
        <v/>
      </c>
      <c r="AA579" t="inlineStr">
        <is>
          <t>Source=Copeland 2D/3D/4D/4R/6D/8D/9R compressors (pdf) p19</t>
        </is>
      </c>
      <c r="AB579" t="inlineStr">
        <is>
          <t>Copeland_RLA_230_460_3ph_60Hz.xlsx</t>
        </is>
      </c>
      <c r="AC579" t="inlineStr">
        <is>
          <t>Recip_2D-9R</t>
        </is>
      </c>
    </row>
    <row r="580">
      <c r="A580" t="inlineStr">
        <is>
          <t>COPELAND</t>
        </is>
      </c>
      <c r="B580" t="inlineStr">
        <is>
          <t>4DH3S16ML-TSK</t>
        </is>
      </c>
      <c r="D580" t="inlineStr">
        <is>
          <t>Reciprocating Semi-hermetic</t>
        </is>
      </c>
      <c r="E580" s="2" t="n">
        <v>3</v>
      </c>
      <c r="F580" s="2" t="n">
        <v>60</v>
      </c>
      <c r="G580" s="2" t="n">
        <v>230</v>
      </c>
      <c r="H580" t="inlineStr">
        <is>
          <t>208/230</t>
        </is>
      </c>
      <c r="I580" s="2" t="n">
        <v>208</v>
      </c>
      <c r="J580" s="2" t="n">
        <v>230</v>
      </c>
      <c r="L580" s="3" t="n"/>
      <c r="M580" s="3" t="n"/>
      <c r="N580" s="3" t="n"/>
      <c r="O580" s="3" t="n"/>
      <c r="P580" s="3">
        <f>IF(L580&lt;&gt;"",L580/1.4,"")</f>
        <v/>
      </c>
      <c r="Q580" s="3">
        <f>IF(L580&lt;&gt;"",L580/1.56,"")</f>
        <v/>
      </c>
      <c r="R580" s="3">
        <f>IF(M580&lt;&gt;"",M580/1.4,"")</f>
        <v/>
      </c>
      <c r="S580" s="3">
        <f>IF(M580&lt;&gt;"",M580/1.56,"")</f>
        <v/>
      </c>
      <c r="T580" s="3">
        <f>IF(N580&lt;&gt;"",N580,IF(O580&lt;&gt;"",O580,IF(L580&lt;&gt;"",L580/1.56,IF(M580&lt;&gt;"",M580/1.56,""))))</f>
        <v/>
      </c>
      <c r="U580" s="3" t="n">
        <v>308</v>
      </c>
      <c r="V580" s="3" t="n"/>
      <c r="W580" s="3" t="n"/>
      <c r="X580" s="4" t="n"/>
      <c r="Y580" s="5" t="n">
        <v>0.179</v>
      </c>
      <c r="Z580" s="4">
        <f>IF(L580&lt;&gt;"",SQRT(3)*G580*L580/1000,"")</f>
        <v/>
      </c>
      <c r="AA580" t="inlineStr">
        <is>
          <t>Source=Copeland 2D/3D/4D/4R/6D/8D/9R compressors (pdf) p19</t>
        </is>
      </c>
      <c r="AB580" t="inlineStr">
        <is>
          <t>Copeland_RLA_230_460_3ph_60Hz.xlsx</t>
        </is>
      </c>
      <c r="AC580" t="inlineStr">
        <is>
          <t>Recip_2D-9R</t>
        </is>
      </c>
    </row>
    <row r="581">
      <c r="A581" t="inlineStr">
        <is>
          <t>COPELAND</t>
        </is>
      </c>
      <c r="B581" t="inlineStr">
        <is>
          <t>4DH3S16ML-TSK</t>
        </is>
      </c>
      <c r="D581" t="inlineStr">
        <is>
          <t>Reciprocating Semi-hermetic</t>
        </is>
      </c>
      <c r="E581" s="2" t="n">
        <v>3</v>
      </c>
      <c r="F581" s="2" t="n">
        <v>60</v>
      </c>
      <c r="G581" s="2" t="n">
        <v>460</v>
      </c>
      <c r="H581" t="inlineStr">
        <is>
          <t>460</t>
        </is>
      </c>
      <c r="I581" s="2" t="n">
        <v>460</v>
      </c>
      <c r="J581" s="2" t="n">
        <v>460</v>
      </c>
      <c r="L581" s="3" t="n"/>
      <c r="M581" s="3" t="n"/>
      <c r="N581" s="3" t="n"/>
      <c r="O581" s="3" t="n"/>
      <c r="P581" s="3">
        <f>IF(L581&lt;&gt;"",L581/1.4,"")</f>
        <v/>
      </c>
      <c r="Q581" s="3">
        <f>IF(L581&lt;&gt;"",L581/1.56,"")</f>
        <v/>
      </c>
      <c r="R581" s="3">
        <f>IF(M581&lt;&gt;"",M581/1.4,"")</f>
        <v/>
      </c>
      <c r="S581" s="3">
        <f>IF(M581&lt;&gt;"",M581/1.56,"")</f>
        <v/>
      </c>
      <c r="T581" s="3">
        <f>IF(N581&lt;&gt;"",N581,IF(O581&lt;&gt;"",O581,IF(L581&lt;&gt;"",L581/1.56,IF(M581&lt;&gt;"",M581/1.56,""))))</f>
        <v/>
      </c>
      <c r="U581" s="3" t="n">
        <v>154</v>
      </c>
      <c r="V581" s="3" t="n"/>
      <c r="W581" s="3" t="n"/>
      <c r="X581" s="4" t="n"/>
      <c r="Y581" s="5" t="n">
        <v>0.716</v>
      </c>
      <c r="Z581" s="4">
        <f>IF(L581&lt;&gt;"",SQRT(3)*G581*L581/1000,"")</f>
        <v/>
      </c>
      <c r="AA581" t="inlineStr">
        <is>
          <t>Source=Copeland 2D/3D/4D/4R/6D/8D/9R compressors (pdf) p19</t>
        </is>
      </c>
      <c r="AB581" t="inlineStr">
        <is>
          <t>Copeland_RLA_230_460_3ph_60Hz.xlsx</t>
        </is>
      </c>
      <c r="AC581" t="inlineStr">
        <is>
          <t>Recip_2D-9R</t>
        </is>
      </c>
    </row>
    <row r="582">
      <c r="A582" t="inlineStr">
        <is>
          <t>COPELAND</t>
        </is>
      </c>
      <c r="B582" t="inlineStr">
        <is>
          <t>4DHDR22ML-TSK</t>
        </is>
      </c>
      <c r="D582" t="inlineStr">
        <is>
          <t>Reciprocating Semi-hermetic</t>
        </is>
      </c>
      <c r="E582" s="2" t="n">
        <v>3</v>
      </c>
      <c r="F582" s="2" t="n">
        <v>60</v>
      </c>
      <c r="G582" s="2" t="n">
        <v>230</v>
      </c>
      <c r="H582" t="inlineStr">
        <is>
          <t>208/230</t>
        </is>
      </c>
      <c r="I582" s="2" t="n">
        <v>208</v>
      </c>
      <c r="J582" s="2" t="n">
        <v>230</v>
      </c>
      <c r="L582" s="3" t="n"/>
      <c r="M582" s="3" t="n"/>
      <c r="N582" s="3" t="n">
        <v>82.09999999999999</v>
      </c>
      <c r="O582" s="3" t="n"/>
      <c r="P582" s="3">
        <f>IF(L582&lt;&gt;"",L582/1.4,"")</f>
        <v/>
      </c>
      <c r="Q582" s="3">
        <f>IF(L582&lt;&gt;"",L582/1.56,"")</f>
        <v/>
      </c>
      <c r="R582" s="3">
        <f>IF(M582&lt;&gt;"",M582/1.4,"")</f>
        <v/>
      </c>
      <c r="S582" s="3">
        <f>IF(M582&lt;&gt;"",M582/1.56,"")</f>
        <v/>
      </c>
      <c r="T582" s="3">
        <f>IF(N582&lt;&gt;"",N582,IF(O582&lt;&gt;"",O582,IF(L582&lt;&gt;"",L582/1.56,IF(M582&lt;&gt;"",M582/1.56,""))))</f>
        <v/>
      </c>
      <c r="U582" s="3" t="n">
        <v>428</v>
      </c>
      <c r="V582" s="3" t="n">
        <v>250</v>
      </c>
      <c r="W582" s="3" t="n"/>
      <c r="X582" s="4" t="n"/>
      <c r="Y582" s="5" t="n">
        <v>0.132</v>
      </c>
      <c r="Z582" s="4">
        <f>IF(L582&lt;&gt;"",SQRT(3)*G582*L582/1000,"")</f>
        <v/>
      </c>
      <c r="AA582" t="inlineStr">
        <is>
          <t>Source=Copeland 2D/3D/4D/4R/6D/8D/9R compressors (pdf) p19; PWS_RLA=53.6</t>
        </is>
      </c>
      <c r="AB582" t="inlineStr">
        <is>
          <t>Copeland_RLA_230_460_3ph_60Hz.xlsx</t>
        </is>
      </c>
      <c r="AC582" t="inlineStr">
        <is>
          <t>Recip_2D-9R</t>
        </is>
      </c>
    </row>
    <row r="583">
      <c r="A583" t="inlineStr">
        <is>
          <t>COPELAND</t>
        </is>
      </c>
      <c r="B583" t="inlineStr">
        <is>
          <t>4DHDR22ML-TSK</t>
        </is>
      </c>
      <c r="D583" t="inlineStr">
        <is>
          <t>Reciprocating Semi-hermetic</t>
        </is>
      </c>
      <c r="E583" s="2" t="n">
        <v>3</v>
      </c>
      <c r="F583" s="2" t="n">
        <v>60</v>
      </c>
      <c r="G583" s="2" t="n">
        <v>460</v>
      </c>
      <c r="H583" t="inlineStr">
        <is>
          <t>460</t>
        </is>
      </c>
      <c r="I583" s="2" t="n">
        <v>460</v>
      </c>
      <c r="J583" s="2" t="n">
        <v>460</v>
      </c>
      <c r="L583" s="3" t="n"/>
      <c r="M583" s="3" t="n"/>
      <c r="N583" s="3" t="n">
        <v>53.6</v>
      </c>
      <c r="O583" s="3" t="n"/>
      <c r="P583" s="3">
        <f>IF(L583&lt;&gt;"",L583/1.4,"")</f>
        <v/>
      </c>
      <c r="Q583" s="3">
        <f>IF(L583&lt;&gt;"",L583/1.56,"")</f>
        <v/>
      </c>
      <c r="R583" s="3">
        <f>IF(M583&lt;&gt;"",M583/1.4,"")</f>
        <v/>
      </c>
      <c r="S583" s="3">
        <f>IF(M583&lt;&gt;"",M583/1.56,"")</f>
        <v/>
      </c>
      <c r="T583" s="3">
        <f>IF(N583&lt;&gt;"",N583,IF(O583&lt;&gt;"",O583,IF(L583&lt;&gt;"",L583/1.56,IF(M583&lt;&gt;"",M583/1.56,""))))</f>
        <v/>
      </c>
      <c r="U583" s="3" t="n">
        <v>214</v>
      </c>
      <c r="V583" s="3" t="n"/>
      <c r="W583" s="3" t="n"/>
      <c r="X583" s="4" t="n"/>
      <c r="Y583" s="5" t="n">
        <v>0.528</v>
      </c>
      <c r="Z583" s="4">
        <f>IF(L583&lt;&gt;"",SQRT(3)*G583*L583/1000,"")</f>
        <v/>
      </c>
      <c r="AA583" t="inlineStr">
        <is>
          <t>Source=Copeland 2D/3D/4D/4R/6D/8D/9R compressors (pdf) p19</t>
        </is>
      </c>
      <c r="AB583" t="inlineStr">
        <is>
          <t>Copeland_RLA_230_460_3ph_60Hz.xlsx</t>
        </is>
      </c>
      <c r="AC583" t="inlineStr">
        <is>
          <t>Recip_2D-9R</t>
        </is>
      </c>
    </row>
    <row r="584">
      <c r="A584" t="inlineStr">
        <is>
          <t>COPELAND</t>
        </is>
      </c>
      <c r="B584" t="inlineStr">
        <is>
          <t>4DHDS16ML-TSK</t>
        </is>
      </c>
      <c r="D584" t="inlineStr">
        <is>
          <t>Reciprocating Semi-hermetic</t>
        </is>
      </c>
      <c r="E584" s="2" t="n">
        <v>3</v>
      </c>
      <c r="F584" s="2" t="n">
        <v>60</v>
      </c>
      <c r="G584" s="2" t="n">
        <v>230</v>
      </c>
      <c r="H584" t="inlineStr">
        <is>
          <t>208/230</t>
        </is>
      </c>
      <c r="I584" s="2" t="n">
        <v>208</v>
      </c>
      <c r="J584" s="2" t="n">
        <v>230</v>
      </c>
      <c r="L584" s="3" t="n"/>
      <c r="M584" s="3" t="n"/>
      <c r="N584" s="3" t="n"/>
      <c r="O584" s="3" t="n"/>
      <c r="P584" s="3">
        <f>IF(L584&lt;&gt;"",L584/1.4,"")</f>
        <v/>
      </c>
      <c r="Q584" s="3">
        <f>IF(L584&lt;&gt;"",L584/1.56,"")</f>
        <v/>
      </c>
      <c r="R584" s="3">
        <f>IF(M584&lt;&gt;"",M584/1.4,"")</f>
        <v/>
      </c>
      <c r="S584" s="3">
        <f>IF(M584&lt;&gt;"",M584/1.56,"")</f>
        <v/>
      </c>
      <c r="T584" s="3">
        <f>IF(N584&lt;&gt;"",N584,IF(O584&lt;&gt;"",O584,IF(L584&lt;&gt;"",L584/1.56,IF(M584&lt;&gt;"",M584/1.56,""))))</f>
        <v/>
      </c>
      <c r="U584" s="3" t="n">
        <v>308</v>
      </c>
      <c r="V584" s="3" t="n"/>
      <c r="W584" s="3" t="n"/>
      <c r="X584" s="4" t="n"/>
      <c r="Y584" s="5" t="n">
        <v>0.179</v>
      </c>
      <c r="Z584" s="4">
        <f>IF(L584&lt;&gt;"",SQRT(3)*G584*L584/1000,"")</f>
        <v/>
      </c>
      <c r="AA584" t="inlineStr">
        <is>
          <t>Source=Copeland 2D/3D/4D/4R/6D/8D/9R compressors (pdf) p19</t>
        </is>
      </c>
      <c r="AB584" t="inlineStr">
        <is>
          <t>Copeland_RLA_230_460_3ph_60Hz.xlsx</t>
        </is>
      </c>
      <c r="AC584" t="inlineStr">
        <is>
          <t>Recip_2D-9R</t>
        </is>
      </c>
    </row>
    <row r="585">
      <c r="A585" t="inlineStr">
        <is>
          <t>COPELAND</t>
        </is>
      </c>
      <c r="B585" t="inlineStr">
        <is>
          <t>4DHDS16ML-TSK</t>
        </is>
      </c>
      <c r="D585" t="inlineStr">
        <is>
          <t>Reciprocating Semi-hermetic</t>
        </is>
      </c>
      <c r="E585" s="2" t="n">
        <v>3</v>
      </c>
      <c r="F585" s="2" t="n">
        <v>60</v>
      </c>
      <c r="G585" s="2" t="n">
        <v>460</v>
      </c>
      <c r="H585" t="inlineStr">
        <is>
          <t>460</t>
        </is>
      </c>
      <c r="I585" s="2" t="n">
        <v>460</v>
      </c>
      <c r="J585" s="2" t="n">
        <v>460</v>
      </c>
      <c r="L585" s="3" t="n"/>
      <c r="M585" s="3" t="n"/>
      <c r="N585" s="3" t="n"/>
      <c r="O585" s="3" t="n"/>
      <c r="P585" s="3">
        <f>IF(L585&lt;&gt;"",L585/1.4,"")</f>
        <v/>
      </c>
      <c r="Q585" s="3">
        <f>IF(L585&lt;&gt;"",L585/1.56,"")</f>
        <v/>
      </c>
      <c r="R585" s="3">
        <f>IF(M585&lt;&gt;"",M585/1.4,"")</f>
        <v/>
      </c>
      <c r="S585" s="3">
        <f>IF(M585&lt;&gt;"",M585/1.56,"")</f>
        <v/>
      </c>
      <c r="T585" s="3">
        <f>IF(N585&lt;&gt;"",N585,IF(O585&lt;&gt;"",O585,IF(L585&lt;&gt;"",L585/1.56,IF(M585&lt;&gt;"",M585/1.56,""))))</f>
        <v/>
      </c>
      <c r="U585" s="3" t="n">
        <v>154</v>
      </c>
      <c r="V585" s="3" t="n"/>
      <c r="W585" s="3" t="n"/>
      <c r="X585" s="4" t="n"/>
      <c r="Y585" s="5" t="n">
        <v>0.716</v>
      </c>
      <c r="Z585" s="4">
        <f>IF(L585&lt;&gt;"",SQRT(3)*G585*L585/1000,"")</f>
        <v/>
      </c>
      <c r="AA585" t="inlineStr">
        <is>
          <t>Source=Copeland 2D/3D/4D/4R/6D/8D/9R compressors (pdf) p19</t>
        </is>
      </c>
      <c r="AB585" t="inlineStr">
        <is>
          <t>Copeland_RLA_230_460_3ph_60Hz.xlsx</t>
        </is>
      </c>
      <c r="AC585" t="inlineStr">
        <is>
          <t>Recip_2D-9R</t>
        </is>
      </c>
    </row>
    <row r="586">
      <c r="A586" t="inlineStr">
        <is>
          <t>COPELAND</t>
        </is>
      </c>
      <c r="B586" t="inlineStr">
        <is>
          <t>4DHGA2500-TSK</t>
        </is>
      </c>
      <c r="D586" t="inlineStr">
        <is>
          <t>Reciprocating Semi-hermetic</t>
        </is>
      </c>
      <c r="E586" s="2" t="n">
        <v>3</v>
      </c>
      <c r="F586" s="2" t="n">
        <v>60</v>
      </c>
      <c r="G586" s="2" t="n">
        <v>230</v>
      </c>
      <c r="H586" t="inlineStr">
        <is>
          <t>208/230</t>
        </is>
      </c>
      <c r="I586" s="2" t="n">
        <v>208</v>
      </c>
      <c r="J586" s="2" t="n">
        <v>230</v>
      </c>
      <c r="L586" s="3" t="n"/>
      <c r="M586" s="3" t="n"/>
      <c r="N586" s="3" t="n">
        <v>82.09999999999999</v>
      </c>
      <c r="O586" s="3" t="n"/>
      <c r="P586" s="3">
        <f>IF(L586&lt;&gt;"",L586/1.4,"")</f>
        <v/>
      </c>
      <c r="Q586" s="3">
        <f>IF(L586&lt;&gt;"",L586/1.56,"")</f>
        <v/>
      </c>
      <c r="R586" s="3">
        <f>IF(M586&lt;&gt;"",M586/1.4,"")</f>
        <v/>
      </c>
      <c r="S586" s="3">
        <f>IF(M586&lt;&gt;"",M586/1.56,"")</f>
        <v/>
      </c>
      <c r="T586" s="3">
        <f>IF(N586&lt;&gt;"",N586,IF(O586&lt;&gt;"",O586,IF(L586&lt;&gt;"",L586/1.56,IF(M586&lt;&gt;"",M586/1.56,""))))</f>
        <v/>
      </c>
      <c r="U586" s="3" t="n">
        <v>428</v>
      </c>
      <c r="V586" s="3" t="n">
        <v>250</v>
      </c>
      <c r="W586" s="3" t="n"/>
      <c r="X586" s="4" t="n"/>
      <c r="Y586" s="5" t="n">
        <v>0.132</v>
      </c>
      <c r="Z586" s="4">
        <f>IF(L586&lt;&gt;"",SQRT(3)*G586*L586/1000,"")</f>
        <v/>
      </c>
      <c r="AA586" t="inlineStr">
        <is>
          <t>Source=Copeland 2D/3D/4D/4R/6D/8D/9R compressors (pdf) p19; PWS_RLA=41.1</t>
        </is>
      </c>
      <c r="AB586" t="inlineStr">
        <is>
          <t>Copeland_RLA_230_460_3ph_60Hz.xlsx</t>
        </is>
      </c>
      <c r="AC586" t="inlineStr">
        <is>
          <t>Recip_2D-9R</t>
        </is>
      </c>
    </row>
    <row r="587">
      <c r="A587" t="inlineStr">
        <is>
          <t>COPELAND</t>
        </is>
      </c>
      <c r="B587" t="inlineStr">
        <is>
          <t>4DHGA2500-TSK</t>
        </is>
      </c>
      <c r="D587" t="inlineStr">
        <is>
          <t>Reciprocating Semi-hermetic</t>
        </is>
      </c>
      <c r="E587" s="2" t="n">
        <v>3</v>
      </c>
      <c r="F587" s="2" t="n">
        <v>60</v>
      </c>
      <c r="G587" s="2" t="n">
        <v>460</v>
      </c>
      <c r="H587" t="inlineStr">
        <is>
          <t>460</t>
        </is>
      </c>
      <c r="I587" s="2" t="n">
        <v>460</v>
      </c>
      <c r="J587" s="2" t="n">
        <v>460</v>
      </c>
      <c r="L587" s="3" t="n"/>
      <c r="M587" s="3" t="n"/>
      <c r="N587" s="3" t="n">
        <v>41.1</v>
      </c>
      <c r="O587" s="3" t="n"/>
      <c r="P587" s="3">
        <f>IF(L587&lt;&gt;"",L587/1.4,"")</f>
        <v/>
      </c>
      <c r="Q587" s="3">
        <f>IF(L587&lt;&gt;"",L587/1.56,"")</f>
        <v/>
      </c>
      <c r="R587" s="3">
        <f>IF(M587&lt;&gt;"",M587/1.4,"")</f>
        <v/>
      </c>
      <c r="S587" s="3">
        <f>IF(M587&lt;&gt;"",M587/1.56,"")</f>
        <v/>
      </c>
      <c r="T587" s="3">
        <f>IF(N587&lt;&gt;"",N587,IF(O587&lt;&gt;"",O587,IF(L587&lt;&gt;"",L587/1.56,IF(M587&lt;&gt;"",M587/1.56,""))))</f>
        <v/>
      </c>
      <c r="U587" s="3" t="n">
        <v>214</v>
      </c>
      <c r="V587" s="3" t="n"/>
      <c r="W587" s="3" t="n"/>
      <c r="X587" s="4" t="n"/>
      <c r="Y587" s="5" t="n">
        <v>0.528</v>
      </c>
      <c r="Z587" s="4">
        <f>IF(L587&lt;&gt;"",SQRT(3)*G587*L587/1000,"")</f>
        <v/>
      </c>
      <c r="AA587" t="inlineStr">
        <is>
          <t>Source=Copeland 2D/3D/4D/4R/6D/8D/9R compressors (pdf) p19</t>
        </is>
      </c>
      <c r="AB587" t="inlineStr">
        <is>
          <t>Copeland_RLA_230_460_3ph_60Hz.xlsx</t>
        </is>
      </c>
      <c r="AC587" t="inlineStr">
        <is>
          <t>Recip_2D-9R</t>
        </is>
      </c>
    </row>
    <row r="588">
      <c r="A588" t="inlineStr">
        <is>
          <t>COPELAND</t>
        </is>
      </c>
      <c r="B588" t="inlineStr">
        <is>
          <t>4DJ1A2000-FSD</t>
        </is>
      </c>
      <c r="D588" t="inlineStr">
        <is>
          <t>Reciprocating Semi-hermetic</t>
        </is>
      </c>
      <c r="E588" s="2" t="n">
        <v>3</v>
      </c>
      <c r="F588" s="2" t="n">
        <v>60</v>
      </c>
      <c r="G588" s="2" t="n">
        <v>460</v>
      </c>
      <c r="H588" t="inlineStr">
        <is>
          <t>460</t>
        </is>
      </c>
      <c r="I588" s="2" t="n">
        <v>460</v>
      </c>
      <c r="J588" s="2" t="n">
        <v>460</v>
      </c>
      <c r="L588" s="3" t="n"/>
      <c r="M588" s="3" t="n"/>
      <c r="N588" s="3" t="n">
        <v>32.9</v>
      </c>
      <c r="O588" s="3" t="n"/>
      <c r="P588" s="3">
        <f>IF(L588&lt;&gt;"",L588/1.4,"")</f>
        <v/>
      </c>
      <c r="Q588" s="3">
        <f>IF(L588&lt;&gt;"",L588/1.56,"")</f>
        <v/>
      </c>
      <c r="R588" s="3">
        <f>IF(M588&lt;&gt;"",M588/1.4,"")</f>
        <v/>
      </c>
      <c r="S588" s="3">
        <f>IF(M588&lt;&gt;"",M588/1.56,"")</f>
        <v/>
      </c>
      <c r="T588" s="3">
        <f>IF(N588&lt;&gt;"",N588,IF(O588&lt;&gt;"",O588,IF(L588&lt;&gt;"",L588/1.56,IF(M588&lt;&gt;"",M588/1.56,""))))</f>
        <v/>
      </c>
      <c r="U588" s="3" t="n">
        <v>173</v>
      </c>
      <c r="V588" s="3" t="n">
        <v>104</v>
      </c>
      <c r="W588" s="3" t="n"/>
      <c r="X588" s="4" t="n"/>
      <c r="Y588" s="5" t="n">
        <v>0.603</v>
      </c>
      <c r="Z588" s="4">
        <f>IF(L588&lt;&gt;"",SQRT(3)*G588*L588/1000,"")</f>
        <v/>
      </c>
      <c r="AA588" t="inlineStr">
        <is>
          <t>Source=Copeland 2D/3D/4D/4R/6D/8D/9R compressors (pdf) p19; PWS_RLA=16.5</t>
        </is>
      </c>
      <c r="AB588" t="inlineStr">
        <is>
          <t>Copeland_RLA_230_460_3ph_60Hz.xlsx</t>
        </is>
      </c>
      <c r="AC588" t="inlineStr">
        <is>
          <t>Recip_2D-9R</t>
        </is>
      </c>
    </row>
    <row r="589">
      <c r="A589" t="inlineStr">
        <is>
          <t>COPELAND</t>
        </is>
      </c>
      <c r="B589" t="inlineStr">
        <is>
          <t>4DJ1A2000-TSK</t>
        </is>
      </c>
      <c r="D589" t="inlineStr">
        <is>
          <t>Reciprocating Semi-hermetic</t>
        </is>
      </c>
      <c r="E589" s="2" t="n">
        <v>3</v>
      </c>
      <c r="F589" s="2" t="n">
        <v>60</v>
      </c>
      <c r="G589" s="2" t="n">
        <v>230</v>
      </c>
      <c r="H589" t="inlineStr">
        <is>
          <t>208/230</t>
        </is>
      </c>
      <c r="I589" s="2" t="n">
        <v>208</v>
      </c>
      <c r="J589" s="2" t="n">
        <v>230</v>
      </c>
      <c r="L589" s="3" t="n"/>
      <c r="M589" s="3" t="n"/>
      <c r="N589" s="3" t="n">
        <v>71.40000000000001</v>
      </c>
      <c r="O589" s="3" t="n"/>
      <c r="P589" s="3">
        <f>IF(L589&lt;&gt;"",L589/1.4,"")</f>
        <v/>
      </c>
      <c r="Q589" s="3">
        <f>IF(L589&lt;&gt;"",L589/1.56,"")</f>
        <v/>
      </c>
      <c r="R589" s="3">
        <f>IF(M589&lt;&gt;"",M589/1.4,"")</f>
        <v/>
      </c>
      <c r="S589" s="3">
        <f>IF(M589&lt;&gt;"",M589/1.56,"")</f>
        <v/>
      </c>
      <c r="T589" s="3">
        <f>IF(N589&lt;&gt;"",N589,IF(O589&lt;&gt;"",O589,IF(L589&lt;&gt;"",L589/1.56,IF(M589&lt;&gt;"",M589/1.56,""))))</f>
        <v/>
      </c>
      <c r="U589" s="3" t="n">
        <v>346</v>
      </c>
      <c r="V589" s="3" t="n">
        <v>208</v>
      </c>
      <c r="W589" s="3" t="n"/>
      <c r="X589" s="4" t="n"/>
      <c r="Y589" s="5" t="n">
        <v>0.142</v>
      </c>
      <c r="Z589" s="4">
        <f>IF(L589&lt;&gt;"",SQRT(3)*G589*L589/1000,"")</f>
        <v/>
      </c>
      <c r="AA589" t="inlineStr">
        <is>
          <t>Source=Copeland 2D/3D/4D/4R/6D/8D/9R compressors (pdf) p19; PWS_RLA=35.7</t>
        </is>
      </c>
      <c r="AB589" t="inlineStr">
        <is>
          <t>Copeland_RLA_230_460_3ph_60Hz.xlsx</t>
        </is>
      </c>
      <c r="AC589" t="inlineStr">
        <is>
          <t>Recip_2D-9R</t>
        </is>
      </c>
    </row>
    <row r="590">
      <c r="A590" t="inlineStr">
        <is>
          <t>COPELAND</t>
        </is>
      </c>
      <c r="B590" t="inlineStr">
        <is>
          <t>4DJ1A2000-TSK</t>
        </is>
      </c>
      <c r="D590" t="inlineStr">
        <is>
          <t>Reciprocating Semi-hermetic</t>
        </is>
      </c>
      <c r="E590" s="2" t="n">
        <v>3</v>
      </c>
      <c r="F590" s="2" t="n">
        <v>60</v>
      </c>
      <c r="G590" s="2" t="n">
        <v>460</v>
      </c>
      <c r="H590" t="inlineStr">
        <is>
          <t>460</t>
        </is>
      </c>
      <c r="I590" s="2" t="n">
        <v>460</v>
      </c>
      <c r="J590" s="2" t="n">
        <v>460</v>
      </c>
      <c r="L590" s="3" t="n"/>
      <c r="M590" s="3" t="n"/>
      <c r="N590" s="3" t="n">
        <v>35.7</v>
      </c>
      <c r="O590" s="3" t="n"/>
      <c r="P590" s="3">
        <f>IF(L590&lt;&gt;"",L590/1.4,"")</f>
        <v/>
      </c>
      <c r="Q590" s="3">
        <f>IF(L590&lt;&gt;"",L590/1.56,"")</f>
        <v/>
      </c>
      <c r="R590" s="3">
        <f>IF(M590&lt;&gt;"",M590/1.4,"")</f>
        <v/>
      </c>
      <c r="S590" s="3">
        <f>IF(M590&lt;&gt;"",M590/1.56,"")</f>
        <v/>
      </c>
      <c r="T590" s="3">
        <f>IF(N590&lt;&gt;"",N590,IF(O590&lt;&gt;"",O590,IF(L590&lt;&gt;"",L590/1.56,IF(M590&lt;&gt;"",M590/1.56,""))))</f>
        <v/>
      </c>
      <c r="U590" s="3" t="n">
        <v>173</v>
      </c>
      <c r="V590" s="3" t="n"/>
      <c r="W590" s="3" t="n"/>
      <c r="X590" s="4" t="n"/>
      <c r="Y590" s="5" t="n">
        <v>0.5679999999999999</v>
      </c>
      <c r="Z590" s="4">
        <f>IF(L590&lt;&gt;"",SQRT(3)*G590*L590/1000,"")</f>
        <v/>
      </c>
      <c r="AA590" t="inlineStr">
        <is>
          <t>Source=Copeland 2D/3D/4D/4R/6D/8D/9R compressors (pdf) p20</t>
        </is>
      </c>
      <c r="AB590" t="inlineStr">
        <is>
          <t>Copeland_RLA_230_460_3ph_60Hz.xlsx</t>
        </is>
      </c>
      <c r="AC590" t="inlineStr">
        <is>
          <t>Recip_2D-9R</t>
        </is>
      </c>
    </row>
    <row r="591">
      <c r="A591" t="inlineStr">
        <is>
          <t>COPELAND</t>
        </is>
      </c>
      <c r="B591" t="inlineStr">
        <is>
          <t>4DJ1A3000-FSD</t>
        </is>
      </c>
      <c r="D591" t="inlineStr">
        <is>
          <t>Reciprocating Semi-hermetic</t>
        </is>
      </c>
      <c r="E591" s="2" t="n">
        <v>3</v>
      </c>
      <c r="F591" s="2" t="n">
        <v>60</v>
      </c>
      <c r="G591" s="2" t="n">
        <v>460</v>
      </c>
      <c r="H591" t="inlineStr">
        <is>
          <t>460</t>
        </is>
      </c>
      <c r="I591" s="2" t="n">
        <v>460</v>
      </c>
      <c r="J591" s="2" t="n">
        <v>460</v>
      </c>
      <c r="L591" s="3" t="n"/>
      <c r="M591" s="3" t="n"/>
      <c r="N591" s="3" t="n">
        <v>59</v>
      </c>
      <c r="O591" s="3" t="n"/>
      <c r="P591" s="3">
        <f>IF(L591&lt;&gt;"",L591/1.4,"")</f>
        <v/>
      </c>
      <c r="Q591" s="3">
        <f>IF(L591&lt;&gt;"",L591/1.56,"")</f>
        <v/>
      </c>
      <c r="R591" s="3">
        <f>IF(M591&lt;&gt;"",M591/1.4,"")</f>
        <v/>
      </c>
      <c r="S591" s="3">
        <f>IF(M591&lt;&gt;"",M591/1.56,"")</f>
        <v/>
      </c>
      <c r="T591" s="3">
        <f>IF(N591&lt;&gt;"",N591,IF(O591&lt;&gt;"",O591,IF(L591&lt;&gt;"",L591/1.56,IF(M591&lt;&gt;"",M591/1.56,""))))</f>
        <v/>
      </c>
      <c r="U591" s="3" t="n">
        <v>235</v>
      </c>
      <c r="V591" s="3" t="n">
        <v>141</v>
      </c>
      <c r="W591" s="3" t="n"/>
      <c r="X591" s="4" t="n"/>
      <c r="Y591" s="5" t="n">
        <v>0.45</v>
      </c>
      <c r="Z591" s="4">
        <f>IF(L591&lt;&gt;"",SQRT(3)*G591*L591/1000,"")</f>
        <v/>
      </c>
      <c r="AA591" t="inlineStr">
        <is>
          <t>Source=Copeland 2D/3D/4D/4R/6D/8D/9R compressors (pdf) p20; PWS_RLA=29.5</t>
        </is>
      </c>
      <c r="AB591" t="inlineStr">
        <is>
          <t>Copeland_RLA_230_460_3ph_60Hz.xlsx</t>
        </is>
      </c>
      <c r="AC591" t="inlineStr">
        <is>
          <t>Recip_2D-9R</t>
        </is>
      </c>
    </row>
    <row r="592">
      <c r="A592" t="inlineStr">
        <is>
          <t>COPELAND</t>
        </is>
      </c>
      <c r="B592" t="inlineStr">
        <is>
          <t>4DJ1A3000-TSK</t>
        </is>
      </c>
      <c r="D592" t="inlineStr">
        <is>
          <t>Reciprocating Semi-hermetic</t>
        </is>
      </c>
      <c r="E592" s="2" t="n">
        <v>3</v>
      </c>
      <c r="F592" s="2" t="n">
        <v>60</v>
      </c>
      <c r="G592" s="2" t="n">
        <v>230</v>
      </c>
      <c r="H592" t="inlineStr">
        <is>
          <t>208/230</t>
        </is>
      </c>
      <c r="I592" s="2" t="n">
        <v>208</v>
      </c>
      <c r="J592" s="2" t="n">
        <v>230</v>
      </c>
      <c r="L592" s="3" t="n"/>
      <c r="M592" s="3" t="n"/>
      <c r="N592" s="3" t="n">
        <v>117.9</v>
      </c>
      <c r="O592" s="3" t="n"/>
      <c r="P592" s="3">
        <f>IF(L592&lt;&gt;"",L592/1.4,"")</f>
        <v/>
      </c>
      <c r="Q592" s="3">
        <f>IF(L592&lt;&gt;"",L592/1.56,"")</f>
        <v/>
      </c>
      <c r="R592" s="3">
        <f>IF(M592&lt;&gt;"",M592/1.4,"")</f>
        <v/>
      </c>
      <c r="S592" s="3">
        <f>IF(M592&lt;&gt;"",M592/1.56,"")</f>
        <v/>
      </c>
      <c r="T592" s="3">
        <f>IF(N592&lt;&gt;"",N592,IF(O592&lt;&gt;"",O592,IF(L592&lt;&gt;"",L592/1.56,IF(M592&lt;&gt;"",M592/1.56,""))))</f>
        <v/>
      </c>
      <c r="U592" s="3" t="n">
        <v>470</v>
      </c>
      <c r="V592" s="3" t="n">
        <v>292</v>
      </c>
      <c r="W592" s="3" t="n"/>
      <c r="X592" s="4" t="n"/>
      <c r="Y592" s="5" t="n">
        <v>0.111</v>
      </c>
      <c r="Z592" s="4">
        <f>IF(L592&lt;&gt;"",SQRT(3)*G592*L592/1000,"")</f>
        <v/>
      </c>
      <c r="AA592" t="inlineStr">
        <is>
          <t>Source=Copeland 2D/3D/4D/4R/6D/8D/9R compressors (pdf) p20; PWS_RLA=59.0</t>
        </is>
      </c>
      <c r="AB592" t="inlineStr">
        <is>
          <t>Copeland_RLA_230_460_3ph_60Hz.xlsx</t>
        </is>
      </c>
      <c r="AC592" t="inlineStr">
        <is>
          <t>Recip_2D-9R</t>
        </is>
      </c>
    </row>
    <row r="593">
      <c r="A593" t="inlineStr">
        <is>
          <t>COPELAND</t>
        </is>
      </c>
      <c r="B593" t="inlineStr">
        <is>
          <t>4DJ1A3000-TSK</t>
        </is>
      </c>
      <c r="D593" t="inlineStr">
        <is>
          <t>Reciprocating Semi-hermetic</t>
        </is>
      </c>
      <c r="E593" s="2" t="n">
        <v>3</v>
      </c>
      <c r="F593" s="2" t="n">
        <v>60</v>
      </c>
      <c r="G593" s="2" t="n">
        <v>460</v>
      </c>
      <c r="H593" t="inlineStr">
        <is>
          <t>460</t>
        </is>
      </c>
      <c r="I593" s="2" t="n">
        <v>460</v>
      </c>
      <c r="J593" s="2" t="n">
        <v>460</v>
      </c>
      <c r="L593" s="3" t="n"/>
      <c r="M593" s="3" t="n"/>
      <c r="N593" s="3" t="n">
        <v>58.9</v>
      </c>
      <c r="O593" s="3" t="n"/>
      <c r="P593" s="3">
        <f>IF(L593&lt;&gt;"",L593/1.4,"")</f>
        <v/>
      </c>
      <c r="Q593" s="3">
        <f>IF(L593&lt;&gt;"",L593/1.56,"")</f>
        <v/>
      </c>
      <c r="R593" s="3">
        <f>IF(M593&lt;&gt;"",M593/1.4,"")</f>
        <v/>
      </c>
      <c r="S593" s="3">
        <f>IF(M593&lt;&gt;"",M593/1.56,"")</f>
        <v/>
      </c>
      <c r="T593" s="3">
        <f>IF(N593&lt;&gt;"",N593,IF(O593&lt;&gt;"",O593,IF(L593&lt;&gt;"",L593/1.56,IF(M593&lt;&gt;"",M593/1.56,""))))</f>
        <v/>
      </c>
      <c r="U593" s="3" t="n">
        <v>235</v>
      </c>
      <c r="V593" s="3" t="n"/>
      <c r="W593" s="3" t="n"/>
      <c r="X593" s="4" t="n"/>
      <c r="Y593" s="5" t="n">
        <v>0.444</v>
      </c>
      <c r="Z593" s="4">
        <f>IF(L593&lt;&gt;"",SQRT(3)*G593*L593/1000,"")</f>
        <v/>
      </c>
      <c r="AA593" t="inlineStr">
        <is>
          <t>Source=Copeland 2D/3D/4D/4R/6D/8D/9R compressors (pdf) p20</t>
        </is>
      </c>
      <c r="AB593" t="inlineStr">
        <is>
          <t>Copeland_RLA_230_460_3ph_60Hz.xlsx</t>
        </is>
      </c>
      <c r="AC593" t="inlineStr">
        <is>
          <t>Recip_2D-9R</t>
        </is>
      </c>
    </row>
    <row r="594">
      <c r="A594" t="inlineStr">
        <is>
          <t>COPELAND</t>
        </is>
      </c>
      <c r="B594" t="inlineStr">
        <is>
          <t>4DJ1A3000-TXK</t>
        </is>
      </c>
      <c r="D594" t="inlineStr">
        <is>
          <t>Reciprocating Semi-hermetic</t>
        </is>
      </c>
      <c r="E594" s="2" t="n">
        <v>3</v>
      </c>
      <c r="F594" s="2" t="n">
        <v>60</v>
      </c>
      <c r="G594" s="2" t="n">
        <v>230</v>
      </c>
      <c r="H594" t="inlineStr">
        <is>
          <t>208/230</t>
        </is>
      </c>
      <c r="I594" s="2" t="n">
        <v>208</v>
      </c>
      <c r="J594" s="2" t="n">
        <v>230</v>
      </c>
      <c r="L594" s="3" t="n"/>
      <c r="M594" s="3" t="n"/>
      <c r="N594" s="3" t="n"/>
      <c r="O594" s="3" t="n"/>
      <c r="P594" s="3">
        <f>IF(L594&lt;&gt;"",L594/1.4,"")</f>
        <v/>
      </c>
      <c r="Q594" s="3">
        <f>IF(L594&lt;&gt;"",L594/1.56,"")</f>
        <v/>
      </c>
      <c r="R594" s="3">
        <f>IF(M594&lt;&gt;"",M594/1.4,"")</f>
        <v/>
      </c>
      <c r="S594" s="3">
        <f>IF(M594&lt;&gt;"",M594/1.56,"")</f>
        <v/>
      </c>
      <c r="T594" s="3">
        <f>IF(N594&lt;&gt;"",N594,IF(O594&lt;&gt;"",O594,IF(L594&lt;&gt;"",L594/1.56,IF(M594&lt;&gt;"",M594/1.56,""))))</f>
        <v/>
      </c>
      <c r="U594" s="3" t="n">
        <v>470</v>
      </c>
      <c r="V594" s="3" t="n">
        <v>292</v>
      </c>
      <c r="W594" s="3" t="n"/>
      <c r="X594" s="4" t="n"/>
      <c r="Y594" s="5" t="n">
        <v>0.111</v>
      </c>
      <c r="Z594" s="4">
        <f>IF(L594&lt;&gt;"",SQRT(3)*G594*L594/1000,"")</f>
        <v/>
      </c>
      <c r="AA594" t="inlineStr">
        <is>
          <t>Source=Copeland 2D/3D/4D/4R/6D/8D/9R compressors (pdf) p20</t>
        </is>
      </c>
      <c r="AB594" t="inlineStr">
        <is>
          <t>Copeland_RLA_230_460_3ph_60Hz.xlsx</t>
        </is>
      </c>
      <c r="AC594" t="inlineStr">
        <is>
          <t>Recip_2D-9R</t>
        </is>
      </c>
    </row>
    <row r="595">
      <c r="A595" t="inlineStr">
        <is>
          <t>COPELAND</t>
        </is>
      </c>
      <c r="B595" t="inlineStr">
        <is>
          <t>4DJ1A3000-TXK</t>
        </is>
      </c>
      <c r="D595" t="inlineStr">
        <is>
          <t>Reciprocating Semi-hermetic</t>
        </is>
      </c>
      <c r="E595" s="2" t="n">
        <v>3</v>
      </c>
      <c r="F595" s="2" t="n">
        <v>60</v>
      </c>
      <c r="G595" s="2" t="n">
        <v>460</v>
      </c>
      <c r="H595" t="inlineStr">
        <is>
          <t>460</t>
        </is>
      </c>
      <c r="I595" s="2" t="n">
        <v>460</v>
      </c>
      <c r="J595" s="2" t="n">
        <v>460</v>
      </c>
      <c r="L595" s="3" t="n"/>
      <c r="M595" s="3" t="n"/>
      <c r="N595" s="3" t="n"/>
      <c r="O595" s="3" t="n"/>
      <c r="P595" s="3">
        <f>IF(L595&lt;&gt;"",L595/1.4,"")</f>
        <v/>
      </c>
      <c r="Q595" s="3">
        <f>IF(L595&lt;&gt;"",L595/1.56,"")</f>
        <v/>
      </c>
      <c r="R595" s="3">
        <f>IF(M595&lt;&gt;"",M595/1.4,"")</f>
        <v/>
      </c>
      <c r="S595" s="3">
        <f>IF(M595&lt;&gt;"",M595/1.56,"")</f>
        <v/>
      </c>
      <c r="T595" s="3">
        <f>IF(N595&lt;&gt;"",N595,IF(O595&lt;&gt;"",O595,IF(L595&lt;&gt;"",L595/1.56,IF(M595&lt;&gt;"",M595/1.56,""))))</f>
        <v/>
      </c>
      <c r="U595" s="3" t="n">
        <v>235</v>
      </c>
      <c r="V595" s="3" t="n"/>
      <c r="W595" s="3" t="n"/>
      <c r="X595" s="4" t="n"/>
      <c r="Y595" s="5" t="n">
        <v>0.444</v>
      </c>
      <c r="Z595" s="4">
        <f>IF(L595&lt;&gt;"",SQRT(3)*G595*L595/1000,"")</f>
        <v/>
      </c>
      <c r="AA595" t="inlineStr">
        <is>
          <t>Source=Copeland 2D/3D/4D/4R/6D/8D/9R compressors (pdf) p20</t>
        </is>
      </c>
      <c r="AB595" t="inlineStr">
        <is>
          <t>Copeland_RLA_230_460_3ph_60Hz.xlsx</t>
        </is>
      </c>
      <c r="AC595" t="inlineStr">
        <is>
          <t>Recip_2D-9R</t>
        </is>
      </c>
    </row>
    <row r="596">
      <c r="A596" t="inlineStr">
        <is>
          <t>COPELAND</t>
        </is>
      </c>
      <c r="B596" t="inlineStr">
        <is>
          <t>4DJ1R28M0-TSK</t>
        </is>
      </c>
      <c r="D596" t="inlineStr">
        <is>
          <t>Reciprocating Semi-hermetic</t>
        </is>
      </c>
      <c r="E596" s="2" t="n">
        <v>3</v>
      </c>
      <c r="F596" s="2" t="n">
        <v>60</v>
      </c>
      <c r="G596" s="2" t="n">
        <v>230</v>
      </c>
      <c r="H596" t="inlineStr">
        <is>
          <t>208/230</t>
        </is>
      </c>
      <c r="I596" s="2" t="n">
        <v>208</v>
      </c>
      <c r="J596" s="2" t="n">
        <v>230</v>
      </c>
      <c r="L596" s="3" t="n"/>
      <c r="M596" s="3" t="n"/>
      <c r="N596" s="3" t="n">
        <v>117.9</v>
      </c>
      <c r="O596" s="3" t="n"/>
      <c r="P596" s="3">
        <f>IF(L596&lt;&gt;"",L596/1.4,"")</f>
        <v/>
      </c>
      <c r="Q596" s="3">
        <f>IF(L596&lt;&gt;"",L596/1.56,"")</f>
        <v/>
      </c>
      <c r="R596" s="3">
        <f>IF(M596&lt;&gt;"",M596/1.4,"")</f>
        <v/>
      </c>
      <c r="S596" s="3">
        <f>IF(M596&lt;&gt;"",M596/1.56,"")</f>
        <v/>
      </c>
      <c r="T596" s="3">
        <f>IF(N596&lt;&gt;"",N596,IF(O596&lt;&gt;"",O596,IF(L596&lt;&gt;"",L596/1.56,IF(M596&lt;&gt;"",M596/1.56,""))))</f>
        <v/>
      </c>
      <c r="U596" s="3" t="n">
        <v>470</v>
      </c>
      <c r="V596" s="3" t="n">
        <v>292</v>
      </c>
      <c r="W596" s="3" t="n"/>
      <c r="X596" s="4" t="n"/>
      <c r="Y596" s="5" t="n">
        <v>0.111</v>
      </c>
      <c r="Z596" s="4">
        <f>IF(L596&lt;&gt;"",SQRT(3)*G596*L596/1000,"")</f>
        <v/>
      </c>
      <c r="AA596" t="inlineStr">
        <is>
          <t>Source=Copeland 2D/3D/4D/4R/6D/8D/9R compressors (pdf) p20; PWS_RLA=59.0</t>
        </is>
      </c>
      <c r="AB596" t="inlineStr">
        <is>
          <t>Copeland_RLA_230_460_3ph_60Hz.xlsx</t>
        </is>
      </c>
      <c r="AC596" t="inlineStr">
        <is>
          <t>Recip_2D-9R</t>
        </is>
      </c>
    </row>
    <row r="597">
      <c r="A597" t="inlineStr">
        <is>
          <t>COPELAND</t>
        </is>
      </c>
      <c r="B597" t="inlineStr">
        <is>
          <t>4DJ1R28M0-TSK</t>
        </is>
      </c>
      <c r="D597" t="inlineStr">
        <is>
          <t>Reciprocating Semi-hermetic</t>
        </is>
      </c>
      <c r="E597" s="2" t="n">
        <v>3</v>
      </c>
      <c r="F597" s="2" t="n">
        <v>60</v>
      </c>
      <c r="G597" s="2" t="n">
        <v>460</v>
      </c>
      <c r="H597" t="inlineStr">
        <is>
          <t>460</t>
        </is>
      </c>
      <c r="I597" s="2" t="n">
        <v>460</v>
      </c>
      <c r="J597" s="2" t="n">
        <v>460</v>
      </c>
      <c r="L597" s="3" t="n"/>
      <c r="M597" s="3" t="n"/>
      <c r="N597" s="3" t="n">
        <v>58.9</v>
      </c>
      <c r="O597" s="3" t="n"/>
      <c r="P597" s="3">
        <f>IF(L597&lt;&gt;"",L597/1.4,"")</f>
        <v/>
      </c>
      <c r="Q597" s="3">
        <f>IF(L597&lt;&gt;"",L597/1.56,"")</f>
        <v/>
      </c>
      <c r="R597" s="3">
        <f>IF(M597&lt;&gt;"",M597/1.4,"")</f>
        <v/>
      </c>
      <c r="S597" s="3">
        <f>IF(M597&lt;&gt;"",M597/1.56,"")</f>
        <v/>
      </c>
      <c r="T597" s="3">
        <f>IF(N597&lt;&gt;"",N597,IF(O597&lt;&gt;"",O597,IF(L597&lt;&gt;"",L597/1.56,IF(M597&lt;&gt;"",M597/1.56,""))))</f>
        <v/>
      </c>
      <c r="U597" s="3" t="n">
        <v>235</v>
      </c>
      <c r="V597" s="3" t="n"/>
      <c r="W597" s="3" t="n"/>
      <c r="X597" s="4" t="n"/>
      <c r="Y597" s="5" t="n">
        <v>0.444</v>
      </c>
      <c r="Z597" s="4">
        <f>IF(L597&lt;&gt;"",SQRT(3)*G597*L597/1000,"")</f>
        <v/>
      </c>
      <c r="AA597" t="inlineStr">
        <is>
          <t>Source=Copeland 2D/3D/4D/4R/6D/8D/9R compressors (pdf) p20</t>
        </is>
      </c>
      <c r="AB597" t="inlineStr">
        <is>
          <t>Copeland_RLA_230_460_3ph_60Hz.xlsx</t>
        </is>
      </c>
      <c r="AC597" t="inlineStr">
        <is>
          <t>Recip_2D-9R</t>
        </is>
      </c>
    </row>
    <row r="598">
      <c r="A598" t="inlineStr">
        <is>
          <t>COPELAND</t>
        </is>
      </c>
      <c r="B598" t="inlineStr">
        <is>
          <t>4DJ2A2000-TSK</t>
        </is>
      </c>
      <c r="D598" t="inlineStr">
        <is>
          <t>Reciprocating Semi-hermetic</t>
        </is>
      </c>
      <c r="E598" s="2" t="n">
        <v>3</v>
      </c>
      <c r="F598" s="2" t="n">
        <v>60</v>
      </c>
      <c r="G598" s="2" t="n">
        <v>230</v>
      </c>
      <c r="H598" t="inlineStr">
        <is>
          <t>208/230</t>
        </is>
      </c>
      <c r="I598" s="2" t="n">
        <v>208</v>
      </c>
      <c r="J598" s="2" t="n">
        <v>230</v>
      </c>
      <c r="L598" s="3" t="n"/>
      <c r="M598" s="3" t="n"/>
      <c r="N598" s="3" t="n">
        <v>71.40000000000001</v>
      </c>
      <c r="O598" s="3" t="n"/>
      <c r="P598" s="3">
        <f>IF(L598&lt;&gt;"",L598/1.4,"")</f>
        <v/>
      </c>
      <c r="Q598" s="3">
        <f>IF(L598&lt;&gt;"",L598/1.56,"")</f>
        <v/>
      </c>
      <c r="R598" s="3">
        <f>IF(M598&lt;&gt;"",M598/1.4,"")</f>
        <v/>
      </c>
      <c r="S598" s="3">
        <f>IF(M598&lt;&gt;"",M598/1.56,"")</f>
        <v/>
      </c>
      <c r="T598" s="3">
        <f>IF(N598&lt;&gt;"",N598,IF(O598&lt;&gt;"",O598,IF(L598&lt;&gt;"",L598/1.56,IF(M598&lt;&gt;"",M598/1.56,""))))</f>
        <v/>
      </c>
      <c r="U598" s="3" t="n">
        <v>346</v>
      </c>
      <c r="V598" s="3" t="n">
        <v>208</v>
      </c>
      <c r="W598" s="3" t="n"/>
      <c r="X598" s="4" t="n"/>
      <c r="Y598" s="5" t="n">
        <v>0.142</v>
      </c>
      <c r="Z598" s="4">
        <f>IF(L598&lt;&gt;"",SQRT(3)*G598*L598/1000,"")</f>
        <v/>
      </c>
      <c r="AA598" t="inlineStr">
        <is>
          <t>Source=Copeland 2D/3D/4D/4R/6D/8D/9R compressors (pdf) p20; PWS_RLA=35.7</t>
        </is>
      </c>
      <c r="AB598" t="inlineStr">
        <is>
          <t>Copeland_RLA_230_460_3ph_60Hz.xlsx</t>
        </is>
      </c>
      <c r="AC598" t="inlineStr">
        <is>
          <t>Recip_2D-9R</t>
        </is>
      </c>
    </row>
    <row r="599">
      <c r="A599" t="inlineStr">
        <is>
          <t>COPELAND</t>
        </is>
      </c>
      <c r="B599" t="inlineStr">
        <is>
          <t>4DJ2A2000-TSK</t>
        </is>
      </c>
      <c r="D599" t="inlineStr">
        <is>
          <t>Reciprocating Semi-hermetic</t>
        </is>
      </c>
      <c r="E599" s="2" t="n">
        <v>3</v>
      </c>
      <c r="F599" s="2" t="n">
        <v>60</v>
      </c>
      <c r="G599" s="2" t="n">
        <v>460</v>
      </c>
      <c r="H599" t="inlineStr">
        <is>
          <t>460</t>
        </is>
      </c>
      <c r="I599" s="2" t="n">
        <v>460</v>
      </c>
      <c r="J599" s="2" t="n">
        <v>460</v>
      </c>
      <c r="L599" s="3" t="n"/>
      <c r="M599" s="3" t="n"/>
      <c r="N599" s="3" t="n">
        <v>35.7</v>
      </c>
      <c r="O599" s="3" t="n"/>
      <c r="P599" s="3">
        <f>IF(L599&lt;&gt;"",L599/1.4,"")</f>
        <v/>
      </c>
      <c r="Q599" s="3">
        <f>IF(L599&lt;&gt;"",L599/1.56,"")</f>
        <v/>
      </c>
      <c r="R599" s="3">
        <f>IF(M599&lt;&gt;"",M599/1.4,"")</f>
        <v/>
      </c>
      <c r="S599" s="3">
        <f>IF(M599&lt;&gt;"",M599/1.56,"")</f>
        <v/>
      </c>
      <c r="T599" s="3">
        <f>IF(N599&lt;&gt;"",N599,IF(O599&lt;&gt;"",O599,IF(L599&lt;&gt;"",L599/1.56,IF(M599&lt;&gt;"",M599/1.56,""))))</f>
        <v/>
      </c>
      <c r="U599" s="3" t="n">
        <v>173</v>
      </c>
      <c r="V599" s="3" t="n"/>
      <c r="W599" s="3" t="n"/>
      <c r="X599" s="4" t="n"/>
      <c r="Y599" s="5" t="n">
        <v>0.5679999999999999</v>
      </c>
      <c r="Z599" s="4">
        <f>IF(L599&lt;&gt;"",SQRT(3)*G599*L599/1000,"")</f>
        <v/>
      </c>
      <c r="AA599" t="inlineStr">
        <is>
          <t>Source=Copeland 2D/3D/4D/4R/6D/8D/9R compressors (pdf) p20</t>
        </is>
      </c>
      <c r="AB599" t="inlineStr">
        <is>
          <t>Copeland_RLA_230_460_3ph_60Hz.xlsx</t>
        </is>
      </c>
      <c r="AC599" t="inlineStr">
        <is>
          <t>Recip_2D-9R</t>
        </is>
      </c>
    </row>
    <row r="600">
      <c r="A600" t="inlineStr">
        <is>
          <t>COPELAND</t>
        </is>
      </c>
      <c r="B600" t="inlineStr">
        <is>
          <t>4DJ2A3000-TSK</t>
        </is>
      </c>
      <c r="D600" t="inlineStr">
        <is>
          <t>Reciprocating Semi-hermetic</t>
        </is>
      </c>
      <c r="E600" s="2" t="n">
        <v>3</v>
      </c>
      <c r="F600" s="2" t="n">
        <v>60</v>
      </c>
      <c r="G600" s="2" t="n">
        <v>230</v>
      </c>
      <c r="H600" t="inlineStr">
        <is>
          <t>208/230</t>
        </is>
      </c>
      <c r="I600" s="2" t="n">
        <v>208</v>
      </c>
      <c r="J600" s="2" t="n">
        <v>230</v>
      </c>
      <c r="L600" s="3" t="n"/>
      <c r="M600" s="3" t="n"/>
      <c r="N600" s="3" t="n">
        <v>117.9</v>
      </c>
      <c r="O600" s="3" t="n"/>
      <c r="P600" s="3">
        <f>IF(L600&lt;&gt;"",L600/1.4,"")</f>
        <v/>
      </c>
      <c r="Q600" s="3">
        <f>IF(L600&lt;&gt;"",L600/1.56,"")</f>
        <v/>
      </c>
      <c r="R600" s="3">
        <f>IF(M600&lt;&gt;"",M600/1.4,"")</f>
        <v/>
      </c>
      <c r="S600" s="3">
        <f>IF(M600&lt;&gt;"",M600/1.56,"")</f>
        <v/>
      </c>
      <c r="T600" s="3">
        <f>IF(N600&lt;&gt;"",N600,IF(O600&lt;&gt;"",O600,IF(L600&lt;&gt;"",L600/1.56,IF(M600&lt;&gt;"",M600/1.56,""))))</f>
        <v/>
      </c>
      <c r="U600" s="3" t="n">
        <v>470</v>
      </c>
      <c r="V600" s="3" t="n">
        <v>292</v>
      </c>
      <c r="W600" s="3" t="n"/>
      <c r="X600" s="4" t="n"/>
      <c r="Y600" s="5" t="n">
        <v>0.111</v>
      </c>
      <c r="Z600" s="4">
        <f>IF(L600&lt;&gt;"",SQRT(3)*G600*L600/1000,"")</f>
        <v/>
      </c>
      <c r="AA600" t="inlineStr">
        <is>
          <t>Source=Copeland 2D/3D/4D/4R/6D/8D/9R compressors (pdf) p20; PWS_RLA=59.0</t>
        </is>
      </c>
      <c r="AB600" t="inlineStr">
        <is>
          <t>Copeland_RLA_230_460_3ph_60Hz.xlsx</t>
        </is>
      </c>
      <c r="AC600" t="inlineStr">
        <is>
          <t>Recip_2D-9R</t>
        </is>
      </c>
    </row>
    <row r="601">
      <c r="A601" t="inlineStr">
        <is>
          <t>COPELAND</t>
        </is>
      </c>
      <c r="B601" t="inlineStr">
        <is>
          <t>4DJ2A3000-TSK</t>
        </is>
      </c>
      <c r="D601" t="inlineStr">
        <is>
          <t>Reciprocating Semi-hermetic</t>
        </is>
      </c>
      <c r="E601" s="2" t="n">
        <v>3</v>
      </c>
      <c r="F601" s="2" t="n">
        <v>60</v>
      </c>
      <c r="G601" s="2" t="n">
        <v>460</v>
      </c>
      <c r="H601" t="inlineStr">
        <is>
          <t>460</t>
        </is>
      </c>
      <c r="I601" s="2" t="n">
        <v>460</v>
      </c>
      <c r="J601" s="2" t="n">
        <v>460</v>
      </c>
      <c r="L601" s="3" t="n"/>
      <c r="M601" s="3" t="n"/>
      <c r="N601" s="3" t="n">
        <v>58.9</v>
      </c>
      <c r="O601" s="3" t="n"/>
      <c r="P601" s="3">
        <f>IF(L601&lt;&gt;"",L601/1.4,"")</f>
        <v/>
      </c>
      <c r="Q601" s="3">
        <f>IF(L601&lt;&gt;"",L601/1.56,"")</f>
        <v/>
      </c>
      <c r="R601" s="3">
        <f>IF(M601&lt;&gt;"",M601/1.4,"")</f>
        <v/>
      </c>
      <c r="S601" s="3">
        <f>IF(M601&lt;&gt;"",M601/1.56,"")</f>
        <v/>
      </c>
      <c r="T601" s="3">
        <f>IF(N601&lt;&gt;"",N601,IF(O601&lt;&gt;"",O601,IF(L601&lt;&gt;"",L601/1.56,IF(M601&lt;&gt;"",M601/1.56,""))))</f>
        <v/>
      </c>
      <c r="U601" s="3" t="n">
        <v>235</v>
      </c>
      <c r="V601" s="3" t="n"/>
      <c r="W601" s="3" t="n"/>
      <c r="X601" s="4" t="n"/>
      <c r="Y601" s="5" t="n">
        <v>0.444</v>
      </c>
      <c r="Z601" s="4">
        <f>IF(L601&lt;&gt;"",SQRT(3)*G601*L601/1000,"")</f>
        <v/>
      </c>
      <c r="AA601" t="inlineStr">
        <is>
          <t>Source=Copeland 2D/3D/4D/4R/6D/8D/9R compressors (pdf) p20</t>
        </is>
      </c>
      <c r="AB601" t="inlineStr">
        <is>
          <t>Copeland_RLA_230_460_3ph_60Hz.xlsx</t>
        </is>
      </c>
      <c r="AC601" t="inlineStr">
        <is>
          <t>Recip_2D-9R</t>
        </is>
      </c>
    </row>
    <row r="602">
      <c r="A602" t="inlineStr">
        <is>
          <t>COPELAND</t>
        </is>
      </c>
      <c r="B602" t="inlineStr">
        <is>
          <t>4DJ2R28M0-TSK</t>
        </is>
      </c>
      <c r="D602" t="inlineStr">
        <is>
          <t>Reciprocating Semi-hermetic</t>
        </is>
      </c>
      <c r="E602" s="2" t="n">
        <v>3</v>
      </c>
      <c r="F602" s="2" t="n">
        <v>60</v>
      </c>
      <c r="G602" s="2" t="n">
        <v>230</v>
      </c>
      <c r="H602" t="inlineStr">
        <is>
          <t>208/230</t>
        </is>
      </c>
      <c r="I602" s="2" t="n">
        <v>208</v>
      </c>
      <c r="J602" s="2" t="n">
        <v>230</v>
      </c>
      <c r="L602" s="3" t="n"/>
      <c r="M602" s="3" t="n"/>
      <c r="N602" s="3" t="n">
        <v>117.9</v>
      </c>
      <c r="O602" s="3" t="n"/>
      <c r="P602" s="3">
        <f>IF(L602&lt;&gt;"",L602/1.4,"")</f>
        <v/>
      </c>
      <c r="Q602" s="3">
        <f>IF(L602&lt;&gt;"",L602/1.56,"")</f>
        <v/>
      </c>
      <c r="R602" s="3">
        <f>IF(M602&lt;&gt;"",M602/1.4,"")</f>
        <v/>
      </c>
      <c r="S602" s="3">
        <f>IF(M602&lt;&gt;"",M602/1.56,"")</f>
        <v/>
      </c>
      <c r="T602" s="3">
        <f>IF(N602&lt;&gt;"",N602,IF(O602&lt;&gt;"",O602,IF(L602&lt;&gt;"",L602/1.56,IF(M602&lt;&gt;"",M602/1.56,""))))</f>
        <v/>
      </c>
      <c r="U602" s="3" t="n">
        <v>470</v>
      </c>
      <c r="V602" s="3" t="n">
        <v>292</v>
      </c>
      <c r="W602" s="3" t="n"/>
      <c r="X602" s="4" t="n"/>
      <c r="Y602" s="5" t="n">
        <v>0.111</v>
      </c>
      <c r="Z602" s="4">
        <f>IF(L602&lt;&gt;"",SQRT(3)*G602*L602/1000,"")</f>
        <v/>
      </c>
      <c r="AA602" t="inlineStr">
        <is>
          <t>Source=Copeland 2D/3D/4D/4R/6D/8D/9R compressors (pdf) p20; PWS_RLA=59.0</t>
        </is>
      </c>
      <c r="AB602" t="inlineStr">
        <is>
          <t>Copeland_RLA_230_460_3ph_60Hz.xlsx</t>
        </is>
      </c>
      <c r="AC602" t="inlineStr">
        <is>
          <t>Recip_2D-9R</t>
        </is>
      </c>
    </row>
    <row r="603">
      <c r="A603" t="inlineStr">
        <is>
          <t>COPELAND</t>
        </is>
      </c>
      <c r="B603" t="inlineStr">
        <is>
          <t>4DJ2R28M0-TSK</t>
        </is>
      </c>
      <c r="D603" t="inlineStr">
        <is>
          <t>Reciprocating Semi-hermetic</t>
        </is>
      </c>
      <c r="E603" s="2" t="n">
        <v>3</v>
      </c>
      <c r="F603" s="2" t="n">
        <v>60</v>
      </c>
      <c r="G603" s="2" t="n">
        <v>460</v>
      </c>
      <c r="H603" t="inlineStr">
        <is>
          <t>460</t>
        </is>
      </c>
      <c r="I603" s="2" t="n">
        <v>460</v>
      </c>
      <c r="J603" s="2" t="n">
        <v>460</v>
      </c>
      <c r="L603" s="3" t="n"/>
      <c r="M603" s="3" t="n"/>
      <c r="N603" s="3" t="n">
        <v>58.9</v>
      </c>
      <c r="O603" s="3" t="n"/>
      <c r="P603" s="3">
        <f>IF(L603&lt;&gt;"",L603/1.4,"")</f>
        <v/>
      </c>
      <c r="Q603" s="3">
        <f>IF(L603&lt;&gt;"",L603/1.56,"")</f>
        <v/>
      </c>
      <c r="R603" s="3">
        <f>IF(M603&lt;&gt;"",M603/1.4,"")</f>
        <v/>
      </c>
      <c r="S603" s="3">
        <f>IF(M603&lt;&gt;"",M603/1.56,"")</f>
        <v/>
      </c>
      <c r="T603" s="3">
        <f>IF(N603&lt;&gt;"",N603,IF(O603&lt;&gt;"",O603,IF(L603&lt;&gt;"",L603/1.56,IF(M603&lt;&gt;"",M603/1.56,""))))</f>
        <v/>
      </c>
      <c r="U603" s="3" t="n">
        <v>235</v>
      </c>
      <c r="V603" s="3" t="n"/>
      <c r="W603" s="3" t="n"/>
      <c r="X603" s="4" t="n"/>
      <c r="Y603" s="5" t="n">
        <v>0.444</v>
      </c>
      <c r="Z603" s="4">
        <f>IF(L603&lt;&gt;"",SQRT(3)*G603*L603/1000,"")</f>
        <v/>
      </c>
      <c r="AA603" t="inlineStr">
        <is>
          <t>Source=Copeland 2D/3D/4D/4R/6D/8D/9R compressors (pdf) p20</t>
        </is>
      </c>
      <c r="AB603" t="inlineStr">
        <is>
          <t>Copeland_RLA_230_460_3ph_60Hz.xlsx</t>
        </is>
      </c>
      <c r="AC603" t="inlineStr">
        <is>
          <t>Recip_2D-9R</t>
        </is>
      </c>
    </row>
    <row r="604">
      <c r="A604" t="inlineStr">
        <is>
          <t>COPELAND</t>
        </is>
      </c>
      <c r="B604" t="inlineStr">
        <is>
          <t>4DJ3A200E-TSK</t>
        </is>
      </c>
      <c r="D604" t="inlineStr">
        <is>
          <t>Reciprocating Semi-hermetic</t>
        </is>
      </c>
      <c r="E604" s="2" t="n">
        <v>3</v>
      </c>
      <c r="F604" s="2" t="n">
        <v>60</v>
      </c>
      <c r="G604" s="2" t="n">
        <v>230</v>
      </c>
      <c r="H604" t="inlineStr">
        <is>
          <t>208/230</t>
        </is>
      </c>
      <c r="I604" s="2" t="n">
        <v>208</v>
      </c>
      <c r="J604" s="2" t="n">
        <v>230</v>
      </c>
      <c r="L604" s="3" t="n"/>
      <c r="M604" s="3" t="n"/>
      <c r="N604" s="3" t="n">
        <v>66</v>
      </c>
      <c r="O604" s="3" t="n"/>
      <c r="P604" s="3">
        <f>IF(L604&lt;&gt;"",L604/1.4,"")</f>
        <v/>
      </c>
      <c r="Q604" s="3">
        <f>IF(L604&lt;&gt;"",L604/1.56,"")</f>
        <v/>
      </c>
      <c r="R604" s="3">
        <f>IF(M604&lt;&gt;"",M604/1.4,"")</f>
        <v/>
      </c>
      <c r="S604" s="3">
        <f>IF(M604&lt;&gt;"",M604/1.56,"")</f>
        <v/>
      </c>
      <c r="T604" s="3">
        <f>IF(N604&lt;&gt;"",N604,IF(O604&lt;&gt;"",O604,IF(L604&lt;&gt;"",L604/1.56,IF(M604&lt;&gt;"",M604/1.56,""))))</f>
        <v/>
      </c>
      <c r="U604" s="3" t="n">
        <v>346</v>
      </c>
      <c r="V604" s="3" t="n">
        <v>208</v>
      </c>
      <c r="W604" s="3" t="n"/>
      <c r="X604" s="4" t="n"/>
      <c r="Y604" s="5" t="n">
        <v>0.142</v>
      </c>
      <c r="Z604" s="4">
        <f>IF(L604&lt;&gt;"",SQRT(3)*G604*L604/1000,"")</f>
        <v/>
      </c>
      <c r="AA604" t="inlineStr">
        <is>
          <t>Source=Copeland 2D/3D/4D/4R/6D/8D/9R compressors (pdf) p20; PWS_RLA=33.0</t>
        </is>
      </c>
      <c r="AB604" t="inlineStr">
        <is>
          <t>Copeland_RLA_230_460_3ph_60Hz.xlsx</t>
        </is>
      </c>
      <c r="AC604" t="inlineStr">
        <is>
          <t>Recip_2D-9R</t>
        </is>
      </c>
    </row>
    <row r="605">
      <c r="A605" t="inlineStr">
        <is>
          <t>COPELAND</t>
        </is>
      </c>
      <c r="B605" t="inlineStr">
        <is>
          <t>4DJ3A200E-TSK</t>
        </is>
      </c>
      <c r="D605" t="inlineStr">
        <is>
          <t>Reciprocating Semi-hermetic</t>
        </is>
      </c>
      <c r="E605" s="2" t="n">
        <v>3</v>
      </c>
      <c r="F605" s="2" t="n">
        <v>60</v>
      </c>
      <c r="G605" s="2" t="n">
        <v>460</v>
      </c>
      <c r="H605" t="inlineStr">
        <is>
          <t>460</t>
        </is>
      </c>
      <c r="I605" s="2" t="n">
        <v>460</v>
      </c>
      <c r="J605" s="2" t="n">
        <v>460</v>
      </c>
      <c r="L605" s="3" t="n"/>
      <c r="M605" s="3" t="n"/>
      <c r="N605" s="3" t="n">
        <v>33</v>
      </c>
      <c r="O605" s="3" t="n"/>
      <c r="P605" s="3">
        <f>IF(L605&lt;&gt;"",L605/1.4,"")</f>
        <v/>
      </c>
      <c r="Q605" s="3">
        <f>IF(L605&lt;&gt;"",L605/1.56,"")</f>
        <v/>
      </c>
      <c r="R605" s="3">
        <f>IF(M605&lt;&gt;"",M605/1.4,"")</f>
        <v/>
      </c>
      <c r="S605" s="3">
        <f>IF(M605&lt;&gt;"",M605/1.56,"")</f>
        <v/>
      </c>
      <c r="T605" s="3">
        <f>IF(N605&lt;&gt;"",N605,IF(O605&lt;&gt;"",O605,IF(L605&lt;&gt;"",L605/1.56,IF(M605&lt;&gt;"",M605/1.56,""))))</f>
        <v/>
      </c>
      <c r="U605" s="3" t="n">
        <v>173</v>
      </c>
      <c r="V605" s="3" t="n"/>
      <c r="W605" s="3" t="n"/>
      <c r="X605" s="4" t="n"/>
      <c r="Y605" s="5" t="n">
        <v>0.5679999999999999</v>
      </c>
      <c r="Z605" s="4">
        <f>IF(L605&lt;&gt;"",SQRT(3)*G605*L605/1000,"")</f>
        <v/>
      </c>
      <c r="AA605" t="inlineStr">
        <is>
          <t>Source=Copeland 2D/3D/4D/4R/6D/8D/9R compressors (pdf) p20</t>
        </is>
      </c>
      <c r="AB605" t="inlineStr">
        <is>
          <t>Copeland_RLA_230_460_3ph_60Hz.xlsx</t>
        </is>
      </c>
      <c r="AC605" t="inlineStr">
        <is>
          <t>Recip_2D-9R</t>
        </is>
      </c>
    </row>
    <row r="606">
      <c r="A606" t="inlineStr">
        <is>
          <t>COPELAND</t>
        </is>
      </c>
      <c r="B606" t="inlineStr">
        <is>
          <t>4DJ3A200L-TSK</t>
        </is>
      </c>
      <c r="D606" t="inlineStr">
        <is>
          <t>Reciprocating Semi-hermetic</t>
        </is>
      </c>
      <c r="E606" s="2" t="n">
        <v>3</v>
      </c>
      <c r="F606" s="2" t="n">
        <v>60</v>
      </c>
      <c r="G606" s="2" t="n">
        <v>230</v>
      </c>
      <c r="H606" t="inlineStr">
        <is>
          <t>208/230</t>
        </is>
      </c>
      <c r="I606" s="2" t="n">
        <v>208</v>
      </c>
      <c r="J606" s="2" t="n">
        <v>230</v>
      </c>
      <c r="L606" s="3" t="n"/>
      <c r="M606" s="3" t="n"/>
      <c r="N606" s="3" t="n">
        <v>66</v>
      </c>
      <c r="O606" s="3" t="n"/>
      <c r="P606" s="3">
        <f>IF(L606&lt;&gt;"",L606/1.4,"")</f>
        <v/>
      </c>
      <c r="Q606" s="3">
        <f>IF(L606&lt;&gt;"",L606/1.56,"")</f>
        <v/>
      </c>
      <c r="R606" s="3">
        <f>IF(M606&lt;&gt;"",M606/1.4,"")</f>
        <v/>
      </c>
      <c r="S606" s="3">
        <f>IF(M606&lt;&gt;"",M606/1.56,"")</f>
        <v/>
      </c>
      <c r="T606" s="3">
        <f>IF(N606&lt;&gt;"",N606,IF(O606&lt;&gt;"",O606,IF(L606&lt;&gt;"",L606/1.56,IF(M606&lt;&gt;"",M606/1.56,""))))</f>
        <v/>
      </c>
      <c r="U606" s="3" t="n">
        <v>346</v>
      </c>
      <c r="V606" s="3" t="n">
        <v>208</v>
      </c>
      <c r="W606" s="3" t="n"/>
      <c r="X606" s="4" t="n"/>
      <c r="Y606" s="5" t="n">
        <v>0.142</v>
      </c>
      <c r="Z606" s="4">
        <f>IF(L606&lt;&gt;"",SQRT(3)*G606*L606/1000,"")</f>
        <v/>
      </c>
      <c r="AA606" t="inlineStr">
        <is>
          <t>Source=Copeland 2D/3D/4D/4R/6D/8D/9R compressors (pdf) p20; PWS_RLA=33.0</t>
        </is>
      </c>
      <c r="AB606" t="inlineStr">
        <is>
          <t>Copeland_RLA_230_460_3ph_60Hz.xlsx</t>
        </is>
      </c>
      <c r="AC606" t="inlineStr">
        <is>
          <t>Recip_2D-9R</t>
        </is>
      </c>
    </row>
    <row r="607">
      <c r="A607" t="inlineStr">
        <is>
          <t>COPELAND</t>
        </is>
      </c>
      <c r="B607" t="inlineStr">
        <is>
          <t>4DJ3A200L-TSK</t>
        </is>
      </c>
      <c r="D607" t="inlineStr">
        <is>
          <t>Reciprocating Semi-hermetic</t>
        </is>
      </c>
      <c r="E607" s="2" t="n">
        <v>3</v>
      </c>
      <c r="F607" s="2" t="n">
        <v>60</v>
      </c>
      <c r="G607" s="2" t="n">
        <v>460</v>
      </c>
      <c r="H607" t="inlineStr">
        <is>
          <t>460</t>
        </is>
      </c>
      <c r="I607" s="2" t="n">
        <v>460</v>
      </c>
      <c r="J607" s="2" t="n">
        <v>460</v>
      </c>
      <c r="L607" s="3" t="n"/>
      <c r="M607" s="3" t="n"/>
      <c r="N607" s="3" t="n">
        <v>33</v>
      </c>
      <c r="O607" s="3" t="n"/>
      <c r="P607" s="3">
        <f>IF(L607&lt;&gt;"",L607/1.4,"")</f>
        <v/>
      </c>
      <c r="Q607" s="3">
        <f>IF(L607&lt;&gt;"",L607/1.56,"")</f>
        <v/>
      </c>
      <c r="R607" s="3">
        <f>IF(M607&lt;&gt;"",M607/1.4,"")</f>
        <v/>
      </c>
      <c r="S607" s="3">
        <f>IF(M607&lt;&gt;"",M607/1.56,"")</f>
        <v/>
      </c>
      <c r="T607" s="3">
        <f>IF(N607&lt;&gt;"",N607,IF(O607&lt;&gt;"",O607,IF(L607&lt;&gt;"",L607/1.56,IF(M607&lt;&gt;"",M607/1.56,""))))</f>
        <v/>
      </c>
      <c r="U607" s="3" t="n">
        <v>173</v>
      </c>
      <c r="V607" s="3" t="n"/>
      <c r="W607" s="3" t="n"/>
      <c r="X607" s="4" t="n"/>
      <c r="Y607" s="5" t="n">
        <v>0.5679999999999999</v>
      </c>
      <c r="Z607" s="4">
        <f>IF(L607&lt;&gt;"",SQRT(3)*G607*L607/1000,"")</f>
        <v/>
      </c>
      <c r="AA607" t="inlineStr">
        <is>
          <t>Source=Copeland 2D/3D/4D/4R/6D/8D/9R compressors (pdf) p21</t>
        </is>
      </c>
      <c r="AB607" t="inlineStr">
        <is>
          <t>Copeland_RLA_230_460_3ph_60Hz.xlsx</t>
        </is>
      </c>
      <c r="AC607" t="inlineStr">
        <is>
          <t>Recip_2D-9R</t>
        </is>
      </c>
    </row>
    <row r="608">
      <c r="A608" t="inlineStr">
        <is>
          <t>COPELAND</t>
        </is>
      </c>
      <c r="B608" t="inlineStr">
        <is>
          <t>4DJ3A270E-TSK</t>
        </is>
      </c>
      <c r="D608" t="inlineStr">
        <is>
          <t>Reciprocating Semi-hermetic</t>
        </is>
      </c>
      <c r="E608" s="2" t="n">
        <v>3</v>
      </c>
      <c r="F608" s="2" t="n">
        <v>60</v>
      </c>
      <c r="G608" s="2" t="n">
        <v>230</v>
      </c>
      <c r="H608" t="inlineStr">
        <is>
          <t>208/230</t>
        </is>
      </c>
      <c r="I608" s="2" t="n">
        <v>208</v>
      </c>
      <c r="J608" s="2" t="n">
        <v>230</v>
      </c>
      <c r="L608" s="3" t="n"/>
      <c r="M608" s="3" t="n"/>
      <c r="N608" s="3" t="n">
        <v>94</v>
      </c>
      <c r="O608" s="3" t="n"/>
      <c r="P608" s="3">
        <f>IF(L608&lt;&gt;"",L608/1.4,"")</f>
        <v/>
      </c>
      <c r="Q608" s="3">
        <f>IF(L608&lt;&gt;"",L608/1.56,"")</f>
        <v/>
      </c>
      <c r="R608" s="3">
        <f>IF(M608&lt;&gt;"",M608/1.4,"")</f>
        <v/>
      </c>
      <c r="S608" s="3">
        <f>IF(M608&lt;&gt;"",M608/1.56,"")</f>
        <v/>
      </c>
      <c r="T608" s="3">
        <f>IF(N608&lt;&gt;"",N608,IF(O608&lt;&gt;"",O608,IF(L608&lt;&gt;"",L608/1.56,IF(M608&lt;&gt;"",M608/1.56,""))))</f>
        <v/>
      </c>
      <c r="U608" s="3" t="n">
        <v>470</v>
      </c>
      <c r="V608" s="3" t="n">
        <v>292</v>
      </c>
      <c r="W608" s="3" t="n"/>
      <c r="X608" s="4" t="n"/>
      <c r="Y608" s="5" t="n">
        <v>0.111</v>
      </c>
      <c r="Z608" s="4">
        <f>IF(L608&lt;&gt;"",SQRT(3)*G608*L608/1000,"")</f>
        <v/>
      </c>
      <c r="AA608" t="inlineStr">
        <is>
          <t>Source=Copeland 2D/3D/4D/4R/6D/8D/9R compressors (pdf) p21; PWS_RLA=47.0</t>
        </is>
      </c>
      <c r="AB608" t="inlineStr">
        <is>
          <t>Copeland_RLA_230_460_3ph_60Hz.xlsx</t>
        </is>
      </c>
      <c r="AC608" t="inlineStr">
        <is>
          <t>Recip_2D-9R</t>
        </is>
      </c>
    </row>
    <row r="609">
      <c r="A609" t="inlineStr">
        <is>
          <t>COPELAND</t>
        </is>
      </c>
      <c r="B609" t="inlineStr">
        <is>
          <t>4DJ3A270E-TSK</t>
        </is>
      </c>
      <c r="D609" t="inlineStr">
        <is>
          <t>Reciprocating Semi-hermetic</t>
        </is>
      </c>
      <c r="E609" s="2" t="n">
        <v>3</v>
      </c>
      <c r="F609" s="2" t="n">
        <v>60</v>
      </c>
      <c r="G609" s="2" t="n">
        <v>460</v>
      </c>
      <c r="H609" t="inlineStr">
        <is>
          <t>460</t>
        </is>
      </c>
      <c r="I609" s="2" t="n">
        <v>460</v>
      </c>
      <c r="J609" s="2" t="n">
        <v>460</v>
      </c>
      <c r="L609" s="3" t="n"/>
      <c r="M609" s="3" t="n"/>
      <c r="N609" s="3" t="n">
        <v>55</v>
      </c>
      <c r="O609" s="3" t="n"/>
      <c r="P609" s="3">
        <f>IF(L609&lt;&gt;"",L609/1.4,"")</f>
        <v/>
      </c>
      <c r="Q609" s="3">
        <f>IF(L609&lt;&gt;"",L609/1.56,"")</f>
        <v/>
      </c>
      <c r="R609" s="3">
        <f>IF(M609&lt;&gt;"",M609/1.4,"")</f>
        <v/>
      </c>
      <c r="S609" s="3">
        <f>IF(M609&lt;&gt;"",M609/1.56,"")</f>
        <v/>
      </c>
      <c r="T609" s="3">
        <f>IF(N609&lt;&gt;"",N609,IF(O609&lt;&gt;"",O609,IF(L609&lt;&gt;"",L609/1.56,IF(M609&lt;&gt;"",M609/1.56,""))))</f>
        <v/>
      </c>
      <c r="U609" s="3" t="n">
        <v>235</v>
      </c>
      <c r="V609" s="3" t="n"/>
      <c r="W609" s="3" t="n"/>
      <c r="X609" s="4" t="n"/>
      <c r="Y609" s="5" t="n">
        <v>0.444</v>
      </c>
      <c r="Z609" s="4">
        <f>IF(L609&lt;&gt;"",SQRT(3)*G609*L609/1000,"")</f>
        <v/>
      </c>
      <c r="AA609" t="inlineStr">
        <is>
          <t>Source=Copeland 2D/3D/4D/4R/6D/8D/9R compressors (pdf) p21</t>
        </is>
      </c>
      <c r="AB609" t="inlineStr">
        <is>
          <t>Copeland_RLA_230_460_3ph_60Hz.xlsx</t>
        </is>
      </c>
      <c r="AC609" t="inlineStr">
        <is>
          <t>Recip_2D-9R</t>
        </is>
      </c>
    </row>
    <row r="610">
      <c r="A610" t="inlineStr">
        <is>
          <t>COPELAND</t>
        </is>
      </c>
      <c r="B610" t="inlineStr">
        <is>
          <t>4DJ3A270L-TSK</t>
        </is>
      </c>
      <c r="D610" t="inlineStr">
        <is>
          <t>Reciprocating Semi-hermetic</t>
        </is>
      </c>
      <c r="E610" s="2" t="n">
        <v>3</v>
      </c>
      <c r="F610" s="2" t="n">
        <v>60</v>
      </c>
      <c r="G610" s="2" t="n">
        <v>230</v>
      </c>
      <c r="H610" t="inlineStr">
        <is>
          <t>208/230</t>
        </is>
      </c>
      <c r="I610" s="2" t="n">
        <v>208</v>
      </c>
      <c r="J610" s="2" t="n">
        <v>230</v>
      </c>
      <c r="L610" s="3" t="n"/>
      <c r="M610" s="3" t="n"/>
      <c r="N610" s="3" t="n">
        <v>94</v>
      </c>
      <c r="O610" s="3" t="n"/>
      <c r="P610" s="3">
        <f>IF(L610&lt;&gt;"",L610/1.4,"")</f>
        <v/>
      </c>
      <c r="Q610" s="3">
        <f>IF(L610&lt;&gt;"",L610/1.56,"")</f>
        <v/>
      </c>
      <c r="R610" s="3">
        <f>IF(M610&lt;&gt;"",M610/1.4,"")</f>
        <v/>
      </c>
      <c r="S610" s="3">
        <f>IF(M610&lt;&gt;"",M610/1.56,"")</f>
        <v/>
      </c>
      <c r="T610" s="3">
        <f>IF(N610&lt;&gt;"",N610,IF(O610&lt;&gt;"",O610,IF(L610&lt;&gt;"",L610/1.56,IF(M610&lt;&gt;"",M610/1.56,""))))</f>
        <v/>
      </c>
      <c r="U610" s="3" t="n">
        <v>470</v>
      </c>
      <c r="V610" s="3" t="n">
        <v>292</v>
      </c>
      <c r="W610" s="3" t="n"/>
      <c r="X610" s="4" t="n"/>
      <c r="Y610" s="5" t="n">
        <v>0.111</v>
      </c>
      <c r="Z610" s="4">
        <f>IF(L610&lt;&gt;"",SQRT(3)*G610*L610/1000,"")</f>
        <v/>
      </c>
      <c r="AA610" t="inlineStr">
        <is>
          <t>Source=Copeland 2D/3D/4D/4R/6D/8D/9R compressors (pdf) p21; PWS_RLA=47.0</t>
        </is>
      </c>
      <c r="AB610" t="inlineStr">
        <is>
          <t>Copeland_RLA_230_460_3ph_60Hz.xlsx</t>
        </is>
      </c>
      <c r="AC610" t="inlineStr">
        <is>
          <t>Recip_2D-9R</t>
        </is>
      </c>
    </row>
    <row r="611">
      <c r="A611" t="inlineStr">
        <is>
          <t>COPELAND</t>
        </is>
      </c>
      <c r="B611" t="inlineStr">
        <is>
          <t>4DJ3A270L-TSK</t>
        </is>
      </c>
      <c r="D611" t="inlineStr">
        <is>
          <t>Reciprocating Semi-hermetic</t>
        </is>
      </c>
      <c r="E611" s="2" t="n">
        <v>3</v>
      </c>
      <c r="F611" s="2" t="n">
        <v>60</v>
      </c>
      <c r="G611" s="2" t="n">
        <v>460</v>
      </c>
      <c r="H611" t="inlineStr">
        <is>
          <t>460</t>
        </is>
      </c>
      <c r="I611" s="2" t="n">
        <v>460</v>
      </c>
      <c r="J611" s="2" t="n">
        <v>460</v>
      </c>
      <c r="L611" s="3" t="n"/>
      <c r="M611" s="3" t="n"/>
      <c r="N611" s="3" t="n">
        <v>55</v>
      </c>
      <c r="O611" s="3" t="n"/>
      <c r="P611" s="3">
        <f>IF(L611&lt;&gt;"",L611/1.4,"")</f>
        <v/>
      </c>
      <c r="Q611" s="3">
        <f>IF(L611&lt;&gt;"",L611/1.56,"")</f>
        <v/>
      </c>
      <c r="R611" s="3">
        <f>IF(M611&lt;&gt;"",M611/1.4,"")</f>
        <v/>
      </c>
      <c r="S611" s="3">
        <f>IF(M611&lt;&gt;"",M611/1.56,"")</f>
        <v/>
      </c>
      <c r="T611" s="3">
        <f>IF(N611&lt;&gt;"",N611,IF(O611&lt;&gt;"",O611,IF(L611&lt;&gt;"",L611/1.56,IF(M611&lt;&gt;"",M611/1.56,""))))</f>
        <v/>
      </c>
      <c r="U611" s="3" t="n">
        <v>235</v>
      </c>
      <c r="V611" s="3" t="n"/>
      <c r="W611" s="3" t="n"/>
      <c r="X611" s="4" t="n"/>
      <c r="Y611" s="5" t="n">
        <v>0.444</v>
      </c>
      <c r="Z611" s="4">
        <f>IF(L611&lt;&gt;"",SQRT(3)*G611*L611/1000,"")</f>
        <v/>
      </c>
      <c r="AA611" t="inlineStr">
        <is>
          <t>Source=Copeland 2D/3D/4D/4R/6D/8D/9R compressors (pdf) p21</t>
        </is>
      </c>
      <c r="AB611" t="inlineStr">
        <is>
          <t>Copeland_RLA_230_460_3ph_60Hz.xlsx</t>
        </is>
      </c>
      <c r="AC611" t="inlineStr">
        <is>
          <t>Recip_2D-9R</t>
        </is>
      </c>
    </row>
    <row r="612">
      <c r="A612" t="inlineStr">
        <is>
          <t>COPELAND</t>
        </is>
      </c>
      <c r="B612" t="inlineStr">
        <is>
          <t>4DJ3A3000-FSD</t>
        </is>
      </c>
      <c r="D612" t="inlineStr">
        <is>
          <t>Reciprocating Semi-hermetic</t>
        </is>
      </c>
      <c r="E612" s="2" t="n">
        <v>3</v>
      </c>
      <c r="F612" s="2" t="n">
        <v>60</v>
      </c>
      <c r="G612" s="2" t="n">
        <v>460</v>
      </c>
      <c r="H612" t="inlineStr">
        <is>
          <t>460</t>
        </is>
      </c>
      <c r="I612" s="2" t="n">
        <v>460</v>
      </c>
      <c r="J612" s="2" t="n">
        <v>460</v>
      </c>
      <c r="L612" s="3" t="n"/>
      <c r="M612" s="3" t="n"/>
      <c r="N612" s="3" t="n">
        <v>45</v>
      </c>
      <c r="O612" s="3" t="n"/>
      <c r="P612" s="3">
        <f>IF(L612&lt;&gt;"",L612/1.4,"")</f>
        <v/>
      </c>
      <c r="Q612" s="3">
        <f>IF(L612&lt;&gt;"",L612/1.56,"")</f>
        <v/>
      </c>
      <c r="R612" s="3">
        <f>IF(M612&lt;&gt;"",M612/1.4,"")</f>
        <v/>
      </c>
      <c r="S612" s="3">
        <f>IF(M612&lt;&gt;"",M612/1.56,"")</f>
        <v/>
      </c>
      <c r="T612" s="3">
        <f>IF(N612&lt;&gt;"",N612,IF(O612&lt;&gt;"",O612,IF(L612&lt;&gt;"",L612/1.56,IF(M612&lt;&gt;"",M612/1.56,""))))</f>
        <v/>
      </c>
      <c r="U612" s="3" t="n">
        <v>235</v>
      </c>
      <c r="V612" s="3" t="n">
        <v>141</v>
      </c>
      <c r="W612" s="3" t="n"/>
      <c r="X612" s="4" t="n"/>
      <c r="Y612" s="5" t="n">
        <v>0.45</v>
      </c>
      <c r="Z612" s="4">
        <f>IF(L612&lt;&gt;"",SQRT(3)*G612*L612/1000,"")</f>
        <v/>
      </c>
      <c r="AA612" t="inlineStr">
        <is>
          <t>Source=Copeland 2D/3D/4D/4R/6D/8D/9R compressors (pdf) p21; PWS_RLA=22.5</t>
        </is>
      </c>
      <c r="AB612" t="inlineStr">
        <is>
          <t>Copeland_RLA_230_460_3ph_60Hz.xlsx</t>
        </is>
      </c>
      <c r="AC612" t="inlineStr">
        <is>
          <t>Recip_2D-9R</t>
        </is>
      </c>
    </row>
    <row r="613">
      <c r="A613" t="inlineStr">
        <is>
          <t>COPELAND</t>
        </is>
      </c>
      <c r="B613" t="inlineStr">
        <is>
          <t>4DJ3A3000-FXD</t>
        </is>
      </c>
      <c r="D613" t="inlineStr">
        <is>
          <t>Reciprocating Semi-hermetic</t>
        </is>
      </c>
      <c r="E613" s="2" t="n">
        <v>3</v>
      </c>
      <c r="F613" s="2" t="n">
        <v>60</v>
      </c>
      <c r="G613" s="2" t="n">
        <v>460</v>
      </c>
      <c r="H613" t="inlineStr">
        <is>
          <t>460</t>
        </is>
      </c>
      <c r="I613" s="2" t="n">
        <v>460</v>
      </c>
      <c r="J613" s="2" t="n">
        <v>460</v>
      </c>
      <c r="L613" s="3" t="n"/>
      <c r="M613" s="3" t="n"/>
      <c r="N613" s="3" t="n"/>
      <c r="O613" s="3" t="n"/>
      <c r="P613" s="3">
        <f>IF(L613&lt;&gt;"",L613/1.4,"")</f>
        <v/>
      </c>
      <c r="Q613" s="3">
        <f>IF(L613&lt;&gt;"",L613/1.56,"")</f>
        <v/>
      </c>
      <c r="R613" s="3">
        <f>IF(M613&lt;&gt;"",M613/1.4,"")</f>
        <v/>
      </c>
      <c r="S613" s="3">
        <f>IF(M613&lt;&gt;"",M613/1.56,"")</f>
        <v/>
      </c>
      <c r="T613" s="3">
        <f>IF(N613&lt;&gt;"",N613,IF(O613&lt;&gt;"",O613,IF(L613&lt;&gt;"",L613/1.56,IF(M613&lt;&gt;"",M613/1.56,""))))</f>
        <v/>
      </c>
      <c r="U613" s="3" t="n">
        <v>235</v>
      </c>
      <c r="V613" s="3" t="n">
        <v>141</v>
      </c>
      <c r="W613" s="3" t="n"/>
      <c r="X613" s="4" t="n"/>
      <c r="Y613" s="5" t="n">
        <v>0.45</v>
      </c>
      <c r="Z613" s="4">
        <f>IF(L613&lt;&gt;"",SQRT(3)*G613*L613/1000,"")</f>
        <v/>
      </c>
      <c r="AA613" t="inlineStr">
        <is>
          <t>Source=Copeland 2D/3D/4D/4R/6D/8D/9R compressors (pdf) p21</t>
        </is>
      </c>
      <c r="AB613" t="inlineStr">
        <is>
          <t>Copeland_RLA_230_460_3ph_60Hz.xlsx</t>
        </is>
      </c>
      <c r="AC613" t="inlineStr">
        <is>
          <t>Recip_2D-9R</t>
        </is>
      </c>
    </row>
    <row r="614">
      <c r="A614" t="inlineStr">
        <is>
          <t>COPELAND</t>
        </is>
      </c>
      <c r="B614" t="inlineStr">
        <is>
          <t>4DJ3A3000-TSK</t>
        </is>
      </c>
      <c r="D614" t="inlineStr">
        <is>
          <t>Reciprocating Semi-hermetic</t>
        </is>
      </c>
      <c r="E614" s="2" t="n">
        <v>3</v>
      </c>
      <c r="F614" s="2" t="n">
        <v>60</v>
      </c>
      <c r="G614" s="2" t="n">
        <v>230</v>
      </c>
      <c r="H614" t="inlineStr">
        <is>
          <t>208/230</t>
        </is>
      </c>
      <c r="I614" s="2" t="n">
        <v>208</v>
      </c>
      <c r="J614" s="2" t="n">
        <v>230</v>
      </c>
      <c r="L614" s="3" t="n"/>
      <c r="M614" s="3" t="n"/>
      <c r="N614" s="3" t="n">
        <v>94</v>
      </c>
      <c r="O614" s="3" t="n"/>
      <c r="P614" s="3">
        <f>IF(L614&lt;&gt;"",L614/1.4,"")</f>
        <v/>
      </c>
      <c r="Q614" s="3">
        <f>IF(L614&lt;&gt;"",L614/1.56,"")</f>
        <v/>
      </c>
      <c r="R614" s="3">
        <f>IF(M614&lt;&gt;"",M614/1.4,"")</f>
        <v/>
      </c>
      <c r="S614" s="3">
        <f>IF(M614&lt;&gt;"",M614/1.56,"")</f>
        <v/>
      </c>
      <c r="T614" s="3">
        <f>IF(N614&lt;&gt;"",N614,IF(O614&lt;&gt;"",O614,IF(L614&lt;&gt;"",L614/1.56,IF(M614&lt;&gt;"",M614/1.56,""))))</f>
        <v/>
      </c>
      <c r="U614" s="3" t="n">
        <v>470</v>
      </c>
      <c r="V614" s="3" t="n">
        <v>292</v>
      </c>
      <c r="W614" s="3" t="n"/>
      <c r="X614" s="4" t="n"/>
      <c r="Y614" s="5" t="n">
        <v>0.111</v>
      </c>
      <c r="Z614" s="4">
        <f>IF(L614&lt;&gt;"",SQRT(3)*G614*L614/1000,"")</f>
        <v/>
      </c>
      <c r="AA614" t="inlineStr">
        <is>
          <t>Source=Copeland 2D/3D/4D/4R/6D/8D/9R compressors (pdf) p21; PWS_RLA=47.0</t>
        </is>
      </c>
      <c r="AB614" t="inlineStr">
        <is>
          <t>Copeland_RLA_230_460_3ph_60Hz.xlsx</t>
        </is>
      </c>
      <c r="AC614" t="inlineStr">
        <is>
          <t>Recip_2D-9R</t>
        </is>
      </c>
    </row>
    <row r="615">
      <c r="A615" t="inlineStr">
        <is>
          <t>COPELAND</t>
        </is>
      </c>
      <c r="B615" t="inlineStr">
        <is>
          <t>4DJ3A3000-TSK</t>
        </is>
      </c>
      <c r="D615" t="inlineStr">
        <is>
          <t>Reciprocating Semi-hermetic</t>
        </is>
      </c>
      <c r="E615" s="2" t="n">
        <v>3</v>
      </c>
      <c r="F615" s="2" t="n">
        <v>60</v>
      </c>
      <c r="G615" s="2" t="n">
        <v>460</v>
      </c>
      <c r="H615" t="inlineStr">
        <is>
          <t>460</t>
        </is>
      </c>
      <c r="I615" s="2" t="n">
        <v>460</v>
      </c>
      <c r="J615" s="2" t="n">
        <v>460</v>
      </c>
      <c r="L615" s="3" t="n"/>
      <c r="M615" s="3" t="n"/>
      <c r="N615" s="3" t="n">
        <v>47</v>
      </c>
      <c r="O615" s="3" t="n"/>
      <c r="P615" s="3">
        <f>IF(L615&lt;&gt;"",L615/1.4,"")</f>
        <v/>
      </c>
      <c r="Q615" s="3">
        <f>IF(L615&lt;&gt;"",L615/1.56,"")</f>
        <v/>
      </c>
      <c r="R615" s="3">
        <f>IF(M615&lt;&gt;"",M615/1.4,"")</f>
        <v/>
      </c>
      <c r="S615" s="3">
        <f>IF(M615&lt;&gt;"",M615/1.56,"")</f>
        <v/>
      </c>
      <c r="T615" s="3">
        <f>IF(N615&lt;&gt;"",N615,IF(O615&lt;&gt;"",O615,IF(L615&lt;&gt;"",L615/1.56,IF(M615&lt;&gt;"",M615/1.56,""))))</f>
        <v/>
      </c>
      <c r="U615" s="3" t="n">
        <v>235</v>
      </c>
      <c r="V615" s="3" t="n"/>
      <c r="W615" s="3" t="n"/>
      <c r="X615" s="4" t="n"/>
      <c r="Y615" s="5" t="n">
        <v>0.444</v>
      </c>
      <c r="Z615" s="4">
        <f>IF(L615&lt;&gt;"",SQRT(3)*G615*L615/1000,"")</f>
        <v/>
      </c>
      <c r="AA615" t="inlineStr">
        <is>
          <t>Source=Copeland 2D/3D/4D/4R/6D/8D/9R compressors (pdf) p21</t>
        </is>
      </c>
      <c r="AB615" t="inlineStr">
        <is>
          <t>Copeland_RLA_230_460_3ph_60Hz.xlsx</t>
        </is>
      </c>
      <c r="AC615" t="inlineStr">
        <is>
          <t>Recip_2D-9R</t>
        </is>
      </c>
    </row>
    <row r="616">
      <c r="A616" t="inlineStr">
        <is>
          <t>COPELAND</t>
        </is>
      </c>
      <c r="B616" t="inlineStr">
        <is>
          <t>4DJ3A3000-TXK</t>
        </is>
      </c>
      <c r="D616" t="inlineStr">
        <is>
          <t>Reciprocating Semi-hermetic</t>
        </is>
      </c>
      <c r="E616" s="2" t="n">
        <v>3</v>
      </c>
      <c r="F616" s="2" t="n">
        <v>60</v>
      </c>
      <c r="G616" s="2" t="n">
        <v>230</v>
      </c>
      <c r="H616" t="inlineStr">
        <is>
          <t>208/230</t>
        </is>
      </c>
      <c r="I616" s="2" t="n">
        <v>208</v>
      </c>
      <c r="J616" s="2" t="n">
        <v>230</v>
      </c>
      <c r="L616" s="3" t="n"/>
      <c r="M616" s="3" t="n"/>
      <c r="N616" s="3" t="n"/>
      <c r="O616" s="3" t="n"/>
      <c r="P616" s="3">
        <f>IF(L616&lt;&gt;"",L616/1.4,"")</f>
        <v/>
      </c>
      <c r="Q616" s="3">
        <f>IF(L616&lt;&gt;"",L616/1.56,"")</f>
        <v/>
      </c>
      <c r="R616" s="3">
        <f>IF(M616&lt;&gt;"",M616/1.4,"")</f>
        <v/>
      </c>
      <c r="S616" s="3">
        <f>IF(M616&lt;&gt;"",M616/1.56,"")</f>
        <v/>
      </c>
      <c r="T616" s="3">
        <f>IF(N616&lt;&gt;"",N616,IF(O616&lt;&gt;"",O616,IF(L616&lt;&gt;"",L616/1.56,IF(M616&lt;&gt;"",M616/1.56,""))))</f>
        <v/>
      </c>
      <c r="U616" s="3" t="n">
        <v>470</v>
      </c>
      <c r="V616" s="3" t="n">
        <v>292</v>
      </c>
      <c r="W616" s="3" t="n"/>
      <c r="X616" s="4" t="n"/>
      <c r="Y616" s="5" t="n">
        <v>0.111</v>
      </c>
      <c r="Z616" s="4">
        <f>IF(L616&lt;&gt;"",SQRT(3)*G616*L616/1000,"")</f>
        <v/>
      </c>
      <c r="AA616" t="inlineStr">
        <is>
          <t>Source=Copeland 2D/3D/4D/4R/6D/8D/9R compressors (pdf) p21</t>
        </is>
      </c>
      <c r="AB616" t="inlineStr">
        <is>
          <t>Copeland_RLA_230_460_3ph_60Hz.xlsx</t>
        </is>
      </c>
      <c r="AC616" t="inlineStr">
        <is>
          <t>Recip_2D-9R</t>
        </is>
      </c>
    </row>
    <row r="617">
      <c r="A617" t="inlineStr">
        <is>
          <t>COPELAND</t>
        </is>
      </c>
      <c r="B617" t="inlineStr">
        <is>
          <t>4DJ3A3000-TXK</t>
        </is>
      </c>
      <c r="D617" t="inlineStr">
        <is>
          <t>Reciprocating Semi-hermetic</t>
        </is>
      </c>
      <c r="E617" s="2" t="n">
        <v>3</v>
      </c>
      <c r="F617" s="2" t="n">
        <v>60</v>
      </c>
      <c r="G617" s="2" t="n">
        <v>460</v>
      </c>
      <c r="H617" t="inlineStr">
        <is>
          <t>460</t>
        </is>
      </c>
      <c r="I617" s="2" t="n">
        <v>460</v>
      </c>
      <c r="J617" s="2" t="n">
        <v>460</v>
      </c>
      <c r="L617" s="3" t="n"/>
      <c r="M617" s="3" t="n"/>
      <c r="N617" s="3" t="n"/>
      <c r="O617" s="3" t="n"/>
      <c r="P617" s="3">
        <f>IF(L617&lt;&gt;"",L617/1.4,"")</f>
        <v/>
      </c>
      <c r="Q617" s="3">
        <f>IF(L617&lt;&gt;"",L617/1.56,"")</f>
        <v/>
      </c>
      <c r="R617" s="3">
        <f>IF(M617&lt;&gt;"",M617/1.4,"")</f>
        <v/>
      </c>
      <c r="S617" s="3">
        <f>IF(M617&lt;&gt;"",M617/1.56,"")</f>
        <v/>
      </c>
      <c r="T617" s="3">
        <f>IF(N617&lt;&gt;"",N617,IF(O617&lt;&gt;"",O617,IF(L617&lt;&gt;"",L617/1.56,IF(M617&lt;&gt;"",M617/1.56,""))))</f>
        <v/>
      </c>
      <c r="U617" s="3" t="n">
        <v>235</v>
      </c>
      <c r="V617" s="3" t="n"/>
      <c r="W617" s="3" t="n"/>
      <c r="X617" s="4" t="n"/>
      <c r="Y617" s="5" t="n">
        <v>0.444</v>
      </c>
      <c r="Z617" s="4">
        <f>IF(L617&lt;&gt;"",SQRT(3)*G617*L617/1000,"")</f>
        <v/>
      </c>
      <c r="AA617" t="inlineStr">
        <is>
          <t>Source=Copeland 2D/3D/4D/4R/6D/8D/9R compressors (pdf) p21</t>
        </is>
      </c>
      <c r="AB617" t="inlineStr">
        <is>
          <t>Copeland_RLA_230_460_3ph_60Hz.xlsx</t>
        </is>
      </c>
      <c r="AC617" t="inlineStr">
        <is>
          <t>Recip_2D-9R</t>
        </is>
      </c>
    </row>
    <row r="618">
      <c r="A618" t="inlineStr">
        <is>
          <t>COPELAND</t>
        </is>
      </c>
      <c r="B618" t="inlineStr">
        <is>
          <t>4DJ3A300E-FSD</t>
        </is>
      </c>
      <c r="D618" t="inlineStr">
        <is>
          <t>Reciprocating Semi-hermetic</t>
        </is>
      </c>
      <c r="E618" s="2" t="n">
        <v>3</v>
      </c>
      <c r="F618" s="2" t="n">
        <v>60</v>
      </c>
      <c r="G618" s="2" t="n">
        <v>460</v>
      </c>
      <c r="H618" t="inlineStr">
        <is>
          <t>460</t>
        </is>
      </c>
      <c r="I618" s="2" t="n">
        <v>460</v>
      </c>
      <c r="J618" s="2" t="n">
        <v>460</v>
      </c>
      <c r="L618" s="3" t="n"/>
      <c r="M618" s="3" t="n"/>
      <c r="N618" s="3" t="n">
        <v>45</v>
      </c>
      <c r="O618" s="3" t="n"/>
      <c r="P618" s="3">
        <f>IF(L618&lt;&gt;"",L618/1.4,"")</f>
        <v/>
      </c>
      <c r="Q618" s="3">
        <f>IF(L618&lt;&gt;"",L618/1.56,"")</f>
        <v/>
      </c>
      <c r="R618" s="3">
        <f>IF(M618&lt;&gt;"",M618/1.4,"")</f>
        <v/>
      </c>
      <c r="S618" s="3">
        <f>IF(M618&lt;&gt;"",M618/1.56,"")</f>
        <v/>
      </c>
      <c r="T618" s="3">
        <f>IF(N618&lt;&gt;"",N618,IF(O618&lt;&gt;"",O618,IF(L618&lt;&gt;"",L618/1.56,IF(M618&lt;&gt;"",M618/1.56,""))))</f>
        <v/>
      </c>
      <c r="U618" s="3" t="n">
        <v>235</v>
      </c>
      <c r="V618" s="3" t="n">
        <v>141</v>
      </c>
      <c r="W618" s="3" t="n"/>
      <c r="X618" s="4" t="n"/>
      <c r="Y618" s="5" t="n">
        <v>0.45</v>
      </c>
      <c r="Z618" s="4">
        <f>IF(L618&lt;&gt;"",SQRT(3)*G618*L618/1000,"")</f>
        <v/>
      </c>
      <c r="AA618" t="inlineStr">
        <is>
          <t>Source=Copeland 2D/3D/4D/4R/6D/8D/9R compressors (pdf) p21; PWS_RLA=22.5</t>
        </is>
      </c>
      <c r="AB618" t="inlineStr">
        <is>
          <t>Copeland_RLA_230_460_3ph_60Hz.xlsx</t>
        </is>
      </c>
      <c r="AC618" t="inlineStr">
        <is>
          <t>Recip_2D-9R</t>
        </is>
      </c>
    </row>
    <row r="619">
      <c r="A619" t="inlineStr">
        <is>
          <t>COPELAND</t>
        </is>
      </c>
      <c r="B619" t="inlineStr">
        <is>
          <t>4DJ3A300E-TSK</t>
        </is>
      </c>
      <c r="D619" t="inlineStr">
        <is>
          <t>Reciprocating Semi-hermetic</t>
        </is>
      </c>
      <c r="E619" s="2" t="n">
        <v>3</v>
      </c>
      <c r="F619" s="2" t="n">
        <v>60</v>
      </c>
      <c r="G619" s="2" t="n">
        <v>230</v>
      </c>
      <c r="H619" t="inlineStr">
        <is>
          <t>208/230</t>
        </is>
      </c>
      <c r="I619" s="2" t="n">
        <v>208</v>
      </c>
      <c r="J619" s="2" t="n">
        <v>230</v>
      </c>
      <c r="L619" s="3" t="n"/>
      <c r="M619" s="3" t="n"/>
      <c r="N619" s="3" t="n">
        <v>94</v>
      </c>
      <c r="O619" s="3" t="n"/>
      <c r="P619" s="3">
        <f>IF(L619&lt;&gt;"",L619/1.4,"")</f>
        <v/>
      </c>
      <c r="Q619" s="3">
        <f>IF(L619&lt;&gt;"",L619/1.56,"")</f>
        <v/>
      </c>
      <c r="R619" s="3">
        <f>IF(M619&lt;&gt;"",M619/1.4,"")</f>
        <v/>
      </c>
      <c r="S619" s="3">
        <f>IF(M619&lt;&gt;"",M619/1.56,"")</f>
        <v/>
      </c>
      <c r="T619" s="3">
        <f>IF(N619&lt;&gt;"",N619,IF(O619&lt;&gt;"",O619,IF(L619&lt;&gt;"",L619/1.56,IF(M619&lt;&gt;"",M619/1.56,""))))</f>
        <v/>
      </c>
      <c r="U619" s="3" t="n">
        <v>470</v>
      </c>
      <c r="V619" s="3" t="n">
        <v>292</v>
      </c>
      <c r="W619" s="3" t="n"/>
      <c r="X619" s="4" t="n"/>
      <c r="Y619" s="5" t="n">
        <v>0.111</v>
      </c>
      <c r="Z619" s="4">
        <f>IF(L619&lt;&gt;"",SQRT(3)*G619*L619/1000,"")</f>
        <v/>
      </c>
      <c r="AA619" t="inlineStr">
        <is>
          <t>Source=Copeland 2D/3D/4D/4R/6D/8D/9R compressors (pdf) p21; PWS_RLA=47.0</t>
        </is>
      </c>
      <c r="AB619" t="inlineStr">
        <is>
          <t>Copeland_RLA_230_460_3ph_60Hz.xlsx</t>
        </is>
      </c>
      <c r="AC619" t="inlineStr">
        <is>
          <t>Recip_2D-9R</t>
        </is>
      </c>
    </row>
    <row r="620">
      <c r="A620" t="inlineStr">
        <is>
          <t>COPELAND</t>
        </is>
      </c>
      <c r="B620" t="inlineStr">
        <is>
          <t>4DJ3A300E-TSK</t>
        </is>
      </c>
      <c r="D620" t="inlineStr">
        <is>
          <t>Reciprocating Semi-hermetic</t>
        </is>
      </c>
      <c r="E620" s="2" t="n">
        <v>3</v>
      </c>
      <c r="F620" s="2" t="n">
        <v>60</v>
      </c>
      <c r="G620" s="2" t="n">
        <v>460</v>
      </c>
      <c r="H620" t="inlineStr">
        <is>
          <t>460</t>
        </is>
      </c>
      <c r="I620" s="2" t="n">
        <v>460</v>
      </c>
      <c r="J620" s="2" t="n">
        <v>460</v>
      </c>
      <c r="L620" s="3" t="n"/>
      <c r="M620" s="3" t="n"/>
      <c r="N620" s="3" t="n">
        <v>55</v>
      </c>
      <c r="O620" s="3" t="n"/>
      <c r="P620" s="3">
        <f>IF(L620&lt;&gt;"",L620/1.4,"")</f>
        <v/>
      </c>
      <c r="Q620" s="3">
        <f>IF(L620&lt;&gt;"",L620/1.56,"")</f>
        <v/>
      </c>
      <c r="R620" s="3">
        <f>IF(M620&lt;&gt;"",M620/1.4,"")</f>
        <v/>
      </c>
      <c r="S620" s="3">
        <f>IF(M620&lt;&gt;"",M620/1.56,"")</f>
        <v/>
      </c>
      <c r="T620" s="3">
        <f>IF(N620&lt;&gt;"",N620,IF(O620&lt;&gt;"",O620,IF(L620&lt;&gt;"",L620/1.56,IF(M620&lt;&gt;"",M620/1.56,""))))</f>
        <v/>
      </c>
      <c r="U620" s="3" t="n">
        <v>235</v>
      </c>
      <c r="V620" s="3" t="n"/>
      <c r="W620" s="3" t="n"/>
      <c r="X620" s="4" t="n"/>
      <c r="Y620" s="5" t="n">
        <v>0.444</v>
      </c>
      <c r="Z620" s="4">
        <f>IF(L620&lt;&gt;"",SQRT(3)*G620*L620/1000,"")</f>
        <v/>
      </c>
      <c r="AA620" t="inlineStr">
        <is>
          <t>Source=Copeland 2D/3D/4D/4R/6D/8D/9R compressors (pdf) p21</t>
        </is>
      </c>
      <c r="AB620" t="inlineStr">
        <is>
          <t>Copeland_RLA_230_460_3ph_60Hz.xlsx</t>
        </is>
      </c>
      <c r="AC620" t="inlineStr">
        <is>
          <t>Recip_2D-9R</t>
        </is>
      </c>
    </row>
    <row r="621">
      <c r="A621" t="inlineStr">
        <is>
          <t>COPELAND</t>
        </is>
      </c>
      <c r="B621" t="inlineStr">
        <is>
          <t>4DJ3A300L-FSD</t>
        </is>
      </c>
      <c r="D621" t="inlineStr">
        <is>
          <t>Reciprocating Semi-hermetic</t>
        </is>
      </c>
      <c r="E621" s="2" t="n">
        <v>3</v>
      </c>
      <c r="F621" s="2" t="n">
        <v>60</v>
      </c>
      <c r="G621" s="2" t="n">
        <v>460</v>
      </c>
      <c r="H621" t="inlineStr">
        <is>
          <t>460</t>
        </is>
      </c>
      <c r="I621" s="2" t="n">
        <v>460</v>
      </c>
      <c r="J621" s="2" t="n">
        <v>460</v>
      </c>
      <c r="L621" s="3" t="n"/>
      <c r="M621" s="3" t="n"/>
      <c r="N621" s="3" t="n">
        <v>45</v>
      </c>
      <c r="O621" s="3" t="n"/>
      <c r="P621" s="3">
        <f>IF(L621&lt;&gt;"",L621/1.4,"")</f>
        <v/>
      </c>
      <c r="Q621" s="3">
        <f>IF(L621&lt;&gt;"",L621/1.56,"")</f>
        <v/>
      </c>
      <c r="R621" s="3">
        <f>IF(M621&lt;&gt;"",M621/1.4,"")</f>
        <v/>
      </c>
      <c r="S621" s="3">
        <f>IF(M621&lt;&gt;"",M621/1.56,"")</f>
        <v/>
      </c>
      <c r="T621" s="3">
        <f>IF(N621&lt;&gt;"",N621,IF(O621&lt;&gt;"",O621,IF(L621&lt;&gt;"",L621/1.56,IF(M621&lt;&gt;"",M621/1.56,""))))</f>
        <v/>
      </c>
      <c r="U621" s="3" t="n">
        <v>235</v>
      </c>
      <c r="V621" s="3" t="n">
        <v>141</v>
      </c>
      <c r="W621" s="3" t="n"/>
      <c r="X621" s="4" t="n"/>
      <c r="Y621" s="5" t="n">
        <v>0.45</v>
      </c>
      <c r="Z621" s="4">
        <f>IF(L621&lt;&gt;"",SQRT(3)*G621*L621/1000,"")</f>
        <v/>
      </c>
      <c r="AA621" t="inlineStr">
        <is>
          <t>Source=Copeland 2D/3D/4D/4R/6D/8D/9R compressors (pdf) p21; PWS_RLA=22.5</t>
        </is>
      </c>
      <c r="AB621" t="inlineStr">
        <is>
          <t>Copeland_RLA_230_460_3ph_60Hz.xlsx</t>
        </is>
      </c>
      <c r="AC621" t="inlineStr">
        <is>
          <t>Recip_2D-9R</t>
        </is>
      </c>
    </row>
    <row r="622">
      <c r="A622" t="inlineStr">
        <is>
          <t>COPELAND</t>
        </is>
      </c>
      <c r="B622" t="inlineStr">
        <is>
          <t>4DJ3A300L-TSK</t>
        </is>
      </c>
      <c r="D622" t="inlineStr">
        <is>
          <t>Reciprocating Semi-hermetic</t>
        </is>
      </c>
      <c r="E622" s="2" t="n">
        <v>3</v>
      </c>
      <c r="F622" s="2" t="n">
        <v>60</v>
      </c>
      <c r="G622" s="2" t="n">
        <v>230</v>
      </c>
      <c r="H622" t="inlineStr">
        <is>
          <t>208/230</t>
        </is>
      </c>
      <c r="I622" s="2" t="n">
        <v>208</v>
      </c>
      <c r="J622" s="2" t="n">
        <v>230</v>
      </c>
      <c r="L622" s="3" t="n"/>
      <c r="M622" s="3" t="n"/>
      <c r="N622" s="3" t="n">
        <v>94</v>
      </c>
      <c r="O622" s="3" t="n"/>
      <c r="P622" s="3">
        <f>IF(L622&lt;&gt;"",L622/1.4,"")</f>
        <v/>
      </c>
      <c r="Q622" s="3">
        <f>IF(L622&lt;&gt;"",L622/1.56,"")</f>
        <v/>
      </c>
      <c r="R622" s="3">
        <f>IF(M622&lt;&gt;"",M622/1.4,"")</f>
        <v/>
      </c>
      <c r="S622" s="3">
        <f>IF(M622&lt;&gt;"",M622/1.56,"")</f>
        <v/>
      </c>
      <c r="T622" s="3">
        <f>IF(N622&lt;&gt;"",N622,IF(O622&lt;&gt;"",O622,IF(L622&lt;&gt;"",L622/1.56,IF(M622&lt;&gt;"",M622/1.56,""))))</f>
        <v/>
      </c>
      <c r="U622" s="3" t="n">
        <v>470</v>
      </c>
      <c r="V622" s="3" t="n">
        <v>292</v>
      </c>
      <c r="W622" s="3" t="n"/>
      <c r="X622" s="4" t="n"/>
      <c r="Y622" s="5" t="n">
        <v>0.111</v>
      </c>
      <c r="Z622" s="4">
        <f>IF(L622&lt;&gt;"",SQRT(3)*G622*L622/1000,"")</f>
        <v/>
      </c>
      <c r="AA622" t="inlineStr">
        <is>
          <t>Source=Copeland 2D/3D/4D/4R/6D/8D/9R compressors (pdf) p21; PWS_RLA=47.0</t>
        </is>
      </c>
      <c r="AB622" t="inlineStr">
        <is>
          <t>Copeland_RLA_230_460_3ph_60Hz.xlsx</t>
        </is>
      </c>
      <c r="AC622" t="inlineStr">
        <is>
          <t>Recip_2D-9R</t>
        </is>
      </c>
    </row>
    <row r="623">
      <c r="A623" t="inlineStr">
        <is>
          <t>COPELAND</t>
        </is>
      </c>
      <c r="B623" t="inlineStr">
        <is>
          <t>4DJ3A300L-TSK</t>
        </is>
      </c>
      <c r="D623" t="inlineStr">
        <is>
          <t>Reciprocating Semi-hermetic</t>
        </is>
      </c>
      <c r="E623" s="2" t="n">
        <v>3</v>
      </c>
      <c r="F623" s="2" t="n">
        <v>60</v>
      </c>
      <c r="G623" s="2" t="n">
        <v>460</v>
      </c>
      <c r="H623" t="inlineStr">
        <is>
          <t>460</t>
        </is>
      </c>
      <c r="I623" s="2" t="n">
        <v>460</v>
      </c>
      <c r="J623" s="2" t="n">
        <v>460</v>
      </c>
      <c r="L623" s="3" t="n"/>
      <c r="M623" s="3" t="n"/>
      <c r="N623" s="3" t="n">
        <v>55</v>
      </c>
      <c r="O623" s="3" t="n"/>
      <c r="P623" s="3">
        <f>IF(L623&lt;&gt;"",L623/1.4,"")</f>
        <v/>
      </c>
      <c r="Q623" s="3">
        <f>IF(L623&lt;&gt;"",L623/1.56,"")</f>
        <v/>
      </c>
      <c r="R623" s="3">
        <f>IF(M623&lt;&gt;"",M623/1.4,"")</f>
        <v/>
      </c>
      <c r="S623" s="3">
        <f>IF(M623&lt;&gt;"",M623/1.56,"")</f>
        <v/>
      </c>
      <c r="T623" s="3">
        <f>IF(N623&lt;&gt;"",N623,IF(O623&lt;&gt;"",O623,IF(L623&lt;&gt;"",L623/1.56,IF(M623&lt;&gt;"",M623/1.56,""))))</f>
        <v/>
      </c>
      <c r="U623" s="3" t="n">
        <v>235</v>
      </c>
      <c r="V623" s="3" t="n"/>
      <c r="W623" s="3" t="n"/>
      <c r="X623" s="4" t="n"/>
      <c r="Y623" s="5" t="n">
        <v>0.444</v>
      </c>
      <c r="Z623" s="4">
        <f>IF(L623&lt;&gt;"",SQRT(3)*G623*L623/1000,"")</f>
        <v/>
      </c>
      <c r="AA623" t="inlineStr">
        <is>
          <t>Source=Copeland 2D/3D/4D/4R/6D/8D/9R compressors (pdf) p21</t>
        </is>
      </c>
      <c r="AB623" t="inlineStr">
        <is>
          <t>Copeland_RLA_230_460_3ph_60Hz.xlsx</t>
        </is>
      </c>
      <c r="AC623" t="inlineStr">
        <is>
          <t>Recip_2D-9R</t>
        </is>
      </c>
    </row>
    <row r="624">
      <c r="A624" t="inlineStr">
        <is>
          <t>COPELAND</t>
        </is>
      </c>
      <c r="B624" t="inlineStr">
        <is>
          <t>4DJ3F76KE-FSD</t>
        </is>
      </c>
      <c r="D624" t="inlineStr">
        <is>
          <t>Reciprocating Semi-hermetic</t>
        </is>
      </c>
      <c r="E624" s="2" t="n">
        <v>3</v>
      </c>
      <c r="F624" s="2" t="n">
        <v>60</v>
      </c>
      <c r="G624" s="2" t="n">
        <v>460</v>
      </c>
      <c r="H624" t="inlineStr">
        <is>
          <t>460</t>
        </is>
      </c>
      <c r="I624" s="2" t="n">
        <v>460</v>
      </c>
      <c r="J624" s="2" t="n">
        <v>460</v>
      </c>
      <c r="L624" s="3" t="n"/>
      <c r="M624" s="3" t="n"/>
      <c r="N624" s="3" t="n">
        <v>33.9</v>
      </c>
      <c r="O624" s="3" t="n"/>
      <c r="P624" s="3">
        <f>IF(L624&lt;&gt;"",L624/1.4,"")</f>
        <v/>
      </c>
      <c r="Q624" s="3">
        <f>IF(L624&lt;&gt;"",L624/1.56,"")</f>
        <v/>
      </c>
      <c r="R624" s="3">
        <f>IF(M624&lt;&gt;"",M624/1.4,"")</f>
        <v/>
      </c>
      <c r="S624" s="3">
        <f>IF(M624&lt;&gt;"",M624/1.56,"")</f>
        <v/>
      </c>
      <c r="T624" s="3">
        <f>IF(N624&lt;&gt;"",N624,IF(O624&lt;&gt;"",O624,IF(L624&lt;&gt;"",L624/1.56,IF(M624&lt;&gt;"",M624/1.56,""))))</f>
        <v/>
      </c>
      <c r="U624" s="3" t="n">
        <v>180</v>
      </c>
      <c r="V624" s="3" t="n">
        <v>108</v>
      </c>
      <c r="W624" s="3" t="n"/>
      <c r="X624" s="4" t="n"/>
      <c r="Y624" s="5" t="n">
        <v>0.5580000000000001</v>
      </c>
      <c r="Z624" s="4">
        <f>IF(L624&lt;&gt;"",SQRT(3)*G624*L624/1000,"")</f>
        <v/>
      </c>
      <c r="AA624" t="inlineStr">
        <is>
          <t>Source=Copeland 2D/3D/4D/4R/6D/8D/9R compressors (pdf) p21; PWS_RLA=17.0</t>
        </is>
      </c>
      <c r="AB624" t="inlineStr">
        <is>
          <t>Copeland_RLA_230_460_3ph_60Hz.xlsx</t>
        </is>
      </c>
      <c r="AC624" t="inlineStr">
        <is>
          <t>Recip_2D-9R</t>
        </is>
      </c>
    </row>
    <row r="625">
      <c r="A625" t="inlineStr">
        <is>
          <t>COPELAND</t>
        </is>
      </c>
      <c r="B625" t="inlineStr">
        <is>
          <t>4DJ3F76KE-TSK</t>
        </is>
      </c>
      <c r="D625" t="inlineStr">
        <is>
          <t>Reciprocating Semi-hermetic</t>
        </is>
      </c>
      <c r="E625" s="2" t="n">
        <v>3</v>
      </c>
      <c r="F625" s="2" t="n">
        <v>60</v>
      </c>
      <c r="G625" s="2" t="n">
        <v>230</v>
      </c>
      <c r="H625" t="inlineStr">
        <is>
          <t>208/230</t>
        </is>
      </c>
      <c r="I625" s="2" t="n">
        <v>208</v>
      </c>
      <c r="J625" s="2" t="n">
        <v>230</v>
      </c>
      <c r="L625" s="3" t="n"/>
      <c r="M625" s="3" t="n"/>
      <c r="N625" s="3" t="n">
        <v>64.3</v>
      </c>
      <c r="O625" s="3" t="n"/>
      <c r="P625" s="3">
        <f>IF(L625&lt;&gt;"",L625/1.4,"")</f>
        <v/>
      </c>
      <c r="Q625" s="3">
        <f>IF(L625&lt;&gt;"",L625/1.56,"")</f>
        <v/>
      </c>
      <c r="R625" s="3">
        <f>IF(M625&lt;&gt;"",M625/1.4,"")</f>
        <v/>
      </c>
      <c r="S625" s="3">
        <f>IF(M625&lt;&gt;"",M625/1.56,"")</f>
        <v/>
      </c>
      <c r="T625" s="3">
        <f>IF(N625&lt;&gt;"",N625,IF(O625&lt;&gt;"",O625,IF(L625&lt;&gt;"",L625/1.56,IF(M625&lt;&gt;"",M625/1.56,""))))</f>
        <v/>
      </c>
      <c r="U625" s="3" t="n">
        <v>374</v>
      </c>
      <c r="V625" s="3" t="n">
        <v>222</v>
      </c>
      <c r="W625" s="3" t="n"/>
      <c r="X625" s="4" t="n"/>
      <c r="Y625" s="5" t="n">
        <v>0.14</v>
      </c>
      <c r="Z625" s="4">
        <f>IF(L625&lt;&gt;"",SQRT(3)*G625*L625/1000,"")</f>
        <v/>
      </c>
      <c r="AA625" t="inlineStr">
        <is>
          <t>Source=Copeland 2D/3D/4D/4R/6D/8D/9R compressors (pdf) p21; PWS_RLA=33.0</t>
        </is>
      </c>
      <c r="AB625" t="inlineStr">
        <is>
          <t>Copeland_RLA_230_460_3ph_60Hz.xlsx</t>
        </is>
      </c>
      <c r="AC625" t="inlineStr">
        <is>
          <t>Recip_2D-9R</t>
        </is>
      </c>
    </row>
    <row r="626">
      <c r="A626" t="inlineStr">
        <is>
          <t>COPELAND</t>
        </is>
      </c>
      <c r="B626" t="inlineStr">
        <is>
          <t>4DJ3F76KE-TSK</t>
        </is>
      </c>
      <c r="D626" t="inlineStr">
        <is>
          <t>Reciprocating Semi-hermetic</t>
        </is>
      </c>
      <c r="E626" s="2" t="n">
        <v>3</v>
      </c>
      <c r="F626" s="2" t="n">
        <v>60</v>
      </c>
      <c r="G626" s="2" t="n">
        <v>460</v>
      </c>
      <c r="H626" t="inlineStr">
        <is>
          <t>460</t>
        </is>
      </c>
      <c r="I626" s="2" t="n">
        <v>460</v>
      </c>
      <c r="J626" s="2" t="n">
        <v>460</v>
      </c>
      <c r="L626" s="3" t="n"/>
      <c r="M626" s="3" t="n"/>
      <c r="N626" s="3" t="n">
        <v>32.1</v>
      </c>
      <c r="O626" s="3" t="n"/>
      <c r="P626" s="3">
        <f>IF(L626&lt;&gt;"",L626/1.4,"")</f>
        <v/>
      </c>
      <c r="Q626" s="3">
        <f>IF(L626&lt;&gt;"",L626/1.56,"")</f>
        <v/>
      </c>
      <c r="R626" s="3">
        <f>IF(M626&lt;&gt;"",M626/1.4,"")</f>
        <v/>
      </c>
      <c r="S626" s="3">
        <f>IF(M626&lt;&gt;"",M626/1.56,"")</f>
        <v/>
      </c>
      <c r="T626" s="3">
        <f>IF(N626&lt;&gt;"",N626,IF(O626&lt;&gt;"",O626,IF(L626&lt;&gt;"",L626/1.56,IF(M626&lt;&gt;"",M626/1.56,""))))</f>
        <v/>
      </c>
      <c r="U626" s="3" t="n">
        <v>187</v>
      </c>
      <c r="V626" s="3" t="n"/>
      <c r="W626" s="3" t="n"/>
      <c r="X626" s="4" t="n"/>
      <c r="Y626" s="5" t="n">
        <v>0.5600000000000001</v>
      </c>
      <c r="Z626" s="4">
        <f>IF(L626&lt;&gt;"",SQRT(3)*G626*L626/1000,"")</f>
        <v/>
      </c>
      <c r="AA626" t="inlineStr">
        <is>
          <t>Source=Copeland 2D/3D/4D/4R/6D/8D/9R compressors (pdf) p22</t>
        </is>
      </c>
      <c r="AB626" t="inlineStr">
        <is>
          <t>Copeland_RLA_230_460_3ph_60Hz.xlsx</t>
        </is>
      </c>
      <c r="AC626" t="inlineStr">
        <is>
          <t>Recip_2D-9R</t>
        </is>
      </c>
    </row>
    <row r="627">
      <c r="A627" t="inlineStr">
        <is>
          <t>COPELAND</t>
        </is>
      </c>
      <c r="B627" t="inlineStr">
        <is>
          <t>4DJ3F76KL-FSD</t>
        </is>
      </c>
      <c r="D627" t="inlineStr">
        <is>
          <t>Reciprocating Semi-hermetic</t>
        </is>
      </c>
      <c r="E627" s="2" t="n">
        <v>3</v>
      </c>
      <c r="F627" s="2" t="n">
        <v>60</v>
      </c>
      <c r="G627" s="2" t="n">
        <v>460</v>
      </c>
      <c r="H627" t="inlineStr">
        <is>
          <t>460</t>
        </is>
      </c>
      <c r="I627" s="2" t="n">
        <v>460</v>
      </c>
      <c r="J627" s="2" t="n">
        <v>460</v>
      </c>
      <c r="L627" s="3" t="n"/>
      <c r="M627" s="3" t="n"/>
      <c r="N627" s="3" t="n">
        <v>33.9</v>
      </c>
      <c r="O627" s="3" t="n"/>
      <c r="P627" s="3">
        <f>IF(L627&lt;&gt;"",L627/1.4,"")</f>
        <v/>
      </c>
      <c r="Q627" s="3">
        <f>IF(L627&lt;&gt;"",L627/1.56,"")</f>
        <v/>
      </c>
      <c r="R627" s="3">
        <f>IF(M627&lt;&gt;"",M627/1.4,"")</f>
        <v/>
      </c>
      <c r="S627" s="3">
        <f>IF(M627&lt;&gt;"",M627/1.56,"")</f>
        <v/>
      </c>
      <c r="T627" s="3">
        <f>IF(N627&lt;&gt;"",N627,IF(O627&lt;&gt;"",O627,IF(L627&lt;&gt;"",L627/1.56,IF(M627&lt;&gt;"",M627/1.56,""))))</f>
        <v/>
      </c>
      <c r="U627" s="3" t="n">
        <v>180</v>
      </c>
      <c r="V627" s="3" t="n">
        <v>108</v>
      </c>
      <c r="W627" s="3" t="n"/>
      <c r="X627" s="4" t="n"/>
      <c r="Y627" s="5" t="n">
        <v>0.5580000000000001</v>
      </c>
      <c r="Z627" s="4">
        <f>IF(L627&lt;&gt;"",SQRT(3)*G627*L627/1000,"")</f>
        <v/>
      </c>
      <c r="AA627" t="inlineStr">
        <is>
          <t>Source=Copeland 2D/3D/4D/4R/6D/8D/9R compressors (pdf) p22; PWS_RLA=17.0</t>
        </is>
      </c>
      <c r="AB627" t="inlineStr">
        <is>
          <t>Copeland_RLA_230_460_3ph_60Hz.xlsx</t>
        </is>
      </c>
      <c r="AC627" t="inlineStr">
        <is>
          <t>Recip_2D-9R</t>
        </is>
      </c>
    </row>
    <row r="628">
      <c r="A628" t="inlineStr">
        <is>
          <t>COPELAND</t>
        </is>
      </c>
      <c r="B628" t="inlineStr">
        <is>
          <t>4DJ3F76KL-TSK</t>
        </is>
      </c>
      <c r="D628" t="inlineStr">
        <is>
          <t>Reciprocating Semi-hermetic</t>
        </is>
      </c>
      <c r="E628" s="2" t="n">
        <v>3</v>
      </c>
      <c r="F628" s="2" t="n">
        <v>60</v>
      </c>
      <c r="G628" s="2" t="n">
        <v>230</v>
      </c>
      <c r="H628" t="inlineStr">
        <is>
          <t>208/230</t>
        </is>
      </c>
      <c r="I628" s="2" t="n">
        <v>208</v>
      </c>
      <c r="J628" s="2" t="n">
        <v>230</v>
      </c>
      <c r="L628" s="3" t="n"/>
      <c r="M628" s="3" t="n"/>
      <c r="N628" s="3" t="n">
        <v>64.3</v>
      </c>
      <c r="O628" s="3" t="n"/>
      <c r="P628" s="3">
        <f>IF(L628&lt;&gt;"",L628/1.4,"")</f>
        <v/>
      </c>
      <c r="Q628" s="3">
        <f>IF(L628&lt;&gt;"",L628/1.56,"")</f>
        <v/>
      </c>
      <c r="R628" s="3">
        <f>IF(M628&lt;&gt;"",M628/1.4,"")</f>
        <v/>
      </c>
      <c r="S628" s="3">
        <f>IF(M628&lt;&gt;"",M628/1.56,"")</f>
        <v/>
      </c>
      <c r="T628" s="3">
        <f>IF(N628&lt;&gt;"",N628,IF(O628&lt;&gt;"",O628,IF(L628&lt;&gt;"",L628/1.56,IF(M628&lt;&gt;"",M628/1.56,""))))</f>
        <v/>
      </c>
      <c r="U628" s="3" t="n">
        <v>374</v>
      </c>
      <c r="V628" s="3" t="n">
        <v>222</v>
      </c>
      <c r="W628" s="3" t="n"/>
      <c r="X628" s="4" t="n"/>
      <c r="Y628" s="5" t="n">
        <v>0.14</v>
      </c>
      <c r="Z628" s="4">
        <f>IF(L628&lt;&gt;"",SQRT(3)*G628*L628/1000,"")</f>
        <v/>
      </c>
      <c r="AA628" t="inlineStr">
        <is>
          <t>Source=Copeland 2D/3D/4D/4R/6D/8D/9R compressors (pdf) p22; PWS_RLA=33.0</t>
        </is>
      </c>
      <c r="AB628" t="inlineStr">
        <is>
          <t>Copeland_RLA_230_460_3ph_60Hz.xlsx</t>
        </is>
      </c>
      <c r="AC628" t="inlineStr">
        <is>
          <t>Recip_2D-9R</t>
        </is>
      </c>
    </row>
    <row r="629">
      <c r="A629" t="inlineStr">
        <is>
          <t>COPELAND</t>
        </is>
      </c>
      <c r="B629" t="inlineStr">
        <is>
          <t>4DJ3F76KL-TSK</t>
        </is>
      </c>
      <c r="D629" t="inlineStr">
        <is>
          <t>Reciprocating Semi-hermetic</t>
        </is>
      </c>
      <c r="E629" s="2" t="n">
        <v>3</v>
      </c>
      <c r="F629" s="2" t="n">
        <v>60</v>
      </c>
      <c r="G629" s="2" t="n">
        <v>460</v>
      </c>
      <c r="H629" t="inlineStr">
        <is>
          <t>460</t>
        </is>
      </c>
      <c r="I629" s="2" t="n">
        <v>460</v>
      </c>
      <c r="J629" s="2" t="n">
        <v>460</v>
      </c>
      <c r="L629" s="3" t="n"/>
      <c r="M629" s="3" t="n"/>
      <c r="N629" s="3" t="n">
        <v>32.1</v>
      </c>
      <c r="O629" s="3" t="n"/>
      <c r="P629" s="3">
        <f>IF(L629&lt;&gt;"",L629/1.4,"")</f>
        <v/>
      </c>
      <c r="Q629" s="3">
        <f>IF(L629&lt;&gt;"",L629/1.56,"")</f>
        <v/>
      </c>
      <c r="R629" s="3">
        <f>IF(M629&lt;&gt;"",M629/1.4,"")</f>
        <v/>
      </c>
      <c r="S629" s="3">
        <f>IF(M629&lt;&gt;"",M629/1.56,"")</f>
        <v/>
      </c>
      <c r="T629" s="3">
        <f>IF(N629&lt;&gt;"",N629,IF(O629&lt;&gt;"",O629,IF(L629&lt;&gt;"",L629/1.56,IF(M629&lt;&gt;"",M629/1.56,""))))</f>
        <v/>
      </c>
      <c r="U629" s="3" t="n">
        <v>187</v>
      </c>
      <c r="V629" s="3" t="n"/>
      <c r="W629" s="3" t="n"/>
      <c r="X629" s="4" t="n"/>
      <c r="Y629" s="5" t="n">
        <v>0.5600000000000001</v>
      </c>
      <c r="Z629" s="4">
        <f>IF(L629&lt;&gt;"",SQRT(3)*G629*L629/1000,"")</f>
        <v/>
      </c>
      <c r="AA629" t="inlineStr">
        <is>
          <t>Source=Copeland 2D/3D/4D/4R/6D/8D/9R compressors (pdf) p22</t>
        </is>
      </c>
      <c r="AB629" t="inlineStr">
        <is>
          <t>Copeland_RLA_230_460_3ph_60Hz.xlsx</t>
        </is>
      </c>
      <c r="AC629" t="inlineStr">
        <is>
          <t>Recip_2D-9R</t>
        </is>
      </c>
    </row>
    <row r="630">
      <c r="A630" t="inlineStr">
        <is>
          <t>COPELAND</t>
        </is>
      </c>
      <c r="B630" t="inlineStr">
        <is>
          <t>4DJ3R19ME-TSK</t>
        </is>
      </c>
      <c r="D630" t="inlineStr">
        <is>
          <t>Reciprocating Semi-hermetic</t>
        </is>
      </c>
      <c r="E630" s="2" t="n">
        <v>3</v>
      </c>
      <c r="F630" s="2" t="n">
        <v>60</v>
      </c>
      <c r="G630" s="2" t="n">
        <v>230</v>
      </c>
      <c r="H630" t="inlineStr">
        <is>
          <t>208/230</t>
        </is>
      </c>
      <c r="I630" s="2" t="n">
        <v>208</v>
      </c>
      <c r="J630" s="2" t="n">
        <v>230</v>
      </c>
      <c r="L630" s="3" t="n"/>
      <c r="M630" s="3" t="n"/>
      <c r="N630" s="3" t="n">
        <v>66</v>
      </c>
      <c r="O630" s="3" t="n"/>
      <c r="P630" s="3">
        <f>IF(L630&lt;&gt;"",L630/1.4,"")</f>
        <v/>
      </c>
      <c r="Q630" s="3">
        <f>IF(L630&lt;&gt;"",L630/1.56,"")</f>
        <v/>
      </c>
      <c r="R630" s="3">
        <f>IF(M630&lt;&gt;"",M630/1.4,"")</f>
        <v/>
      </c>
      <c r="S630" s="3">
        <f>IF(M630&lt;&gt;"",M630/1.56,"")</f>
        <v/>
      </c>
      <c r="T630" s="3">
        <f>IF(N630&lt;&gt;"",N630,IF(O630&lt;&gt;"",O630,IF(L630&lt;&gt;"",L630/1.56,IF(M630&lt;&gt;"",M630/1.56,""))))</f>
        <v/>
      </c>
      <c r="U630" s="3" t="n">
        <v>346</v>
      </c>
      <c r="V630" s="3" t="n">
        <v>208</v>
      </c>
      <c r="W630" s="3" t="n"/>
      <c r="X630" s="4" t="n"/>
      <c r="Y630" s="5" t="n">
        <v>0.142</v>
      </c>
      <c r="Z630" s="4">
        <f>IF(L630&lt;&gt;"",SQRT(3)*G630*L630/1000,"")</f>
        <v/>
      </c>
      <c r="AA630" t="inlineStr">
        <is>
          <t>Source=Copeland 2D/3D/4D/4R/6D/8D/9R compressors (pdf) p22; PWS_RLA=33.0</t>
        </is>
      </c>
      <c r="AB630" t="inlineStr">
        <is>
          <t>Copeland_RLA_230_460_3ph_60Hz.xlsx</t>
        </is>
      </c>
      <c r="AC630" t="inlineStr">
        <is>
          <t>Recip_2D-9R</t>
        </is>
      </c>
    </row>
    <row r="631">
      <c r="A631" t="inlineStr">
        <is>
          <t>COPELAND</t>
        </is>
      </c>
      <c r="B631" t="inlineStr">
        <is>
          <t>4DJ3R19ME-TSK</t>
        </is>
      </c>
      <c r="D631" t="inlineStr">
        <is>
          <t>Reciprocating Semi-hermetic</t>
        </is>
      </c>
      <c r="E631" s="2" t="n">
        <v>3</v>
      </c>
      <c r="F631" s="2" t="n">
        <v>60</v>
      </c>
      <c r="G631" s="2" t="n">
        <v>460</v>
      </c>
      <c r="H631" t="inlineStr">
        <is>
          <t>460</t>
        </is>
      </c>
      <c r="I631" s="2" t="n">
        <v>460</v>
      </c>
      <c r="J631" s="2" t="n">
        <v>460</v>
      </c>
      <c r="L631" s="3" t="n"/>
      <c r="M631" s="3" t="n"/>
      <c r="N631" s="3" t="n">
        <v>33</v>
      </c>
      <c r="O631" s="3" t="n"/>
      <c r="P631" s="3">
        <f>IF(L631&lt;&gt;"",L631/1.4,"")</f>
        <v/>
      </c>
      <c r="Q631" s="3">
        <f>IF(L631&lt;&gt;"",L631/1.56,"")</f>
        <v/>
      </c>
      <c r="R631" s="3">
        <f>IF(M631&lt;&gt;"",M631/1.4,"")</f>
        <v/>
      </c>
      <c r="S631" s="3">
        <f>IF(M631&lt;&gt;"",M631/1.56,"")</f>
        <v/>
      </c>
      <c r="T631" s="3">
        <f>IF(N631&lt;&gt;"",N631,IF(O631&lt;&gt;"",O631,IF(L631&lt;&gt;"",L631/1.56,IF(M631&lt;&gt;"",M631/1.56,""))))</f>
        <v/>
      </c>
      <c r="U631" s="3" t="n">
        <v>173</v>
      </c>
      <c r="V631" s="3" t="n"/>
      <c r="W631" s="3" t="n"/>
      <c r="X631" s="4" t="n"/>
      <c r="Y631" s="5" t="n">
        <v>0.5679999999999999</v>
      </c>
      <c r="Z631" s="4">
        <f>IF(L631&lt;&gt;"",SQRT(3)*G631*L631/1000,"")</f>
        <v/>
      </c>
      <c r="AA631" t="inlineStr">
        <is>
          <t>Source=Copeland 2D/3D/4D/4R/6D/8D/9R compressors (pdf) p22</t>
        </is>
      </c>
      <c r="AB631" t="inlineStr">
        <is>
          <t>Copeland_RLA_230_460_3ph_60Hz.xlsx</t>
        </is>
      </c>
      <c r="AC631" t="inlineStr">
        <is>
          <t>Recip_2D-9R</t>
        </is>
      </c>
    </row>
    <row r="632">
      <c r="A632" t="inlineStr">
        <is>
          <t>COPELAND</t>
        </is>
      </c>
      <c r="B632" t="inlineStr">
        <is>
          <t>4DJ3R19ML-TSK</t>
        </is>
      </c>
      <c r="D632" t="inlineStr">
        <is>
          <t>Reciprocating Semi-hermetic</t>
        </is>
      </c>
      <c r="E632" s="2" t="n">
        <v>3</v>
      </c>
      <c r="F632" s="2" t="n">
        <v>60</v>
      </c>
      <c r="G632" s="2" t="n">
        <v>230</v>
      </c>
      <c r="H632" t="inlineStr">
        <is>
          <t>208/230</t>
        </is>
      </c>
      <c r="I632" s="2" t="n">
        <v>208</v>
      </c>
      <c r="J632" s="2" t="n">
        <v>230</v>
      </c>
      <c r="L632" s="3" t="n"/>
      <c r="M632" s="3" t="n"/>
      <c r="N632" s="3" t="n">
        <v>66</v>
      </c>
      <c r="O632" s="3" t="n"/>
      <c r="P632" s="3">
        <f>IF(L632&lt;&gt;"",L632/1.4,"")</f>
        <v/>
      </c>
      <c r="Q632" s="3">
        <f>IF(L632&lt;&gt;"",L632/1.56,"")</f>
        <v/>
      </c>
      <c r="R632" s="3">
        <f>IF(M632&lt;&gt;"",M632/1.4,"")</f>
        <v/>
      </c>
      <c r="S632" s="3">
        <f>IF(M632&lt;&gt;"",M632/1.56,"")</f>
        <v/>
      </c>
      <c r="T632" s="3">
        <f>IF(N632&lt;&gt;"",N632,IF(O632&lt;&gt;"",O632,IF(L632&lt;&gt;"",L632/1.56,IF(M632&lt;&gt;"",M632/1.56,""))))</f>
        <v/>
      </c>
      <c r="U632" s="3" t="n">
        <v>346</v>
      </c>
      <c r="V632" s="3" t="n">
        <v>208</v>
      </c>
      <c r="W632" s="3" t="n"/>
      <c r="X632" s="4" t="n"/>
      <c r="Y632" s="5" t="n">
        <v>0.142</v>
      </c>
      <c r="Z632" s="4">
        <f>IF(L632&lt;&gt;"",SQRT(3)*G632*L632/1000,"")</f>
        <v/>
      </c>
      <c r="AA632" t="inlineStr">
        <is>
          <t>Source=Copeland 2D/3D/4D/4R/6D/8D/9R compressors (pdf) p22; PWS_RLA=33.0</t>
        </is>
      </c>
      <c r="AB632" t="inlineStr">
        <is>
          <t>Copeland_RLA_230_460_3ph_60Hz.xlsx</t>
        </is>
      </c>
      <c r="AC632" t="inlineStr">
        <is>
          <t>Recip_2D-9R</t>
        </is>
      </c>
    </row>
    <row r="633">
      <c r="A633" t="inlineStr">
        <is>
          <t>COPELAND</t>
        </is>
      </c>
      <c r="B633" t="inlineStr">
        <is>
          <t>4DJ3R19ML-TSK</t>
        </is>
      </c>
      <c r="D633" t="inlineStr">
        <is>
          <t>Reciprocating Semi-hermetic</t>
        </is>
      </c>
      <c r="E633" s="2" t="n">
        <v>3</v>
      </c>
      <c r="F633" s="2" t="n">
        <v>60</v>
      </c>
      <c r="G633" s="2" t="n">
        <v>460</v>
      </c>
      <c r="H633" t="inlineStr">
        <is>
          <t>460</t>
        </is>
      </c>
      <c r="I633" s="2" t="n">
        <v>460</v>
      </c>
      <c r="J633" s="2" t="n">
        <v>460</v>
      </c>
      <c r="L633" s="3" t="n"/>
      <c r="M633" s="3" t="n"/>
      <c r="N633" s="3" t="n">
        <v>33</v>
      </c>
      <c r="O633" s="3" t="n"/>
      <c r="P633" s="3">
        <f>IF(L633&lt;&gt;"",L633/1.4,"")</f>
        <v/>
      </c>
      <c r="Q633" s="3">
        <f>IF(L633&lt;&gt;"",L633/1.56,"")</f>
        <v/>
      </c>
      <c r="R633" s="3">
        <f>IF(M633&lt;&gt;"",M633/1.4,"")</f>
        <v/>
      </c>
      <c r="S633" s="3">
        <f>IF(M633&lt;&gt;"",M633/1.56,"")</f>
        <v/>
      </c>
      <c r="T633" s="3">
        <f>IF(N633&lt;&gt;"",N633,IF(O633&lt;&gt;"",O633,IF(L633&lt;&gt;"",L633/1.56,IF(M633&lt;&gt;"",M633/1.56,""))))</f>
        <v/>
      </c>
      <c r="U633" s="3" t="n">
        <v>173</v>
      </c>
      <c r="V633" s="3" t="n"/>
      <c r="W633" s="3" t="n"/>
      <c r="X633" s="4" t="n"/>
      <c r="Y633" s="5" t="n">
        <v>0.5679999999999999</v>
      </c>
      <c r="Z633" s="4">
        <f>IF(L633&lt;&gt;"",SQRT(3)*G633*L633/1000,"")</f>
        <v/>
      </c>
      <c r="AA633" t="inlineStr">
        <is>
          <t>Source=Copeland 2D/3D/4D/4R/6D/8D/9R compressors (pdf) p22</t>
        </is>
      </c>
      <c r="AB633" t="inlineStr">
        <is>
          <t>Copeland_RLA_230_460_3ph_60Hz.xlsx</t>
        </is>
      </c>
      <c r="AC633" t="inlineStr">
        <is>
          <t>Recip_2D-9R</t>
        </is>
      </c>
    </row>
    <row r="634">
      <c r="A634" t="inlineStr">
        <is>
          <t>COPELAND</t>
        </is>
      </c>
      <c r="B634" t="inlineStr">
        <is>
          <t>4DJ3R28M0-FSD</t>
        </is>
      </c>
      <c r="D634" t="inlineStr">
        <is>
          <t>Reciprocating Semi-hermetic</t>
        </is>
      </c>
      <c r="E634" s="2" t="n">
        <v>3</v>
      </c>
      <c r="F634" s="2" t="n">
        <v>60</v>
      </c>
      <c r="G634" s="2" t="n">
        <v>460</v>
      </c>
      <c r="H634" t="inlineStr">
        <is>
          <t>460</t>
        </is>
      </c>
      <c r="I634" s="2" t="n">
        <v>460</v>
      </c>
      <c r="J634" s="2" t="n">
        <v>460</v>
      </c>
      <c r="L634" s="3" t="n"/>
      <c r="M634" s="3" t="n"/>
      <c r="N634" s="3" t="n">
        <v>45</v>
      </c>
      <c r="O634" s="3" t="n"/>
      <c r="P634" s="3">
        <f>IF(L634&lt;&gt;"",L634/1.4,"")</f>
        <v/>
      </c>
      <c r="Q634" s="3">
        <f>IF(L634&lt;&gt;"",L634/1.56,"")</f>
        <v/>
      </c>
      <c r="R634" s="3">
        <f>IF(M634&lt;&gt;"",M634/1.4,"")</f>
        <v/>
      </c>
      <c r="S634" s="3">
        <f>IF(M634&lt;&gt;"",M634/1.56,"")</f>
        <v/>
      </c>
      <c r="T634" s="3">
        <f>IF(N634&lt;&gt;"",N634,IF(O634&lt;&gt;"",O634,IF(L634&lt;&gt;"",L634/1.56,IF(M634&lt;&gt;"",M634/1.56,""))))</f>
        <v/>
      </c>
      <c r="U634" s="3" t="n">
        <v>235</v>
      </c>
      <c r="V634" s="3" t="n">
        <v>141</v>
      </c>
      <c r="W634" s="3" t="n"/>
      <c r="X634" s="4" t="n"/>
      <c r="Y634" s="5" t="n">
        <v>0.45</v>
      </c>
      <c r="Z634" s="4">
        <f>IF(L634&lt;&gt;"",SQRT(3)*G634*L634/1000,"")</f>
        <v/>
      </c>
      <c r="AA634" t="inlineStr">
        <is>
          <t>Source=Copeland 2D/3D/4D/4R/6D/8D/9R compressors (pdf) p22; PWS_RLA=22.5</t>
        </is>
      </c>
      <c r="AB634" t="inlineStr">
        <is>
          <t>Copeland_RLA_230_460_3ph_60Hz.xlsx</t>
        </is>
      </c>
      <c r="AC634" t="inlineStr">
        <is>
          <t>Recip_2D-9R</t>
        </is>
      </c>
    </row>
    <row r="635">
      <c r="A635" t="inlineStr">
        <is>
          <t>COPELAND</t>
        </is>
      </c>
      <c r="B635" t="inlineStr">
        <is>
          <t>4DJ3R28M0-TSK</t>
        </is>
      </c>
      <c r="D635" t="inlineStr">
        <is>
          <t>Reciprocating Semi-hermetic</t>
        </is>
      </c>
      <c r="E635" s="2" t="n">
        <v>3</v>
      </c>
      <c r="F635" s="2" t="n">
        <v>60</v>
      </c>
      <c r="G635" s="2" t="n">
        <v>230</v>
      </c>
      <c r="H635" t="inlineStr">
        <is>
          <t>208/230</t>
        </is>
      </c>
      <c r="I635" s="2" t="n">
        <v>208</v>
      </c>
      <c r="J635" s="2" t="n">
        <v>230</v>
      </c>
      <c r="L635" s="3" t="n"/>
      <c r="M635" s="3" t="n"/>
      <c r="N635" s="3" t="n">
        <v>94</v>
      </c>
      <c r="O635" s="3" t="n"/>
      <c r="P635" s="3">
        <f>IF(L635&lt;&gt;"",L635/1.4,"")</f>
        <v/>
      </c>
      <c r="Q635" s="3">
        <f>IF(L635&lt;&gt;"",L635/1.56,"")</f>
        <v/>
      </c>
      <c r="R635" s="3">
        <f>IF(M635&lt;&gt;"",M635/1.4,"")</f>
        <v/>
      </c>
      <c r="S635" s="3">
        <f>IF(M635&lt;&gt;"",M635/1.56,"")</f>
        <v/>
      </c>
      <c r="T635" s="3">
        <f>IF(N635&lt;&gt;"",N635,IF(O635&lt;&gt;"",O635,IF(L635&lt;&gt;"",L635/1.56,IF(M635&lt;&gt;"",M635/1.56,""))))</f>
        <v/>
      </c>
      <c r="U635" s="3" t="n">
        <v>470</v>
      </c>
      <c r="V635" s="3" t="n">
        <v>292</v>
      </c>
      <c r="W635" s="3" t="n"/>
      <c r="X635" s="4" t="n"/>
      <c r="Y635" s="5" t="n">
        <v>0.111</v>
      </c>
      <c r="Z635" s="4">
        <f>IF(L635&lt;&gt;"",SQRT(3)*G635*L635/1000,"")</f>
        <v/>
      </c>
      <c r="AA635" t="inlineStr">
        <is>
          <t>Source=Copeland 2D/3D/4D/4R/6D/8D/9R compressors (pdf) p22; PWS_RLA=47.0</t>
        </is>
      </c>
      <c r="AB635" t="inlineStr">
        <is>
          <t>Copeland_RLA_230_460_3ph_60Hz.xlsx</t>
        </is>
      </c>
      <c r="AC635" t="inlineStr">
        <is>
          <t>Recip_2D-9R</t>
        </is>
      </c>
    </row>
    <row r="636">
      <c r="A636" t="inlineStr">
        <is>
          <t>COPELAND</t>
        </is>
      </c>
      <c r="B636" t="inlineStr">
        <is>
          <t>4DJ3R28M0-TSK</t>
        </is>
      </c>
      <c r="D636" t="inlineStr">
        <is>
          <t>Reciprocating Semi-hermetic</t>
        </is>
      </c>
      <c r="E636" s="2" t="n">
        <v>3</v>
      </c>
      <c r="F636" s="2" t="n">
        <v>60</v>
      </c>
      <c r="G636" s="2" t="n">
        <v>460</v>
      </c>
      <c r="H636" t="inlineStr">
        <is>
          <t>460</t>
        </is>
      </c>
      <c r="I636" s="2" t="n">
        <v>460</v>
      </c>
      <c r="J636" s="2" t="n">
        <v>460</v>
      </c>
      <c r="L636" s="3" t="n"/>
      <c r="M636" s="3" t="n"/>
      <c r="N636" s="3" t="n">
        <v>47</v>
      </c>
      <c r="O636" s="3" t="n"/>
      <c r="P636" s="3">
        <f>IF(L636&lt;&gt;"",L636/1.4,"")</f>
        <v/>
      </c>
      <c r="Q636" s="3">
        <f>IF(L636&lt;&gt;"",L636/1.56,"")</f>
        <v/>
      </c>
      <c r="R636" s="3">
        <f>IF(M636&lt;&gt;"",M636/1.4,"")</f>
        <v/>
      </c>
      <c r="S636" s="3">
        <f>IF(M636&lt;&gt;"",M636/1.56,"")</f>
        <v/>
      </c>
      <c r="T636" s="3">
        <f>IF(N636&lt;&gt;"",N636,IF(O636&lt;&gt;"",O636,IF(L636&lt;&gt;"",L636/1.56,IF(M636&lt;&gt;"",M636/1.56,""))))</f>
        <v/>
      </c>
      <c r="U636" s="3" t="n">
        <v>235</v>
      </c>
      <c r="V636" s="3" t="n"/>
      <c r="W636" s="3" t="n"/>
      <c r="X636" s="4" t="n"/>
      <c r="Y636" s="5" t="n">
        <v>0.444</v>
      </c>
      <c r="Z636" s="4">
        <f>IF(L636&lt;&gt;"",SQRT(3)*G636*L636/1000,"")</f>
        <v/>
      </c>
      <c r="AA636" t="inlineStr">
        <is>
          <t>Source=Copeland 2D/3D/4D/4R/6D/8D/9R compressors (pdf) p22</t>
        </is>
      </c>
      <c r="AB636" t="inlineStr">
        <is>
          <t>Copeland_RLA_230_460_3ph_60Hz.xlsx</t>
        </is>
      </c>
      <c r="AC636" t="inlineStr">
        <is>
          <t>Recip_2D-9R</t>
        </is>
      </c>
    </row>
    <row r="637">
      <c r="A637" t="inlineStr">
        <is>
          <t>COPELAND</t>
        </is>
      </c>
      <c r="B637" t="inlineStr">
        <is>
          <t>4DJ3R28ME-FSD</t>
        </is>
      </c>
      <c r="D637" t="inlineStr">
        <is>
          <t>Reciprocating Semi-hermetic</t>
        </is>
      </c>
      <c r="E637" s="2" t="n">
        <v>3</v>
      </c>
      <c r="F637" s="2" t="n">
        <v>60</v>
      </c>
      <c r="G637" s="2" t="n">
        <v>460</v>
      </c>
      <c r="H637" t="inlineStr">
        <is>
          <t>460</t>
        </is>
      </c>
      <c r="I637" s="2" t="n">
        <v>460</v>
      </c>
      <c r="J637" s="2" t="n">
        <v>460</v>
      </c>
      <c r="L637" s="3" t="n"/>
      <c r="M637" s="3" t="n"/>
      <c r="N637" s="3" t="n">
        <v>45</v>
      </c>
      <c r="O637" s="3" t="n"/>
      <c r="P637" s="3">
        <f>IF(L637&lt;&gt;"",L637/1.4,"")</f>
        <v/>
      </c>
      <c r="Q637" s="3">
        <f>IF(L637&lt;&gt;"",L637/1.56,"")</f>
        <v/>
      </c>
      <c r="R637" s="3">
        <f>IF(M637&lt;&gt;"",M637/1.4,"")</f>
        <v/>
      </c>
      <c r="S637" s="3">
        <f>IF(M637&lt;&gt;"",M637/1.56,"")</f>
        <v/>
      </c>
      <c r="T637" s="3">
        <f>IF(N637&lt;&gt;"",N637,IF(O637&lt;&gt;"",O637,IF(L637&lt;&gt;"",L637/1.56,IF(M637&lt;&gt;"",M637/1.56,""))))</f>
        <v/>
      </c>
      <c r="U637" s="3" t="n">
        <v>235</v>
      </c>
      <c r="V637" s="3" t="n">
        <v>141</v>
      </c>
      <c r="W637" s="3" t="n"/>
      <c r="X637" s="4" t="n"/>
      <c r="Y637" s="5" t="n">
        <v>0.45</v>
      </c>
      <c r="Z637" s="4">
        <f>IF(L637&lt;&gt;"",SQRT(3)*G637*L637/1000,"")</f>
        <v/>
      </c>
      <c r="AA637" t="inlineStr">
        <is>
          <t>Source=Copeland 2D/3D/4D/4R/6D/8D/9R compressors (pdf) p22; PWS_RLA=22.5</t>
        </is>
      </c>
      <c r="AB637" t="inlineStr">
        <is>
          <t>Copeland_RLA_230_460_3ph_60Hz.xlsx</t>
        </is>
      </c>
      <c r="AC637" t="inlineStr">
        <is>
          <t>Recip_2D-9R</t>
        </is>
      </c>
    </row>
    <row r="638">
      <c r="A638" t="inlineStr">
        <is>
          <t>COPELAND</t>
        </is>
      </c>
      <c r="B638" t="inlineStr">
        <is>
          <t>4DJ3R28ME-FSD</t>
        </is>
      </c>
      <c r="D638" t="inlineStr">
        <is>
          <t>Reciprocating Semi-hermetic</t>
        </is>
      </c>
      <c r="E638" s="2" t="n">
        <v>3</v>
      </c>
      <c r="F638" s="2" t="n">
        <v>60</v>
      </c>
      <c r="G638" s="2" t="n">
        <v>460</v>
      </c>
      <c r="H638" t="inlineStr">
        <is>
          <t>460</t>
        </is>
      </c>
      <c r="I638" s="2" t="n">
        <v>460</v>
      </c>
      <c r="J638" s="2" t="n">
        <v>460</v>
      </c>
      <c r="L638" s="3" t="n"/>
      <c r="M638" s="3" t="n"/>
      <c r="N638" s="3" t="n">
        <v>51.9</v>
      </c>
      <c r="O638" s="3" t="n"/>
      <c r="P638" s="3">
        <f>IF(L638&lt;&gt;"",L638/1.4,"")</f>
        <v/>
      </c>
      <c r="Q638" s="3">
        <f>IF(L638&lt;&gt;"",L638/1.56,"")</f>
        <v/>
      </c>
      <c r="R638" s="3">
        <f>IF(M638&lt;&gt;"",M638/1.4,"")</f>
        <v/>
      </c>
      <c r="S638" s="3">
        <f>IF(M638&lt;&gt;"",M638/1.56,"")</f>
        <v/>
      </c>
      <c r="T638" s="3">
        <f>IF(N638&lt;&gt;"",N638,IF(O638&lt;&gt;"",O638,IF(L638&lt;&gt;"",L638/1.56,IF(M638&lt;&gt;"",M638/1.56,""))))</f>
        <v/>
      </c>
      <c r="U638" s="3" t="n">
        <v>235</v>
      </c>
      <c r="V638" s="3" t="n">
        <v>141</v>
      </c>
      <c r="W638" s="3" t="n"/>
      <c r="X638" s="4" t="n"/>
      <c r="Y638" s="5" t="n">
        <v>0.45</v>
      </c>
      <c r="Z638" s="4">
        <f>IF(L638&lt;&gt;"",SQRT(3)*G638*L638/1000,"")</f>
        <v/>
      </c>
      <c r="AA638" t="inlineStr">
        <is>
          <t>Source=Copeland 2D/3D/4D/4R/6D/8D/9R compressors (pdf) p22; PWS_RLA=25.9</t>
        </is>
      </c>
      <c r="AB638" t="inlineStr">
        <is>
          <t>Copeland_RLA_230_460_3ph_60Hz.xlsx</t>
        </is>
      </c>
      <c r="AC638" t="inlineStr">
        <is>
          <t>Recip_2D-9R</t>
        </is>
      </c>
    </row>
    <row r="639">
      <c r="A639" t="inlineStr">
        <is>
          <t>COPELAND</t>
        </is>
      </c>
      <c r="B639" t="inlineStr">
        <is>
          <t>4DJ3R28ME-TSK</t>
        </is>
      </c>
      <c r="D639" t="inlineStr">
        <is>
          <t>Reciprocating Semi-hermetic</t>
        </is>
      </c>
      <c r="E639" s="2" t="n">
        <v>3</v>
      </c>
      <c r="F639" s="2" t="n">
        <v>60</v>
      </c>
      <c r="G639" s="2" t="n">
        <v>230</v>
      </c>
      <c r="H639" t="inlineStr">
        <is>
          <t>208/230</t>
        </is>
      </c>
      <c r="I639" s="2" t="n">
        <v>208</v>
      </c>
      <c r="J639" s="2" t="n">
        <v>230</v>
      </c>
      <c r="L639" s="3" t="n"/>
      <c r="M639" s="3" t="n"/>
      <c r="N639" s="3" t="n">
        <v>94</v>
      </c>
      <c r="O639" s="3" t="n"/>
      <c r="P639" s="3">
        <f>IF(L639&lt;&gt;"",L639/1.4,"")</f>
        <v/>
      </c>
      <c r="Q639" s="3">
        <f>IF(L639&lt;&gt;"",L639/1.56,"")</f>
        <v/>
      </c>
      <c r="R639" s="3">
        <f>IF(M639&lt;&gt;"",M639/1.4,"")</f>
        <v/>
      </c>
      <c r="S639" s="3">
        <f>IF(M639&lt;&gt;"",M639/1.56,"")</f>
        <v/>
      </c>
      <c r="T639" s="3">
        <f>IF(N639&lt;&gt;"",N639,IF(O639&lt;&gt;"",O639,IF(L639&lt;&gt;"",L639/1.56,IF(M639&lt;&gt;"",M639/1.56,""))))</f>
        <v/>
      </c>
      <c r="U639" s="3" t="n">
        <v>470</v>
      </c>
      <c r="V639" s="3" t="n">
        <v>292</v>
      </c>
      <c r="W639" s="3" t="n"/>
      <c r="X639" s="4" t="n"/>
      <c r="Y639" s="5" t="n">
        <v>0.111</v>
      </c>
      <c r="Z639" s="4">
        <f>IF(L639&lt;&gt;"",SQRT(3)*G639*L639/1000,"")</f>
        <v/>
      </c>
      <c r="AA639" t="inlineStr">
        <is>
          <t>Source=Copeland 2D/3D/4D/4R/6D/8D/9R compressors (pdf) p22; PWS_RLA=57.1</t>
        </is>
      </c>
      <c r="AB639" t="inlineStr">
        <is>
          <t>Copeland_RLA_230_460_3ph_60Hz.xlsx</t>
        </is>
      </c>
      <c r="AC639" t="inlineStr">
        <is>
          <t>Recip_2D-9R</t>
        </is>
      </c>
    </row>
    <row r="640">
      <c r="A640" t="inlineStr">
        <is>
          <t>COPELAND</t>
        </is>
      </c>
      <c r="B640" t="inlineStr">
        <is>
          <t>4DJ3R28ME-TSK</t>
        </is>
      </c>
      <c r="D640" t="inlineStr">
        <is>
          <t>Reciprocating Semi-hermetic</t>
        </is>
      </c>
      <c r="E640" s="2" t="n">
        <v>3</v>
      </c>
      <c r="F640" s="2" t="n">
        <v>60</v>
      </c>
      <c r="G640" s="2" t="n">
        <v>460</v>
      </c>
      <c r="H640" t="inlineStr">
        <is>
          <t>460</t>
        </is>
      </c>
      <c r="I640" s="2" t="n">
        <v>460</v>
      </c>
      <c r="J640" s="2" t="n">
        <v>460</v>
      </c>
      <c r="L640" s="3" t="n"/>
      <c r="M640" s="3" t="n"/>
      <c r="N640" s="3" t="n">
        <v>57.1</v>
      </c>
      <c r="O640" s="3" t="n"/>
      <c r="P640" s="3">
        <f>IF(L640&lt;&gt;"",L640/1.4,"")</f>
        <v/>
      </c>
      <c r="Q640" s="3">
        <f>IF(L640&lt;&gt;"",L640/1.56,"")</f>
        <v/>
      </c>
      <c r="R640" s="3">
        <f>IF(M640&lt;&gt;"",M640/1.4,"")</f>
        <v/>
      </c>
      <c r="S640" s="3">
        <f>IF(M640&lt;&gt;"",M640/1.56,"")</f>
        <v/>
      </c>
      <c r="T640" s="3">
        <f>IF(N640&lt;&gt;"",N640,IF(O640&lt;&gt;"",O640,IF(L640&lt;&gt;"",L640/1.56,IF(M640&lt;&gt;"",M640/1.56,""))))</f>
        <v/>
      </c>
      <c r="U640" s="3" t="n">
        <v>235</v>
      </c>
      <c r="V640" s="3" t="n"/>
      <c r="W640" s="3" t="n"/>
      <c r="X640" s="4" t="n"/>
      <c r="Y640" s="5" t="n">
        <v>0.444</v>
      </c>
      <c r="Z640" s="4">
        <f>IF(L640&lt;&gt;"",SQRT(3)*G640*L640/1000,"")</f>
        <v/>
      </c>
      <c r="AA640" t="inlineStr">
        <is>
          <t>Source=Copeland 2D/3D/4D/4R/6D/8D/9R compressors (pdf) p22</t>
        </is>
      </c>
      <c r="AB640" t="inlineStr">
        <is>
          <t>Copeland_RLA_230_460_3ph_60Hz.xlsx</t>
        </is>
      </c>
      <c r="AC640" t="inlineStr">
        <is>
          <t>Recip_2D-9R</t>
        </is>
      </c>
    </row>
    <row r="641">
      <c r="A641" t="inlineStr">
        <is>
          <t>COPELAND</t>
        </is>
      </c>
      <c r="B641" t="inlineStr">
        <is>
          <t>4DJ3R28ML-FSD</t>
        </is>
      </c>
      <c r="D641" t="inlineStr">
        <is>
          <t>Reciprocating Semi-hermetic</t>
        </is>
      </c>
      <c r="E641" s="2" t="n">
        <v>3</v>
      </c>
      <c r="F641" s="2" t="n">
        <v>60</v>
      </c>
      <c r="G641" s="2" t="n">
        <v>460</v>
      </c>
      <c r="H641" t="inlineStr">
        <is>
          <t>460</t>
        </is>
      </c>
      <c r="I641" s="2" t="n">
        <v>460</v>
      </c>
      <c r="J641" s="2" t="n">
        <v>460</v>
      </c>
      <c r="L641" s="3" t="n"/>
      <c r="M641" s="3" t="n"/>
      <c r="N641" s="3" t="n">
        <v>45</v>
      </c>
      <c r="O641" s="3" t="n"/>
      <c r="P641" s="3">
        <f>IF(L641&lt;&gt;"",L641/1.4,"")</f>
        <v/>
      </c>
      <c r="Q641" s="3">
        <f>IF(L641&lt;&gt;"",L641/1.56,"")</f>
        <v/>
      </c>
      <c r="R641" s="3">
        <f>IF(M641&lt;&gt;"",M641/1.4,"")</f>
        <v/>
      </c>
      <c r="S641" s="3">
        <f>IF(M641&lt;&gt;"",M641/1.56,"")</f>
        <v/>
      </c>
      <c r="T641" s="3">
        <f>IF(N641&lt;&gt;"",N641,IF(O641&lt;&gt;"",O641,IF(L641&lt;&gt;"",L641/1.56,IF(M641&lt;&gt;"",M641/1.56,""))))</f>
        <v/>
      </c>
      <c r="U641" s="3" t="n">
        <v>235</v>
      </c>
      <c r="V641" s="3" t="n">
        <v>141</v>
      </c>
      <c r="W641" s="3" t="n"/>
      <c r="X641" s="4" t="n"/>
      <c r="Y641" s="5" t="n">
        <v>0.45</v>
      </c>
      <c r="Z641" s="4">
        <f>IF(L641&lt;&gt;"",SQRT(3)*G641*L641/1000,"")</f>
        <v/>
      </c>
      <c r="AA641" t="inlineStr">
        <is>
          <t>Source=Copeland 2D/3D/4D/4R/6D/8D/9R compressors (pdf) p22; PWS_RLA=22.5</t>
        </is>
      </c>
      <c r="AB641" t="inlineStr">
        <is>
          <t>Copeland_RLA_230_460_3ph_60Hz.xlsx</t>
        </is>
      </c>
      <c r="AC641" t="inlineStr">
        <is>
          <t>Recip_2D-9R</t>
        </is>
      </c>
    </row>
    <row r="642">
      <c r="A642" t="inlineStr">
        <is>
          <t>COPELAND</t>
        </is>
      </c>
      <c r="B642" t="inlineStr">
        <is>
          <t>4DJ3R28ML-FSD</t>
        </is>
      </c>
      <c r="D642" t="inlineStr">
        <is>
          <t>Reciprocating Semi-hermetic</t>
        </is>
      </c>
      <c r="E642" s="2" t="n">
        <v>3</v>
      </c>
      <c r="F642" s="2" t="n">
        <v>60</v>
      </c>
      <c r="G642" s="2" t="n">
        <v>460</v>
      </c>
      <c r="H642" t="inlineStr">
        <is>
          <t>460</t>
        </is>
      </c>
      <c r="I642" s="2" t="n">
        <v>460</v>
      </c>
      <c r="J642" s="2" t="n">
        <v>460</v>
      </c>
      <c r="L642" s="3" t="n"/>
      <c r="M642" s="3" t="n"/>
      <c r="N642" s="3" t="n">
        <v>51.9</v>
      </c>
      <c r="O642" s="3" t="n"/>
      <c r="P642" s="3">
        <f>IF(L642&lt;&gt;"",L642/1.4,"")</f>
        <v/>
      </c>
      <c r="Q642" s="3">
        <f>IF(L642&lt;&gt;"",L642/1.56,"")</f>
        <v/>
      </c>
      <c r="R642" s="3">
        <f>IF(M642&lt;&gt;"",M642/1.4,"")</f>
        <v/>
      </c>
      <c r="S642" s="3">
        <f>IF(M642&lt;&gt;"",M642/1.56,"")</f>
        <v/>
      </c>
      <c r="T642" s="3">
        <f>IF(N642&lt;&gt;"",N642,IF(O642&lt;&gt;"",O642,IF(L642&lt;&gt;"",L642/1.56,IF(M642&lt;&gt;"",M642/1.56,""))))</f>
        <v/>
      </c>
      <c r="U642" s="3" t="n">
        <v>235</v>
      </c>
      <c r="V642" s="3" t="n">
        <v>141</v>
      </c>
      <c r="W642" s="3" t="n"/>
      <c r="X642" s="4" t="n"/>
      <c r="Y642" s="5" t="n">
        <v>0.45</v>
      </c>
      <c r="Z642" s="4">
        <f>IF(L642&lt;&gt;"",SQRT(3)*G642*L642/1000,"")</f>
        <v/>
      </c>
      <c r="AA642" t="inlineStr">
        <is>
          <t>Source=Copeland 2D/3D/4D/4R/6D/8D/9R compressors (pdf) p22; PWS_RLA=25.9</t>
        </is>
      </c>
      <c r="AB642" t="inlineStr">
        <is>
          <t>Copeland_RLA_230_460_3ph_60Hz.xlsx</t>
        </is>
      </c>
      <c r="AC642" t="inlineStr">
        <is>
          <t>Recip_2D-9R</t>
        </is>
      </c>
    </row>
    <row r="643">
      <c r="A643" t="inlineStr">
        <is>
          <t>COPELAND</t>
        </is>
      </c>
      <c r="B643" t="inlineStr">
        <is>
          <t>4DJ3R28ML-TSK</t>
        </is>
      </c>
      <c r="D643" t="inlineStr">
        <is>
          <t>Reciprocating Semi-hermetic</t>
        </is>
      </c>
      <c r="E643" s="2" t="n">
        <v>3</v>
      </c>
      <c r="F643" s="2" t="n">
        <v>60</v>
      </c>
      <c r="G643" s="2" t="n">
        <v>230</v>
      </c>
      <c r="H643" t="inlineStr">
        <is>
          <t>208/230</t>
        </is>
      </c>
      <c r="I643" s="2" t="n">
        <v>208</v>
      </c>
      <c r="J643" s="2" t="n">
        <v>230</v>
      </c>
      <c r="L643" s="3" t="n"/>
      <c r="M643" s="3" t="n"/>
      <c r="N643" s="3" t="n">
        <v>94</v>
      </c>
      <c r="O643" s="3" t="n"/>
      <c r="P643" s="3">
        <f>IF(L643&lt;&gt;"",L643/1.4,"")</f>
        <v/>
      </c>
      <c r="Q643" s="3">
        <f>IF(L643&lt;&gt;"",L643/1.56,"")</f>
        <v/>
      </c>
      <c r="R643" s="3">
        <f>IF(M643&lt;&gt;"",M643/1.4,"")</f>
        <v/>
      </c>
      <c r="S643" s="3">
        <f>IF(M643&lt;&gt;"",M643/1.56,"")</f>
        <v/>
      </c>
      <c r="T643" s="3">
        <f>IF(N643&lt;&gt;"",N643,IF(O643&lt;&gt;"",O643,IF(L643&lt;&gt;"",L643/1.56,IF(M643&lt;&gt;"",M643/1.56,""))))</f>
        <v/>
      </c>
      <c r="U643" s="3" t="n">
        <v>470</v>
      </c>
      <c r="V643" s="3" t="n">
        <v>292</v>
      </c>
      <c r="W643" s="3" t="n"/>
      <c r="X643" s="4" t="n"/>
      <c r="Y643" s="5" t="n">
        <v>0.111</v>
      </c>
      <c r="Z643" s="4">
        <f>IF(L643&lt;&gt;"",SQRT(3)*G643*L643/1000,"")</f>
        <v/>
      </c>
      <c r="AA643" t="inlineStr">
        <is>
          <t>Source=Copeland 2D/3D/4D/4R/6D/8D/9R compressors (pdf) p22; PWS_RLA=57.1</t>
        </is>
      </c>
      <c r="AB643" t="inlineStr">
        <is>
          <t>Copeland_RLA_230_460_3ph_60Hz.xlsx</t>
        </is>
      </c>
      <c r="AC643" t="inlineStr">
        <is>
          <t>Recip_2D-9R</t>
        </is>
      </c>
    </row>
    <row r="644">
      <c r="A644" t="inlineStr">
        <is>
          <t>COPELAND</t>
        </is>
      </c>
      <c r="B644" t="inlineStr">
        <is>
          <t>4DJ3R28ML-TSK</t>
        </is>
      </c>
      <c r="D644" t="inlineStr">
        <is>
          <t>Reciprocating Semi-hermetic</t>
        </is>
      </c>
      <c r="E644" s="2" t="n">
        <v>3</v>
      </c>
      <c r="F644" s="2" t="n">
        <v>60</v>
      </c>
      <c r="G644" s="2" t="n">
        <v>460</v>
      </c>
      <c r="H644" t="inlineStr">
        <is>
          <t>460</t>
        </is>
      </c>
      <c r="I644" s="2" t="n">
        <v>460</v>
      </c>
      <c r="J644" s="2" t="n">
        <v>460</v>
      </c>
      <c r="L644" s="3" t="n"/>
      <c r="M644" s="3" t="n"/>
      <c r="N644" s="3" t="n">
        <v>57.1</v>
      </c>
      <c r="O644" s="3" t="n"/>
      <c r="P644" s="3">
        <f>IF(L644&lt;&gt;"",L644/1.4,"")</f>
        <v/>
      </c>
      <c r="Q644" s="3">
        <f>IF(L644&lt;&gt;"",L644/1.56,"")</f>
        <v/>
      </c>
      <c r="R644" s="3">
        <f>IF(M644&lt;&gt;"",M644/1.4,"")</f>
        <v/>
      </c>
      <c r="S644" s="3">
        <f>IF(M644&lt;&gt;"",M644/1.56,"")</f>
        <v/>
      </c>
      <c r="T644" s="3">
        <f>IF(N644&lt;&gt;"",N644,IF(O644&lt;&gt;"",O644,IF(L644&lt;&gt;"",L644/1.56,IF(M644&lt;&gt;"",M644/1.56,""))))</f>
        <v/>
      </c>
      <c r="U644" s="3" t="n">
        <v>235</v>
      </c>
      <c r="V644" s="3" t="n"/>
      <c r="W644" s="3" t="n"/>
      <c r="X644" s="4" t="n"/>
      <c r="Y644" s="5" t="n">
        <v>0.444</v>
      </c>
      <c r="Z644" s="4">
        <f>IF(L644&lt;&gt;"",SQRT(3)*G644*L644/1000,"")</f>
        <v/>
      </c>
      <c r="AA644" t="inlineStr">
        <is>
          <t>Source=Copeland 2D/3D/4D/4R/6D/8D/9R compressors (pdf) p23</t>
        </is>
      </c>
      <c r="AB644" t="inlineStr">
        <is>
          <t>Copeland_RLA_230_460_3ph_60Hz.xlsx</t>
        </is>
      </c>
      <c r="AC644" t="inlineStr">
        <is>
          <t>Recip_2D-9R</t>
        </is>
      </c>
    </row>
    <row r="645">
      <c r="A645" t="inlineStr">
        <is>
          <t>COPELAND</t>
        </is>
      </c>
      <c r="B645" t="inlineStr">
        <is>
          <t>4DJ3R29ME-TSK</t>
        </is>
      </c>
      <c r="D645" t="inlineStr">
        <is>
          <t>Reciprocating Semi-hermetic</t>
        </is>
      </c>
      <c r="E645" s="2" t="n">
        <v>3</v>
      </c>
      <c r="F645" s="2" t="n">
        <v>60</v>
      </c>
      <c r="G645" s="2" t="n">
        <v>230</v>
      </c>
      <c r="H645" t="inlineStr">
        <is>
          <t>208/230</t>
        </is>
      </c>
      <c r="I645" s="2" t="n">
        <v>208</v>
      </c>
      <c r="J645" s="2" t="n">
        <v>230</v>
      </c>
      <c r="L645" s="3" t="n"/>
      <c r="M645" s="3" t="n"/>
      <c r="N645" s="3" t="n">
        <v>114.3</v>
      </c>
      <c r="O645" s="3" t="n"/>
      <c r="P645" s="3">
        <f>IF(L645&lt;&gt;"",L645/1.4,"")</f>
        <v/>
      </c>
      <c r="Q645" s="3">
        <f>IF(L645&lt;&gt;"",L645/1.56,"")</f>
        <v/>
      </c>
      <c r="R645" s="3">
        <f>IF(M645&lt;&gt;"",M645/1.4,"")</f>
        <v/>
      </c>
      <c r="S645" s="3">
        <f>IF(M645&lt;&gt;"",M645/1.56,"")</f>
        <v/>
      </c>
      <c r="T645" s="3">
        <f>IF(N645&lt;&gt;"",N645,IF(O645&lt;&gt;"",O645,IF(L645&lt;&gt;"",L645/1.56,IF(M645&lt;&gt;"",M645/1.56,""))))</f>
        <v/>
      </c>
      <c r="U645" s="3" t="n">
        <v>470</v>
      </c>
      <c r="V645" s="3" t="n">
        <v>292</v>
      </c>
      <c r="W645" s="3" t="n"/>
      <c r="X645" s="4" t="n"/>
      <c r="Y645" s="5" t="n">
        <v>0.111</v>
      </c>
      <c r="Z645" s="4">
        <f>IF(L645&lt;&gt;"",SQRT(3)*G645*L645/1000,"")</f>
        <v/>
      </c>
      <c r="AA645" t="inlineStr">
        <is>
          <t>Source=Copeland 2D/3D/4D/4R/6D/8D/9R compressors (pdf) p23; PWS_RLA=57.1</t>
        </is>
      </c>
      <c r="AB645" t="inlineStr">
        <is>
          <t>Copeland_RLA_230_460_3ph_60Hz.xlsx</t>
        </is>
      </c>
      <c r="AC645" t="inlineStr">
        <is>
          <t>Recip_2D-9R</t>
        </is>
      </c>
    </row>
    <row r="646">
      <c r="A646" t="inlineStr">
        <is>
          <t>COPELAND</t>
        </is>
      </c>
      <c r="B646" t="inlineStr">
        <is>
          <t>4DJ3R29ME-TSK</t>
        </is>
      </c>
      <c r="D646" t="inlineStr">
        <is>
          <t>Reciprocating Semi-hermetic</t>
        </is>
      </c>
      <c r="E646" s="2" t="n">
        <v>3</v>
      </c>
      <c r="F646" s="2" t="n">
        <v>60</v>
      </c>
      <c r="G646" s="2" t="n">
        <v>460</v>
      </c>
      <c r="H646" t="inlineStr">
        <is>
          <t>460</t>
        </is>
      </c>
      <c r="I646" s="2" t="n">
        <v>460</v>
      </c>
      <c r="J646" s="2" t="n">
        <v>460</v>
      </c>
      <c r="L646" s="3" t="n"/>
      <c r="M646" s="3" t="n"/>
      <c r="N646" s="3" t="n">
        <v>57.1</v>
      </c>
      <c r="O646" s="3" t="n"/>
      <c r="P646" s="3">
        <f>IF(L646&lt;&gt;"",L646/1.4,"")</f>
        <v/>
      </c>
      <c r="Q646" s="3">
        <f>IF(L646&lt;&gt;"",L646/1.56,"")</f>
        <v/>
      </c>
      <c r="R646" s="3">
        <f>IF(M646&lt;&gt;"",M646/1.4,"")</f>
        <v/>
      </c>
      <c r="S646" s="3">
        <f>IF(M646&lt;&gt;"",M646/1.56,"")</f>
        <v/>
      </c>
      <c r="T646" s="3">
        <f>IF(N646&lt;&gt;"",N646,IF(O646&lt;&gt;"",O646,IF(L646&lt;&gt;"",L646/1.56,IF(M646&lt;&gt;"",M646/1.56,""))))</f>
        <v/>
      </c>
      <c r="U646" s="3" t="n">
        <v>235</v>
      </c>
      <c r="V646" s="3" t="n"/>
      <c r="W646" s="3" t="n"/>
      <c r="X646" s="4" t="n"/>
      <c r="Y646" s="5" t="n">
        <v>0.444</v>
      </c>
      <c r="Z646" s="4">
        <f>IF(L646&lt;&gt;"",SQRT(3)*G646*L646/1000,"")</f>
        <v/>
      </c>
      <c r="AA646" t="inlineStr">
        <is>
          <t>Source=Copeland 2D/3D/4D/4R/6D/8D/9R compressors (pdf) p23</t>
        </is>
      </c>
      <c r="AB646" t="inlineStr">
        <is>
          <t>Copeland_RLA_230_460_3ph_60Hz.xlsx</t>
        </is>
      </c>
      <c r="AC646" t="inlineStr">
        <is>
          <t>Recip_2D-9R</t>
        </is>
      </c>
    </row>
    <row r="647">
      <c r="A647" t="inlineStr">
        <is>
          <t>COPELAND</t>
        </is>
      </c>
      <c r="B647" t="inlineStr">
        <is>
          <t>4DJ8A3000-TSK</t>
        </is>
      </c>
      <c r="D647" t="inlineStr">
        <is>
          <t>Reciprocating Semi-hermetic</t>
        </is>
      </c>
      <c r="E647" s="2" t="n">
        <v>3</v>
      </c>
      <c r="F647" s="2" t="n">
        <v>60</v>
      </c>
      <c r="G647" s="2" t="n">
        <v>230</v>
      </c>
      <c r="H647" t="inlineStr">
        <is>
          <t>208/230</t>
        </is>
      </c>
      <c r="I647" s="2" t="n">
        <v>208</v>
      </c>
      <c r="J647" s="2" t="n">
        <v>230</v>
      </c>
      <c r="L647" s="3" t="n"/>
      <c r="M647" s="3" t="n"/>
      <c r="N647" s="3" t="n">
        <v>94</v>
      </c>
      <c r="O647" s="3" t="n"/>
      <c r="P647" s="3">
        <f>IF(L647&lt;&gt;"",L647/1.4,"")</f>
        <v/>
      </c>
      <c r="Q647" s="3">
        <f>IF(L647&lt;&gt;"",L647/1.56,"")</f>
        <v/>
      </c>
      <c r="R647" s="3">
        <f>IF(M647&lt;&gt;"",M647/1.4,"")</f>
        <v/>
      </c>
      <c r="S647" s="3">
        <f>IF(M647&lt;&gt;"",M647/1.56,"")</f>
        <v/>
      </c>
      <c r="T647" s="3">
        <f>IF(N647&lt;&gt;"",N647,IF(O647&lt;&gt;"",O647,IF(L647&lt;&gt;"",L647/1.56,IF(M647&lt;&gt;"",M647/1.56,""))))</f>
        <v/>
      </c>
      <c r="U647" s="3" t="n">
        <v>470</v>
      </c>
      <c r="V647" s="3" t="n">
        <v>292</v>
      </c>
      <c r="W647" s="3" t="n"/>
      <c r="X647" s="4" t="n"/>
      <c r="Y647" s="5" t="n">
        <v>0.111</v>
      </c>
      <c r="Z647" s="4">
        <f>IF(L647&lt;&gt;"",SQRT(3)*G647*L647/1000,"")</f>
        <v/>
      </c>
      <c r="AA647" t="inlineStr">
        <is>
          <t>Source=Copeland 2D/3D/4D/4R/6D/8D/9R compressors (pdf) p23; PWS_RLA=47.0</t>
        </is>
      </c>
      <c r="AB647" t="inlineStr">
        <is>
          <t>Copeland_RLA_230_460_3ph_60Hz.xlsx</t>
        </is>
      </c>
      <c r="AC647" t="inlineStr">
        <is>
          <t>Recip_2D-9R</t>
        </is>
      </c>
    </row>
    <row r="648">
      <c r="A648" t="inlineStr">
        <is>
          <t>COPELAND</t>
        </is>
      </c>
      <c r="B648" t="inlineStr">
        <is>
          <t>4DJ8A3000-TSK</t>
        </is>
      </c>
      <c r="D648" t="inlineStr">
        <is>
          <t>Reciprocating Semi-hermetic</t>
        </is>
      </c>
      <c r="E648" s="2" t="n">
        <v>3</v>
      </c>
      <c r="F648" s="2" t="n">
        <v>60</v>
      </c>
      <c r="G648" s="2" t="n">
        <v>460</v>
      </c>
      <c r="H648" t="inlineStr">
        <is>
          <t>460</t>
        </is>
      </c>
      <c r="I648" s="2" t="n">
        <v>460</v>
      </c>
      <c r="J648" s="2" t="n">
        <v>460</v>
      </c>
      <c r="L648" s="3" t="n"/>
      <c r="M648" s="3" t="n"/>
      <c r="N648" s="3" t="n">
        <v>47</v>
      </c>
      <c r="O648" s="3" t="n"/>
      <c r="P648" s="3">
        <f>IF(L648&lt;&gt;"",L648/1.4,"")</f>
        <v/>
      </c>
      <c r="Q648" s="3">
        <f>IF(L648&lt;&gt;"",L648/1.56,"")</f>
        <v/>
      </c>
      <c r="R648" s="3">
        <f>IF(M648&lt;&gt;"",M648/1.4,"")</f>
        <v/>
      </c>
      <c r="S648" s="3">
        <f>IF(M648&lt;&gt;"",M648/1.56,"")</f>
        <v/>
      </c>
      <c r="T648" s="3">
        <f>IF(N648&lt;&gt;"",N648,IF(O648&lt;&gt;"",O648,IF(L648&lt;&gt;"",L648/1.56,IF(M648&lt;&gt;"",M648/1.56,""))))</f>
        <v/>
      </c>
      <c r="U648" s="3" t="n">
        <v>235</v>
      </c>
      <c r="V648" s="3" t="n"/>
      <c r="W648" s="3" t="n"/>
      <c r="X648" s="4" t="n"/>
      <c r="Y648" s="5" t="n">
        <v>0.444</v>
      </c>
      <c r="Z648" s="4">
        <f>IF(L648&lt;&gt;"",SQRT(3)*G648*L648/1000,"")</f>
        <v/>
      </c>
      <c r="AA648" t="inlineStr">
        <is>
          <t>Source=Copeland 2D/3D/4D/4R/6D/8D/9R compressors (pdf) p23</t>
        </is>
      </c>
      <c r="AB648" t="inlineStr">
        <is>
          <t>Copeland_RLA_230_460_3ph_60Hz.xlsx</t>
        </is>
      </c>
      <c r="AC648" t="inlineStr">
        <is>
          <t>Recip_2D-9R</t>
        </is>
      </c>
    </row>
    <row r="649">
      <c r="A649" t="inlineStr">
        <is>
          <t>COPELAND</t>
        </is>
      </c>
      <c r="B649" t="inlineStr">
        <is>
          <t>4DJDR28ML-TSK</t>
        </is>
      </c>
      <c r="D649" t="inlineStr">
        <is>
          <t>Reciprocating Semi-hermetic</t>
        </is>
      </c>
      <c r="E649" s="2" t="n">
        <v>3</v>
      </c>
      <c r="F649" s="2" t="n">
        <v>60</v>
      </c>
      <c r="G649" s="2" t="n">
        <v>230</v>
      </c>
      <c r="H649" t="inlineStr">
        <is>
          <t>208/230</t>
        </is>
      </c>
      <c r="I649" s="2" t="n">
        <v>208</v>
      </c>
      <c r="J649" s="2" t="n">
        <v>230</v>
      </c>
      <c r="L649" s="3" t="n"/>
      <c r="M649" s="3" t="n"/>
      <c r="N649" s="3" t="n">
        <v>94</v>
      </c>
      <c r="O649" s="3" t="n"/>
      <c r="P649" s="3">
        <f>IF(L649&lt;&gt;"",L649/1.4,"")</f>
        <v/>
      </c>
      <c r="Q649" s="3">
        <f>IF(L649&lt;&gt;"",L649/1.56,"")</f>
        <v/>
      </c>
      <c r="R649" s="3">
        <f>IF(M649&lt;&gt;"",M649/1.4,"")</f>
        <v/>
      </c>
      <c r="S649" s="3">
        <f>IF(M649&lt;&gt;"",M649/1.56,"")</f>
        <v/>
      </c>
      <c r="T649" s="3">
        <f>IF(N649&lt;&gt;"",N649,IF(O649&lt;&gt;"",O649,IF(L649&lt;&gt;"",L649/1.56,IF(M649&lt;&gt;"",M649/1.56,""))))</f>
        <v/>
      </c>
      <c r="U649" s="3" t="n">
        <v>470</v>
      </c>
      <c r="V649" s="3" t="n">
        <v>292</v>
      </c>
      <c r="W649" s="3" t="n"/>
      <c r="X649" s="4" t="n"/>
      <c r="Y649" s="5" t="n">
        <v>0.111</v>
      </c>
      <c r="Z649" s="4">
        <f>IF(L649&lt;&gt;"",SQRT(3)*G649*L649/1000,"")</f>
        <v/>
      </c>
      <c r="AA649" t="inlineStr">
        <is>
          <t>Source=Copeland 2D/3D/4D/4R/6D/8D/9R compressors (pdf) p23; PWS_RLA=57.1</t>
        </is>
      </c>
      <c r="AB649" t="inlineStr">
        <is>
          <t>Copeland_RLA_230_460_3ph_60Hz.xlsx</t>
        </is>
      </c>
      <c r="AC649" t="inlineStr">
        <is>
          <t>Recip_2D-9R</t>
        </is>
      </c>
    </row>
    <row r="650">
      <c r="A650" t="inlineStr">
        <is>
          <t>COPELAND</t>
        </is>
      </c>
      <c r="B650" t="inlineStr">
        <is>
          <t>4DJDR28ML-TSK</t>
        </is>
      </c>
      <c r="D650" t="inlineStr">
        <is>
          <t>Reciprocating Semi-hermetic</t>
        </is>
      </c>
      <c r="E650" s="2" t="n">
        <v>3</v>
      </c>
      <c r="F650" s="2" t="n">
        <v>60</v>
      </c>
      <c r="G650" s="2" t="n">
        <v>460</v>
      </c>
      <c r="H650" t="inlineStr">
        <is>
          <t>460</t>
        </is>
      </c>
      <c r="I650" s="2" t="n">
        <v>460</v>
      </c>
      <c r="J650" s="2" t="n">
        <v>460</v>
      </c>
      <c r="L650" s="3" t="n"/>
      <c r="M650" s="3" t="n"/>
      <c r="N650" s="3" t="n">
        <v>57.1</v>
      </c>
      <c r="O650" s="3" t="n"/>
      <c r="P650" s="3">
        <f>IF(L650&lt;&gt;"",L650/1.4,"")</f>
        <v/>
      </c>
      <c r="Q650" s="3">
        <f>IF(L650&lt;&gt;"",L650/1.56,"")</f>
        <v/>
      </c>
      <c r="R650" s="3">
        <f>IF(M650&lt;&gt;"",M650/1.4,"")</f>
        <v/>
      </c>
      <c r="S650" s="3">
        <f>IF(M650&lt;&gt;"",M650/1.56,"")</f>
        <v/>
      </c>
      <c r="T650" s="3">
        <f>IF(N650&lt;&gt;"",N650,IF(O650&lt;&gt;"",O650,IF(L650&lt;&gt;"",L650/1.56,IF(M650&lt;&gt;"",M650/1.56,""))))</f>
        <v/>
      </c>
      <c r="U650" s="3" t="n">
        <v>235</v>
      </c>
      <c r="V650" s="3" t="n"/>
      <c r="W650" s="3" t="n"/>
      <c r="X650" s="4" t="n"/>
      <c r="Y650" s="5" t="n">
        <v>0.444</v>
      </c>
      <c r="Z650" s="4">
        <f>IF(L650&lt;&gt;"",SQRT(3)*G650*L650/1000,"")</f>
        <v/>
      </c>
      <c r="AA650" t="inlineStr">
        <is>
          <t>Source=Copeland 2D/3D/4D/4R/6D/8D/9R compressors (pdf) p23</t>
        </is>
      </c>
      <c r="AB650" t="inlineStr">
        <is>
          <t>Copeland_RLA_230_460_3ph_60Hz.xlsx</t>
        </is>
      </c>
      <c r="AC650" t="inlineStr">
        <is>
          <t>Recip_2D-9R</t>
        </is>
      </c>
    </row>
    <row r="651">
      <c r="A651" t="inlineStr">
        <is>
          <t>COPELAND</t>
        </is>
      </c>
      <c r="B651" t="inlineStr">
        <is>
          <t>4DK1A1500-TSK</t>
        </is>
      </c>
      <c r="D651" t="inlineStr">
        <is>
          <t>Reciprocating Semi-hermetic</t>
        </is>
      </c>
      <c r="E651" s="2" t="n">
        <v>3</v>
      </c>
      <c r="F651" s="2" t="n">
        <v>60</v>
      </c>
      <c r="G651" s="2" t="n">
        <v>230</v>
      </c>
      <c r="H651" t="inlineStr">
        <is>
          <t>208/230</t>
        </is>
      </c>
      <c r="I651" s="2" t="n">
        <v>208</v>
      </c>
      <c r="J651" s="2" t="n">
        <v>230</v>
      </c>
      <c r="L651" s="3" t="n"/>
      <c r="M651" s="3" t="n"/>
      <c r="N651" s="3" t="n">
        <v>61.4</v>
      </c>
      <c r="O651" s="3" t="n"/>
      <c r="P651" s="3">
        <f>IF(L651&lt;&gt;"",L651/1.4,"")</f>
        <v/>
      </c>
      <c r="Q651" s="3">
        <f>IF(L651&lt;&gt;"",L651/1.56,"")</f>
        <v/>
      </c>
      <c r="R651" s="3">
        <f>IF(M651&lt;&gt;"",M651/1.4,"")</f>
        <v/>
      </c>
      <c r="S651" s="3">
        <f>IF(M651&lt;&gt;"",M651/1.56,"")</f>
        <v/>
      </c>
      <c r="T651" s="3">
        <f>IF(N651&lt;&gt;"",N651,IF(O651&lt;&gt;"",O651,IF(L651&lt;&gt;"",L651/1.56,IF(M651&lt;&gt;"",M651/1.56,""))))</f>
        <v/>
      </c>
      <c r="U651" s="3" t="n">
        <v>278</v>
      </c>
      <c r="V651" s="3" t="n">
        <v>170</v>
      </c>
      <c r="W651" s="3" t="n"/>
      <c r="X651" s="4" t="n"/>
      <c r="Y651" s="5" t="n">
        <v>0.208</v>
      </c>
      <c r="Z651" s="4">
        <f>IF(L651&lt;&gt;"",SQRT(3)*G651*L651/1000,"")</f>
        <v/>
      </c>
      <c r="AA651" t="inlineStr">
        <is>
          <t>Source=Copeland 2D/3D/4D/4R/6D/8D/9R compressors (pdf) p23; PWS_RLA=30.7</t>
        </is>
      </c>
      <c r="AB651" t="inlineStr">
        <is>
          <t>Copeland_RLA_230_460_3ph_60Hz.xlsx</t>
        </is>
      </c>
      <c r="AC651" t="inlineStr">
        <is>
          <t>Recip_2D-9R</t>
        </is>
      </c>
    </row>
    <row r="652">
      <c r="A652" t="inlineStr">
        <is>
          <t>COPELAND</t>
        </is>
      </c>
      <c r="B652" t="inlineStr">
        <is>
          <t>4DK1A1500-TSK</t>
        </is>
      </c>
      <c r="D652" t="inlineStr">
        <is>
          <t>Reciprocating Semi-hermetic</t>
        </is>
      </c>
      <c r="E652" s="2" t="n">
        <v>3</v>
      </c>
      <c r="F652" s="2" t="n">
        <v>60</v>
      </c>
      <c r="G652" s="2" t="n">
        <v>460</v>
      </c>
      <c r="H652" t="inlineStr">
        <is>
          <t>460</t>
        </is>
      </c>
      <c r="I652" s="2" t="n">
        <v>460</v>
      </c>
      <c r="J652" s="2" t="n">
        <v>460</v>
      </c>
      <c r="L652" s="3" t="n"/>
      <c r="M652" s="3" t="n"/>
      <c r="N652" s="3" t="n">
        <v>30.7</v>
      </c>
      <c r="O652" s="3" t="n"/>
      <c r="P652" s="3">
        <f>IF(L652&lt;&gt;"",L652/1.4,"")</f>
        <v/>
      </c>
      <c r="Q652" s="3">
        <f>IF(L652&lt;&gt;"",L652/1.56,"")</f>
        <v/>
      </c>
      <c r="R652" s="3">
        <f>IF(M652&lt;&gt;"",M652/1.4,"")</f>
        <v/>
      </c>
      <c r="S652" s="3">
        <f>IF(M652&lt;&gt;"",M652/1.56,"")</f>
        <v/>
      </c>
      <c r="T652" s="3">
        <f>IF(N652&lt;&gt;"",N652,IF(O652&lt;&gt;"",O652,IF(L652&lt;&gt;"",L652/1.56,IF(M652&lt;&gt;"",M652/1.56,""))))</f>
        <v/>
      </c>
      <c r="U652" s="3" t="n">
        <v>139</v>
      </c>
      <c r="V652" s="3" t="n"/>
      <c r="W652" s="3" t="n"/>
      <c r="X652" s="4" t="n"/>
      <c r="Y652" s="5" t="n">
        <v>0.832</v>
      </c>
      <c r="Z652" s="4">
        <f>IF(L652&lt;&gt;"",SQRT(3)*G652*L652/1000,"")</f>
        <v/>
      </c>
      <c r="AA652" t="inlineStr">
        <is>
          <t>Source=Copeland 2D/3D/4D/4R/6D/8D/9R compressors (pdf) p23</t>
        </is>
      </c>
      <c r="AB652" t="inlineStr">
        <is>
          <t>Copeland_RLA_230_460_3ph_60Hz.xlsx</t>
        </is>
      </c>
      <c r="AC652" t="inlineStr">
        <is>
          <t>Recip_2D-9R</t>
        </is>
      </c>
    </row>
    <row r="653">
      <c r="A653" t="inlineStr">
        <is>
          <t>COPELAND</t>
        </is>
      </c>
      <c r="B653" t="inlineStr">
        <is>
          <t>4DK1A2500-FSD</t>
        </is>
      </c>
      <c r="D653" t="inlineStr">
        <is>
          <t>Reciprocating Semi-hermetic</t>
        </is>
      </c>
      <c r="E653" s="2" t="n">
        <v>3</v>
      </c>
      <c r="F653" s="2" t="n">
        <v>60</v>
      </c>
      <c r="G653" s="2" t="n">
        <v>460</v>
      </c>
      <c r="H653" t="inlineStr">
        <is>
          <t>460</t>
        </is>
      </c>
      <c r="I653" s="2" t="n">
        <v>460</v>
      </c>
      <c r="J653" s="2" t="n">
        <v>460</v>
      </c>
      <c r="L653" s="3" t="n"/>
      <c r="M653" s="3" t="n"/>
      <c r="N653" s="3" t="n">
        <v>46.4</v>
      </c>
      <c r="O653" s="3" t="n"/>
      <c r="P653" s="3">
        <f>IF(L653&lt;&gt;"",L653/1.4,"")</f>
        <v/>
      </c>
      <c r="Q653" s="3">
        <f>IF(L653&lt;&gt;"",L653/1.56,"")</f>
        <v/>
      </c>
      <c r="R653" s="3">
        <f>IF(M653&lt;&gt;"",M653/1.4,"")</f>
        <v/>
      </c>
      <c r="S653" s="3">
        <f>IF(M653&lt;&gt;"",M653/1.56,"")</f>
        <v/>
      </c>
      <c r="T653" s="3">
        <f>IF(N653&lt;&gt;"",N653,IF(O653&lt;&gt;"",O653,IF(L653&lt;&gt;"",L653/1.56,IF(M653&lt;&gt;"",M653/1.56,""))))</f>
        <v/>
      </c>
      <c r="U653" s="3" t="n">
        <v>195</v>
      </c>
      <c r="V653" s="3" t="n">
        <v>117</v>
      </c>
      <c r="W653" s="3" t="n"/>
      <c r="X653" s="4" t="n"/>
      <c r="Y653" s="5" t="n">
        <v>0.575</v>
      </c>
      <c r="Z653" s="4">
        <f>IF(L653&lt;&gt;"",SQRT(3)*G653*L653/1000,"")</f>
        <v/>
      </c>
      <c r="AA653" t="inlineStr">
        <is>
          <t>Source=Copeland 2D/3D/4D/4R/6D/8D/9R compressors (pdf) p23; PWS_RLA=23.2</t>
        </is>
      </c>
      <c r="AB653" t="inlineStr">
        <is>
          <t>Copeland_RLA_230_460_3ph_60Hz.xlsx</t>
        </is>
      </c>
      <c r="AC653" t="inlineStr">
        <is>
          <t>Recip_2D-9R</t>
        </is>
      </c>
    </row>
    <row r="654">
      <c r="A654" t="inlineStr">
        <is>
          <t>COPELAND</t>
        </is>
      </c>
      <c r="B654" t="inlineStr">
        <is>
          <t>4DK1A2500-FXD</t>
        </is>
      </c>
      <c r="D654" t="inlineStr">
        <is>
          <t>Reciprocating Semi-hermetic</t>
        </is>
      </c>
      <c r="E654" s="2" t="n">
        <v>3</v>
      </c>
      <c r="F654" s="2" t="n">
        <v>60</v>
      </c>
      <c r="G654" s="2" t="n">
        <v>460</v>
      </c>
      <c r="H654" t="inlineStr">
        <is>
          <t>460</t>
        </is>
      </c>
      <c r="I654" s="2" t="n">
        <v>460</v>
      </c>
      <c r="J654" s="2" t="n">
        <v>460</v>
      </c>
      <c r="L654" s="3" t="n"/>
      <c r="M654" s="3" t="n"/>
      <c r="N654" s="3" t="n"/>
      <c r="O654" s="3" t="n"/>
      <c r="P654" s="3">
        <f>IF(L654&lt;&gt;"",L654/1.4,"")</f>
        <v/>
      </c>
      <c r="Q654" s="3">
        <f>IF(L654&lt;&gt;"",L654/1.56,"")</f>
        <v/>
      </c>
      <c r="R654" s="3">
        <f>IF(M654&lt;&gt;"",M654/1.4,"")</f>
        <v/>
      </c>
      <c r="S654" s="3">
        <f>IF(M654&lt;&gt;"",M654/1.56,"")</f>
        <v/>
      </c>
      <c r="T654" s="3">
        <f>IF(N654&lt;&gt;"",N654,IF(O654&lt;&gt;"",O654,IF(L654&lt;&gt;"",L654/1.56,IF(M654&lt;&gt;"",M654/1.56,""))))</f>
        <v/>
      </c>
      <c r="U654" s="3" t="n">
        <v>195</v>
      </c>
      <c r="V654" s="3" t="n">
        <v>117</v>
      </c>
      <c r="W654" s="3" t="n"/>
      <c r="X654" s="4" t="n"/>
      <c r="Y654" s="5" t="n">
        <v>0.575</v>
      </c>
      <c r="Z654" s="4">
        <f>IF(L654&lt;&gt;"",SQRT(3)*G654*L654/1000,"")</f>
        <v/>
      </c>
      <c r="AA654" t="inlineStr">
        <is>
          <t>Source=Copeland 2D/3D/4D/4R/6D/8D/9R compressors (pdf) p23</t>
        </is>
      </c>
      <c r="AB654" t="inlineStr">
        <is>
          <t>Copeland_RLA_230_460_3ph_60Hz.xlsx</t>
        </is>
      </c>
      <c r="AC654" t="inlineStr">
        <is>
          <t>Recip_2D-9R</t>
        </is>
      </c>
    </row>
    <row r="655">
      <c r="A655" t="inlineStr">
        <is>
          <t>COPELAND</t>
        </is>
      </c>
      <c r="B655" t="inlineStr">
        <is>
          <t>4DK1A2500-TSK</t>
        </is>
      </c>
      <c r="D655" t="inlineStr">
        <is>
          <t>Reciprocating Semi-hermetic</t>
        </is>
      </c>
      <c r="E655" s="2" t="n">
        <v>3</v>
      </c>
      <c r="F655" s="2" t="n">
        <v>60</v>
      </c>
      <c r="G655" s="2" t="n">
        <v>230</v>
      </c>
      <c r="H655" t="inlineStr">
        <is>
          <t>208/230</t>
        </is>
      </c>
      <c r="I655" s="2" t="n">
        <v>208</v>
      </c>
      <c r="J655" s="2" t="n">
        <v>230</v>
      </c>
      <c r="L655" s="3" t="n"/>
      <c r="M655" s="3" t="n"/>
      <c r="N655" s="3" t="n">
        <v>85.7</v>
      </c>
      <c r="O655" s="3" t="n"/>
      <c r="P655" s="3">
        <f>IF(L655&lt;&gt;"",L655/1.4,"")</f>
        <v/>
      </c>
      <c r="Q655" s="3">
        <f>IF(L655&lt;&gt;"",L655/1.56,"")</f>
        <v/>
      </c>
      <c r="R655" s="3">
        <f>IF(M655&lt;&gt;"",M655/1.4,"")</f>
        <v/>
      </c>
      <c r="S655" s="3">
        <f>IF(M655&lt;&gt;"",M655/1.56,"")</f>
        <v/>
      </c>
      <c r="T655" s="3">
        <f>IF(N655&lt;&gt;"",N655,IF(O655&lt;&gt;"",O655,IF(L655&lt;&gt;"",L655/1.56,IF(M655&lt;&gt;"",M655/1.56,""))))</f>
        <v/>
      </c>
      <c r="U655" s="3" t="n">
        <v>428</v>
      </c>
      <c r="V655" s="3" t="n">
        <v>250</v>
      </c>
      <c r="W655" s="3" t="n"/>
      <c r="X655" s="4" t="n"/>
      <c r="Y655" s="5" t="n">
        <v>0.132</v>
      </c>
      <c r="Z655" s="4">
        <f>IF(L655&lt;&gt;"",SQRT(3)*G655*L655/1000,"")</f>
        <v/>
      </c>
      <c r="AA655" t="inlineStr">
        <is>
          <t>Source=Copeland 2D/3D/4D/4R/6D/8D/9R compressors (pdf) p23; PWS_RLA=42.9</t>
        </is>
      </c>
      <c r="AB655" t="inlineStr">
        <is>
          <t>Copeland_RLA_230_460_3ph_60Hz.xlsx</t>
        </is>
      </c>
      <c r="AC655" t="inlineStr">
        <is>
          <t>Recip_2D-9R</t>
        </is>
      </c>
    </row>
    <row r="656">
      <c r="A656" t="inlineStr">
        <is>
          <t>COPELAND</t>
        </is>
      </c>
      <c r="B656" t="inlineStr">
        <is>
          <t>4DK1A2500-TSK</t>
        </is>
      </c>
      <c r="D656" t="inlineStr">
        <is>
          <t>Reciprocating Semi-hermetic</t>
        </is>
      </c>
      <c r="E656" s="2" t="n">
        <v>3</v>
      </c>
      <c r="F656" s="2" t="n">
        <v>60</v>
      </c>
      <c r="G656" s="2" t="n">
        <v>460</v>
      </c>
      <c r="H656" t="inlineStr">
        <is>
          <t>460</t>
        </is>
      </c>
      <c r="I656" s="2" t="n">
        <v>460</v>
      </c>
      <c r="J656" s="2" t="n">
        <v>460</v>
      </c>
      <c r="L656" s="3" t="n"/>
      <c r="M656" s="3" t="n"/>
      <c r="N656" s="3" t="n">
        <v>42.9</v>
      </c>
      <c r="O656" s="3" t="n"/>
      <c r="P656" s="3">
        <f>IF(L656&lt;&gt;"",L656/1.4,"")</f>
        <v/>
      </c>
      <c r="Q656" s="3">
        <f>IF(L656&lt;&gt;"",L656/1.56,"")</f>
        <v/>
      </c>
      <c r="R656" s="3">
        <f>IF(M656&lt;&gt;"",M656/1.4,"")</f>
        <v/>
      </c>
      <c r="S656" s="3">
        <f>IF(M656&lt;&gt;"",M656/1.56,"")</f>
        <v/>
      </c>
      <c r="T656" s="3">
        <f>IF(N656&lt;&gt;"",N656,IF(O656&lt;&gt;"",O656,IF(L656&lt;&gt;"",L656/1.56,IF(M656&lt;&gt;"",M656/1.56,""))))</f>
        <v/>
      </c>
      <c r="U656" s="3" t="n">
        <v>214</v>
      </c>
      <c r="V656" s="3" t="n"/>
      <c r="W656" s="3" t="n"/>
      <c r="X656" s="4" t="n"/>
      <c r="Y656" s="5" t="n">
        <v>0.528</v>
      </c>
      <c r="Z656" s="4">
        <f>IF(L656&lt;&gt;"",SQRT(3)*G656*L656/1000,"")</f>
        <v/>
      </c>
      <c r="AA656" t="inlineStr">
        <is>
          <t>Source=Copeland 2D/3D/4D/4R/6D/8D/9R compressors (pdf) p23</t>
        </is>
      </c>
      <c r="AB656" t="inlineStr">
        <is>
          <t>Copeland_RLA_230_460_3ph_60Hz.xlsx</t>
        </is>
      </c>
      <c r="AC656" t="inlineStr">
        <is>
          <t>Recip_2D-9R</t>
        </is>
      </c>
    </row>
    <row r="657">
      <c r="A657" t="inlineStr">
        <is>
          <t>COPELAND</t>
        </is>
      </c>
      <c r="B657" t="inlineStr">
        <is>
          <t>4DK1A2500-TXK</t>
        </is>
      </c>
      <c r="D657" t="inlineStr">
        <is>
          <t>Reciprocating Semi-hermetic</t>
        </is>
      </c>
      <c r="E657" s="2" t="n">
        <v>3</v>
      </c>
      <c r="F657" s="2" t="n">
        <v>60</v>
      </c>
      <c r="G657" s="2" t="n">
        <v>230</v>
      </c>
      <c r="H657" t="inlineStr">
        <is>
          <t>208/230</t>
        </is>
      </c>
      <c r="I657" s="2" t="n">
        <v>208</v>
      </c>
      <c r="J657" s="2" t="n">
        <v>230</v>
      </c>
      <c r="L657" s="3" t="n"/>
      <c r="M657" s="3" t="n"/>
      <c r="N657" s="3" t="n"/>
      <c r="O657" s="3" t="n"/>
      <c r="P657" s="3">
        <f>IF(L657&lt;&gt;"",L657/1.4,"")</f>
        <v/>
      </c>
      <c r="Q657" s="3">
        <f>IF(L657&lt;&gt;"",L657/1.56,"")</f>
        <v/>
      </c>
      <c r="R657" s="3">
        <f>IF(M657&lt;&gt;"",M657/1.4,"")</f>
        <v/>
      </c>
      <c r="S657" s="3">
        <f>IF(M657&lt;&gt;"",M657/1.56,"")</f>
        <v/>
      </c>
      <c r="T657" s="3">
        <f>IF(N657&lt;&gt;"",N657,IF(O657&lt;&gt;"",O657,IF(L657&lt;&gt;"",L657/1.56,IF(M657&lt;&gt;"",M657/1.56,""))))</f>
        <v/>
      </c>
      <c r="U657" s="3" t="n">
        <v>428</v>
      </c>
      <c r="V657" s="3" t="n">
        <v>250</v>
      </c>
      <c r="W657" s="3" t="n"/>
      <c r="X657" s="4" t="n"/>
      <c r="Y657" s="5" t="n">
        <v>0.132</v>
      </c>
      <c r="Z657" s="4">
        <f>IF(L657&lt;&gt;"",SQRT(3)*G657*L657/1000,"")</f>
        <v/>
      </c>
      <c r="AA657" t="inlineStr">
        <is>
          <t>Source=Copeland 2D/3D/4D/4R/6D/8D/9R compressors (pdf) p23</t>
        </is>
      </c>
      <c r="AB657" t="inlineStr">
        <is>
          <t>Copeland_RLA_230_460_3ph_60Hz.xlsx</t>
        </is>
      </c>
      <c r="AC657" t="inlineStr">
        <is>
          <t>Recip_2D-9R</t>
        </is>
      </c>
    </row>
    <row r="658">
      <c r="A658" t="inlineStr">
        <is>
          <t>COPELAND</t>
        </is>
      </c>
      <c r="B658" t="inlineStr">
        <is>
          <t>4DK1A2500-TXK</t>
        </is>
      </c>
      <c r="D658" t="inlineStr">
        <is>
          <t>Reciprocating Semi-hermetic</t>
        </is>
      </c>
      <c r="E658" s="2" t="n">
        <v>3</v>
      </c>
      <c r="F658" s="2" t="n">
        <v>60</v>
      </c>
      <c r="G658" s="2" t="n">
        <v>460</v>
      </c>
      <c r="H658" t="inlineStr">
        <is>
          <t>460</t>
        </is>
      </c>
      <c r="I658" s="2" t="n">
        <v>460</v>
      </c>
      <c r="J658" s="2" t="n">
        <v>460</v>
      </c>
      <c r="L658" s="3" t="n"/>
      <c r="M658" s="3" t="n"/>
      <c r="N658" s="3" t="n"/>
      <c r="O658" s="3" t="n"/>
      <c r="P658" s="3">
        <f>IF(L658&lt;&gt;"",L658/1.4,"")</f>
        <v/>
      </c>
      <c r="Q658" s="3">
        <f>IF(L658&lt;&gt;"",L658/1.56,"")</f>
        <v/>
      </c>
      <c r="R658" s="3">
        <f>IF(M658&lt;&gt;"",M658/1.4,"")</f>
        <v/>
      </c>
      <c r="S658" s="3">
        <f>IF(M658&lt;&gt;"",M658/1.56,"")</f>
        <v/>
      </c>
      <c r="T658" s="3">
        <f>IF(N658&lt;&gt;"",N658,IF(O658&lt;&gt;"",O658,IF(L658&lt;&gt;"",L658/1.56,IF(M658&lt;&gt;"",M658/1.56,""))))</f>
        <v/>
      </c>
      <c r="U658" s="3" t="n">
        <v>214</v>
      </c>
      <c r="V658" s="3" t="n"/>
      <c r="W658" s="3" t="n"/>
      <c r="X658" s="4" t="n"/>
      <c r="Y658" s="5" t="n">
        <v>0.528</v>
      </c>
      <c r="Z658" s="4">
        <f>IF(L658&lt;&gt;"",SQRT(3)*G658*L658/1000,"")</f>
        <v/>
      </c>
      <c r="AA658" t="inlineStr">
        <is>
          <t>Source=Copeland 2D/3D/4D/4R/6D/8D/9R compressors (pdf) p23</t>
        </is>
      </c>
      <c r="AB658" t="inlineStr">
        <is>
          <t>Copeland_RLA_230_460_3ph_60Hz.xlsx</t>
        </is>
      </c>
      <c r="AC658" t="inlineStr">
        <is>
          <t>Recip_2D-9R</t>
        </is>
      </c>
    </row>
    <row r="659">
      <c r="A659" t="inlineStr">
        <is>
          <t>COPELAND</t>
        </is>
      </c>
      <c r="B659" t="inlineStr">
        <is>
          <t>4DK1R22M0-FSD</t>
        </is>
      </c>
      <c r="D659" t="inlineStr">
        <is>
          <t>Reciprocating Semi-hermetic</t>
        </is>
      </c>
      <c r="E659" s="2" t="n">
        <v>3</v>
      </c>
      <c r="F659" s="2" t="n">
        <v>60</v>
      </c>
      <c r="G659" s="2" t="n">
        <v>460</v>
      </c>
      <c r="H659" t="inlineStr">
        <is>
          <t>460</t>
        </is>
      </c>
      <c r="I659" s="2" t="n">
        <v>460</v>
      </c>
      <c r="J659" s="2" t="n">
        <v>460</v>
      </c>
      <c r="L659" s="3" t="n"/>
      <c r="M659" s="3" t="n"/>
      <c r="N659" s="3" t="n">
        <v>46.4</v>
      </c>
      <c r="O659" s="3" t="n"/>
      <c r="P659" s="3">
        <f>IF(L659&lt;&gt;"",L659/1.4,"")</f>
        <v/>
      </c>
      <c r="Q659" s="3">
        <f>IF(L659&lt;&gt;"",L659/1.56,"")</f>
        <v/>
      </c>
      <c r="R659" s="3">
        <f>IF(M659&lt;&gt;"",M659/1.4,"")</f>
        <v/>
      </c>
      <c r="S659" s="3">
        <f>IF(M659&lt;&gt;"",M659/1.56,"")</f>
        <v/>
      </c>
      <c r="T659" s="3">
        <f>IF(N659&lt;&gt;"",N659,IF(O659&lt;&gt;"",O659,IF(L659&lt;&gt;"",L659/1.56,IF(M659&lt;&gt;"",M659/1.56,""))))</f>
        <v/>
      </c>
      <c r="U659" s="3" t="n">
        <v>195</v>
      </c>
      <c r="V659" s="3" t="n">
        <v>117</v>
      </c>
      <c r="W659" s="3" t="n"/>
      <c r="X659" s="4" t="n"/>
      <c r="Y659" s="5" t="n">
        <v>0.575</v>
      </c>
      <c r="Z659" s="4">
        <f>IF(L659&lt;&gt;"",SQRT(3)*G659*L659/1000,"")</f>
        <v/>
      </c>
      <c r="AA659" t="inlineStr">
        <is>
          <t>Source=Copeland 2D/3D/4D/4R/6D/8D/9R compressors (pdf) p23; PWS_RLA=23.2</t>
        </is>
      </c>
      <c r="AB659" t="inlineStr">
        <is>
          <t>Copeland_RLA_230_460_3ph_60Hz.xlsx</t>
        </is>
      </c>
      <c r="AC659" t="inlineStr">
        <is>
          <t>Recip_2D-9R</t>
        </is>
      </c>
    </row>
    <row r="660">
      <c r="A660" t="inlineStr">
        <is>
          <t>COPELAND</t>
        </is>
      </c>
      <c r="B660" t="inlineStr">
        <is>
          <t>4DK1R22M0-TSK</t>
        </is>
      </c>
      <c r="D660" t="inlineStr">
        <is>
          <t>Reciprocating Semi-hermetic</t>
        </is>
      </c>
      <c r="E660" s="2" t="n">
        <v>3</v>
      </c>
      <c r="F660" s="2" t="n">
        <v>60</v>
      </c>
      <c r="G660" s="2" t="n">
        <v>230</v>
      </c>
      <c r="H660" t="inlineStr">
        <is>
          <t>208/230</t>
        </is>
      </c>
      <c r="I660" s="2" t="n">
        <v>208</v>
      </c>
      <c r="J660" s="2" t="n">
        <v>230</v>
      </c>
      <c r="L660" s="3" t="n"/>
      <c r="M660" s="3" t="n"/>
      <c r="N660" s="3" t="n">
        <v>85.7</v>
      </c>
      <c r="O660" s="3" t="n"/>
      <c r="P660" s="3">
        <f>IF(L660&lt;&gt;"",L660/1.4,"")</f>
        <v/>
      </c>
      <c r="Q660" s="3">
        <f>IF(L660&lt;&gt;"",L660/1.56,"")</f>
        <v/>
      </c>
      <c r="R660" s="3">
        <f>IF(M660&lt;&gt;"",M660/1.4,"")</f>
        <v/>
      </c>
      <c r="S660" s="3">
        <f>IF(M660&lt;&gt;"",M660/1.56,"")</f>
        <v/>
      </c>
      <c r="T660" s="3">
        <f>IF(N660&lt;&gt;"",N660,IF(O660&lt;&gt;"",O660,IF(L660&lt;&gt;"",L660/1.56,IF(M660&lt;&gt;"",M660/1.56,""))))</f>
        <v/>
      </c>
      <c r="U660" s="3" t="n">
        <v>428</v>
      </c>
      <c r="V660" s="3" t="n">
        <v>250</v>
      </c>
      <c r="W660" s="3" t="n"/>
      <c r="X660" s="4" t="n"/>
      <c r="Y660" s="5" t="n">
        <v>0.132</v>
      </c>
      <c r="Z660" s="4">
        <f>IF(L660&lt;&gt;"",SQRT(3)*G660*L660/1000,"")</f>
        <v/>
      </c>
      <c r="AA660" t="inlineStr">
        <is>
          <t>Source=Copeland 2D/3D/4D/4R/6D/8D/9R compressors (pdf) p23; PWS_RLA=42.9</t>
        </is>
      </c>
      <c r="AB660" t="inlineStr">
        <is>
          <t>Copeland_RLA_230_460_3ph_60Hz.xlsx</t>
        </is>
      </c>
      <c r="AC660" t="inlineStr">
        <is>
          <t>Recip_2D-9R</t>
        </is>
      </c>
    </row>
    <row r="661">
      <c r="A661" t="inlineStr">
        <is>
          <t>COPELAND</t>
        </is>
      </c>
      <c r="B661" t="inlineStr">
        <is>
          <t>4DK1R22M0-TSK</t>
        </is>
      </c>
      <c r="D661" t="inlineStr">
        <is>
          <t>Reciprocating Semi-hermetic</t>
        </is>
      </c>
      <c r="E661" s="2" t="n">
        <v>3</v>
      </c>
      <c r="F661" s="2" t="n">
        <v>60</v>
      </c>
      <c r="G661" s="2" t="n">
        <v>460</v>
      </c>
      <c r="H661" t="inlineStr">
        <is>
          <t>460</t>
        </is>
      </c>
      <c r="I661" s="2" t="n">
        <v>460</v>
      </c>
      <c r="J661" s="2" t="n">
        <v>460</v>
      </c>
      <c r="L661" s="3" t="n"/>
      <c r="M661" s="3" t="n"/>
      <c r="N661" s="3" t="n">
        <v>42.9</v>
      </c>
      <c r="O661" s="3" t="n"/>
      <c r="P661" s="3">
        <f>IF(L661&lt;&gt;"",L661/1.4,"")</f>
        <v/>
      </c>
      <c r="Q661" s="3">
        <f>IF(L661&lt;&gt;"",L661/1.56,"")</f>
        <v/>
      </c>
      <c r="R661" s="3">
        <f>IF(M661&lt;&gt;"",M661/1.4,"")</f>
        <v/>
      </c>
      <c r="S661" s="3">
        <f>IF(M661&lt;&gt;"",M661/1.56,"")</f>
        <v/>
      </c>
      <c r="T661" s="3">
        <f>IF(N661&lt;&gt;"",N661,IF(O661&lt;&gt;"",O661,IF(L661&lt;&gt;"",L661/1.56,IF(M661&lt;&gt;"",M661/1.56,""))))</f>
        <v/>
      </c>
      <c r="U661" s="3" t="n">
        <v>214</v>
      </c>
      <c r="V661" s="3" t="n"/>
      <c r="W661" s="3" t="n"/>
      <c r="X661" s="4" t="n"/>
      <c r="Y661" s="5" t="n">
        <v>0.528</v>
      </c>
      <c r="Z661" s="4">
        <f>IF(L661&lt;&gt;"",SQRT(3)*G661*L661/1000,"")</f>
        <v/>
      </c>
      <c r="AA661" t="inlineStr">
        <is>
          <t>Source=Copeland 2D/3D/4D/4R/6D/8D/9R compressors (pdf) p23</t>
        </is>
      </c>
      <c r="AB661" t="inlineStr">
        <is>
          <t>Copeland_RLA_230_460_3ph_60Hz.xlsx</t>
        </is>
      </c>
      <c r="AC661" t="inlineStr">
        <is>
          <t>Recip_2D-9R</t>
        </is>
      </c>
    </row>
    <row r="662">
      <c r="A662" t="inlineStr">
        <is>
          <t>COPELAND</t>
        </is>
      </c>
      <c r="B662" t="inlineStr">
        <is>
          <t>4DK3-150E-TSK</t>
        </is>
      </c>
      <c r="D662" t="inlineStr">
        <is>
          <t>Reciprocating Semi-hermetic</t>
        </is>
      </c>
      <c r="E662" s="2" t="n">
        <v>3</v>
      </c>
      <c r="F662" s="2" t="n">
        <v>60</v>
      </c>
      <c r="G662" s="2" t="n">
        <v>230</v>
      </c>
      <c r="H662" t="inlineStr">
        <is>
          <t>208/230</t>
        </is>
      </c>
      <c r="I662" s="2" t="n">
        <v>208</v>
      </c>
      <c r="J662" s="2" t="n">
        <v>230</v>
      </c>
      <c r="L662" s="3" t="n"/>
      <c r="M662" s="3" t="n"/>
      <c r="N662" s="3" t="n">
        <v>57.9</v>
      </c>
      <c r="O662" s="3" t="n"/>
      <c r="P662" s="3">
        <f>IF(L662&lt;&gt;"",L662/1.4,"")</f>
        <v/>
      </c>
      <c r="Q662" s="3">
        <f>IF(L662&lt;&gt;"",L662/1.56,"")</f>
        <v/>
      </c>
      <c r="R662" s="3">
        <f>IF(M662&lt;&gt;"",M662/1.4,"")</f>
        <v/>
      </c>
      <c r="S662" s="3">
        <f>IF(M662&lt;&gt;"",M662/1.56,"")</f>
        <v/>
      </c>
      <c r="T662" s="3">
        <f>IF(N662&lt;&gt;"",N662,IF(O662&lt;&gt;"",O662,IF(L662&lt;&gt;"",L662/1.56,IF(M662&lt;&gt;"",M662/1.56,""))))</f>
        <v/>
      </c>
      <c r="U662" s="3" t="n">
        <v>278</v>
      </c>
      <c r="V662" s="3" t="n">
        <v>170</v>
      </c>
      <c r="W662" s="3" t="n"/>
      <c r="X662" s="4" t="n"/>
      <c r="Y662" s="5" t="n">
        <v>0.208</v>
      </c>
      <c r="Z662" s="4">
        <f>IF(L662&lt;&gt;"",SQRT(3)*G662*L662/1000,"")</f>
        <v/>
      </c>
      <c r="AA662" t="inlineStr">
        <is>
          <t>Source=Copeland 2D/3D/4D/4R/6D/8D/9R compressors (pdf) p23; PWS_RLA=29.0</t>
        </is>
      </c>
      <c r="AB662" t="inlineStr">
        <is>
          <t>Copeland_RLA_230_460_3ph_60Hz.xlsx</t>
        </is>
      </c>
      <c r="AC662" t="inlineStr">
        <is>
          <t>Recip_2D-9R</t>
        </is>
      </c>
    </row>
    <row r="663">
      <c r="A663" t="inlineStr">
        <is>
          <t>COPELAND</t>
        </is>
      </c>
      <c r="B663" t="inlineStr">
        <is>
          <t>4DK3-150E-TSK</t>
        </is>
      </c>
      <c r="D663" t="inlineStr">
        <is>
          <t>Reciprocating Semi-hermetic</t>
        </is>
      </c>
      <c r="E663" s="2" t="n">
        <v>3</v>
      </c>
      <c r="F663" s="2" t="n">
        <v>60</v>
      </c>
      <c r="G663" s="2" t="n">
        <v>460</v>
      </c>
      <c r="H663" t="inlineStr">
        <is>
          <t>460</t>
        </is>
      </c>
      <c r="I663" s="2" t="n">
        <v>460</v>
      </c>
      <c r="J663" s="2" t="n">
        <v>460</v>
      </c>
      <c r="L663" s="3" t="n"/>
      <c r="M663" s="3" t="n"/>
      <c r="N663" s="3" t="n">
        <v>28.9</v>
      </c>
      <c r="O663" s="3" t="n"/>
      <c r="P663" s="3">
        <f>IF(L663&lt;&gt;"",L663/1.4,"")</f>
        <v/>
      </c>
      <c r="Q663" s="3">
        <f>IF(L663&lt;&gt;"",L663/1.56,"")</f>
        <v/>
      </c>
      <c r="R663" s="3">
        <f>IF(M663&lt;&gt;"",M663/1.4,"")</f>
        <v/>
      </c>
      <c r="S663" s="3">
        <f>IF(M663&lt;&gt;"",M663/1.56,"")</f>
        <v/>
      </c>
      <c r="T663" s="3">
        <f>IF(N663&lt;&gt;"",N663,IF(O663&lt;&gt;"",O663,IF(L663&lt;&gt;"",L663/1.56,IF(M663&lt;&gt;"",M663/1.56,""))))</f>
        <v/>
      </c>
      <c r="U663" s="3" t="n">
        <v>139</v>
      </c>
      <c r="V663" s="3" t="n"/>
      <c r="W663" s="3" t="n"/>
      <c r="X663" s="4" t="n"/>
      <c r="Y663" s="5" t="n">
        <v>0.832</v>
      </c>
      <c r="Z663" s="4">
        <f>IF(L663&lt;&gt;"",SQRT(3)*G663*L663/1000,"")</f>
        <v/>
      </c>
      <c r="AA663" t="inlineStr">
        <is>
          <t>Source=Copeland 2D/3D/4D/4R/6D/8D/9R compressors (pdf) p24</t>
        </is>
      </c>
      <c r="AB663" t="inlineStr">
        <is>
          <t>Copeland_RLA_230_460_3ph_60Hz.xlsx</t>
        </is>
      </c>
      <c r="AC663" t="inlineStr">
        <is>
          <t>Recip_2D-9R</t>
        </is>
      </c>
    </row>
    <row r="664">
      <c r="A664" t="inlineStr">
        <is>
          <t>COPELAND</t>
        </is>
      </c>
      <c r="B664" t="inlineStr">
        <is>
          <t>4DK3-150L-TSK</t>
        </is>
      </c>
      <c r="D664" t="inlineStr">
        <is>
          <t>Reciprocating Semi-hermetic</t>
        </is>
      </c>
      <c r="E664" s="2" t="n">
        <v>3</v>
      </c>
      <c r="F664" s="2" t="n">
        <v>60</v>
      </c>
      <c r="G664" s="2" t="n">
        <v>230</v>
      </c>
      <c r="H664" t="inlineStr">
        <is>
          <t>208/230</t>
        </is>
      </c>
      <c r="I664" s="2" t="n">
        <v>208</v>
      </c>
      <c r="J664" s="2" t="n">
        <v>230</v>
      </c>
      <c r="L664" s="3" t="n"/>
      <c r="M664" s="3" t="n"/>
      <c r="N664" s="3" t="n">
        <v>57.9</v>
      </c>
      <c r="O664" s="3" t="n"/>
      <c r="P664" s="3">
        <f>IF(L664&lt;&gt;"",L664/1.4,"")</f>
        <v/>
      </c>
      <c r="Q664" s="3">
        <f>IF(L664&lt;&gt;"",L664/1.56,"")</f>
        <v/>
      </c>
      <c r="R664" s="3">
        <f>IF(M664&lt;&gt;"",M664/1.4,"")</f>
        <v/>
      </c>
      <c r="S664" s="3">
        <f>IF(M664&lt;&gt;"",M664/1.56,"")</f>
        <v/>
      </c>
      <c r="T664" s="3">
        <f>IF(N664&lt;&gt;"",N664,IF(O664&lt;&gt;"",O664,IF(L664&lt;&gt;"",L664/1.56,IF(M664&lt;&gt;"",M664/1.56,""))))</f>
        <v/>
      </c>
      <c r="U664" s="3" t="n">
        <v>278</v>
      </c>
      <c r="V664" s="3" t="n">
        <v>170</v>
      </c>
      <c r="W664" s="3" t="n"/>
      <c r="X664" s="4" t="n"/>
      <c r="Y664" s="5" t="n">
        <v>0.208</v>
      </c>
      <c r="Z664" s="4">
        <f>IF(L664&lt;&gt;"",SQRT(3)*G664*L664/1000,"")</f>
        <v/>
      </c>
      <c r="AA664" t="inlineStr">
        <is>
          <t>Source=Copeland 2D/3D/4D/4R/6D/8D/9R compressors (pdf) p24; PWS_RLA=29.0</t>
        </is>
      </c>
      <c r="AB664" t="inlineStr">
        <is>
          <t>Copeland_RLA_230_460_3ph_60Hz.xlsx</t>
        </is>
      </c>
      <c r="AC664" t="inlineStr">
        <is>
          <t>Recip_2D-9R</t>
        </is>
      </c>
    </row>
    <row r="665">
      <c r="A665" t="inlineStr">
        <is>
          <t>COPELAND</t>
        </is>
      </c>
      <c r="B665" t="inlineStr">
        <is>
          <t>4DK3-150L-TSK</t>
        </is>
      </c>
      <c r="D665" t="inlineStr">
        <is>
          <t>Reciprocating Semi-hermetic</t>
        </is>
      </c>
      <c r="E665" s="2" t="n">
        <v>3</v>
      </c>
      <c r="F665" s="2" t="n">
        <v>60</v>
      </c>
      <c r="G665" s="2" t="n">
        <v>460</v>
      </c>
      <c r="H665" t="inlineStr">
        <is>
          <t>460</t>
        </is>
      </c>
      <c r="I665" s="2" t="n">
        <v>460</v>
      </c>
      <c r="J665" s="2" t="n">
        <v>460</v>
      </c>
      <c r="L665" s="3" t="n"/>
      <c r="M665" s="3" t="n"/>
      <c r="N665" s="3" t="n">
        <v>28.9</v>
      </c>
      <c r="O665" s="3" t="n"/>
      <c r="P665" s="3">
        <f>IF(L665&lt;&gt;"",L665/1.4,"")</f>
        <v/>
      </c>
      <c r="Q665" s="3">
        <f>IF(L665&lt;&gt;"",L665/1.56,"")</f>
        <v/>
      </c>
      <c r="R665" s="3">
        <f>IF(M665&lt;&gt;"",M665/1.4,"")</f>
        <v/>
      </c>
      <c r="S665" s="3">
        <f>IF(M665&lt;&gt;"",M665/1.56,"")</f>
        <v/>
      </c>
      <c r="T665" s="3">
        <f>IF(N665&lt;&gt;"",N665,IF(O665&lt;&gt;"",O665,IF(L665&lt;&gt;"",L665/1.56,IF(M665&lt;&gt;"",M665/1.56,""))))</f>
        <v/>
      </c>
      <c r="U665" s="3" t="n">
        <v>139</v>
      </c>
      <c r="V665" s="3" t="n"/>
      <c r="W665" s="3" t="n"/>
      <c r="X665" s="4" t="n"/>
      <c r="Y665" s="5" t="n">
        <v>0.832</v>
      </c>
      <c r="Z665" s="4">
        <f>IF(L665&lt;&gt;"",SQRT(3)*G665*L665/1000,"")</f>
        <v/>
      </c>
      <c r="AA665" t="inlineStr">
        <is>
          <t>Source=Copeland 2D/3D/4D/4R/6D/8D/9R compressors (pdf) p24</t>
        </is>
      </c>
      <c r="AB665" t="inlineStr">
        <is>
          <t>Copeland_RLA_230_460_3ph_60Hz.xlsx</t>
        </is>
      </c>
      <c r="AC665" t="inlineStr">
        <is>
          <t>Recip_2D-9R</t>
        </is>
      </c>
    </row>
    <row r="666">
      <c r="A666" t="inlineStr">
        <is>
          <t>COPELAND</t>
        </is>
      </c>
      <c r="B666" t="inlineStr">
        <is>
          <t>4DK3-2500-FSD</t>
        </is>
      </c>
      <c r="D666" t="inlineStr">
        <is>
          <t>Reciprocating Semi-hermetic</t>
        </is>
      </c>
      <c r="E666" s="2" t="n">
        <v>3</v>
      </c>
      <c r="F666" s="2" t="n">
        <v>60</v>
      </c>
      <c r="G666" s="2" t="n">
        <v>460</v>
      </c>
      <c r="H666" t="inlineStr">
        <is>
          <t>460</t>
        </is>
      </c>
      <c r="I666" s="2" t="n">
        <v>460</v>
      </c>
      <c r="J666" s="2" t="n">
        <v>460</v>
      </c>
      <c r="L666" s="3" t="n"/>
      <c r="M666" s="3" t="n"/>
      <c r="N666" s="3" t="n">
        <v>40.6</v>
      </c>
      <c r="O666" s="3" t="n"/>
      <c r="P666" s="3">
        <f>IF(L666&lt;&gt;"",L666/1.4,"")</f>
        <v/>
      </c>
      <c r="Q666" s="3">
        <f>IF(L666&lt;&gt;"",L666/1.56,"")</f>
        <v/>
      </c>
      <c r="R666" s="3">
        <f>IF(M666&lt;&gt;"",M666/1.4,"")</f>
        <v/>
      </c>
      <c r="S666" s="3">
        <f>IF(M666&lt;&gt;"",M666/1.56,"")</f>
        <v/>
      </c>
      <c r="T666" s="3">
        <f>IF(N666&lt;&gt;"",N666,IF(O666&lt;&gt;"",O666,IF(L666&lt;&gt;"",L666/1.56,IF(M666&lt;&gt;"",M666/1.56,""))))</f>
        <v/>
      </c>
      <c r="U666" s="3" t="n">
        <v>206</v>
      </c>
      <c r="V666" s="3" t="n">
        <v>132</v>
      </c>
      <c r="W666" s="3" t="n"/>
      <c r="X666" s="4" t="n"/>
      <c r="Y666" s="5" t="n">
        <v>0.524</v>
      </c>
      <c r="Z666" s="4">
        <f>IF(L666&lt;&gt;"",SQRT(3)*G666*L666/1000,"")</f>
        <v/>
      </c>
      <c r="AA666" t="inlineStr">
        <is>
          <t>Source=Copeland 2D/3D/4D/4R/6D/8D/9R compressors (pdf) p24; PWS_RLA=20.3</t>
        </is>
      </c>
      <c r="AB666" t="inlineStr">
        <is>
          <t>Copeland_RLA_230_460_3ph_60Hz.xlsx</t>
        </is>
      </c>
      <c r="AC666" t="inlineStr">
        <is>
          <t>Recip_2D-9R</t>
        </is>
      </c>
    </row>
    <row r="667">
      <c r="A667" t="inlineStr">
        <is>
          <t>COPELAND</t>
        </is>
      </c>
      <c r="B667" t="inlineStr">
        <is>
          <t>4DK3-2500-FXD</t>
        </is>
      </c>
      <c r="D667" t="inlineStr">
        <is>
          <t>Reciprocating Semi-hermetic</t>
        </is>
      </c>
      <c r="E667" s="2" t="n">
        <v>3</v>
      </c>
      <c r="F667" s="2" t="n">
        <v>60</v>
      </c>
      <c r="G667" s="2" t="n">
        <v>460</v>
      </c>
      <c r="H667" t="inlineStr">
        <is>
          <t>460</t>
        </is>
      </c>
      <c r="I667" s="2" t="n">
        <v>460</v>
      </c>
      <c r="J667" s="2" t="n">
        <v>460</v>
      </c>
      <c r="L667" s="3" t="n"/>
      <c r="M667" s="3" t="n"/>
      <c r="N667" s="3" t="n"/>
      <c r="O667" s="3" t="n"/>
      <c r="P667" s="3">
        <f>IF(L667&lt;&gt;"",L667/1.4,"")</f>
        <v/>
      </c>
      <c r="Q667" s="3">
        <f>IF(L667&lt;&gt;"",L667/1.56,"")</f>
        <v/>
      </c>
      <c r="R667" s="3">
        <f>IF(M667&lt;&gt;"",M667/1.4,"")</f>
        <v/>
      </c>
      <c r="S667" s="3">
        <f>IF(M667&lt;&gt;"",M667/1.56,"")</f>
        <v/>
      </c>
      <c r="T667" s="3">
        <f>IF(N667&lt;&gt;"",N667,IF(O667&lt;&gt;"",O667,IF(L667&lt;&gt;"",L667/1.56,IF(M667&lt;&gt;"",M667/1.56,""))))</f>
        <v/>
      </c>
      <c r="U667" s="3" t="n">
        <v>206</v>
      </c>
      <c r="V667" s="3" t="n">
        <v>132</v>
      </c>
      <c r="W667" s="3" t="n"/>
      <c r="X667" s="4" t="n"/>
      <c r="Y667" s="5" t="n">
        <v>0.524</v>
      </c>
      <c r="Z667" s="4">
        <f>IF(L667&lt;&gt;"",SQRT(3)*G667*L667/1000,"")</f>
        <v/>
      </c>
      <c r="AA667" t="inlineStr">
        <is>
          <t>Source=Copeland 2D/3D/4D/4R/6D/8D/9R compressors (pdf) p24</t>
        </is>
      </c>
      <c r="AB667" t="inlineStr">
        <is>
          <t>Copeland_RLA_230_460_3ph_60Hz.xlsx</t>
        </is>
      </c>
      <c r="AC667" t="inlineStr">
        <is>
          <t>Recip_2D-9R</t>
        </is>
      </c>
    </row>
    <row r="668">
      <c r="A668" t="inlineStr">
        <is>
          <t>COPELAND</t>
        </is>
      </c>
      <c r="B668" t="inlineStr">
        <is>
          <t>4DK3-2500-TSK</t>
        </is>
      </c>
      <c r="D668" t="inlineStr">
        <is>
          <t>Reciprocating Semi-hermetic</t>
        </is>
      </c>
      <c r="E668" s="2" t="n">
        <v>3</v>
      </c>
      <c r="F668" s="2" t="n">
        <v>60</v>
      </c>
      <c r="G668" s="2" t="n">
        <v>230</v>
      </c>
      <c r="H668" t="inlineStr">
        <is>
          <t>208/230</t>
        </is>
      </c>
      <c r="I668" s="2" t="n">
        <v>208</v>
      </c>
      <c r="J668" s="2" t="n">
        <v>230</v>
      </c>
      <c r="L668" s="3" t="n"/>
      <c r="M668" s="3" t="n"/>
      <c r="N668" s="3" t="n">
        <v>82.09999999999999</v>
      </c>
      <c r="O668" s="3" t="n"/>
      <c r="P668" s="3">
        <f>IF(L668&lt;&gt;"",L668/1.4,"")</f>
        <v/>
      </c>
      <c r="Q668" s="3">
        <f>IF(L668&lt;&gt;"",L668/1.56,"")</f>
        <v/>
      </c>
      <c r="R668" s="3">
        <f>IF(M668&lt;&gt;"",M668/1.4,"")</f>
        <v/>
      </c>
      <c r="S668" s="3">
        <f>IF(M668&lt;&gt;"",M668/1.56,"")</f>
        <v/>
      </c>
      <c r="T668" s="3">
        <f>IF(N668&lt;&gt;"",N668,IF(O668&lt;&gt;"",O668,IF(L668&lt;&gt;"",L668/1.56,IF(M668&lt;&gt;"",M668/1.56,""))))</f>
        <v/>
      </c>
      <c r="U668" s="3" t="n">
        <v>428</v>
      </c>
      <c r="V668" s="3" t="n">
        <v>250</v>
      </c>
      <c r="W668" s="3" t="n"/>
      <c r="X668" s="4" t="n"/>
      <c r="Y668" s="5" t="n">
        <v>0.132</v>
      </c>
      <c r="Z668" s="4">
        <f>IF(L668&lt;&gt;"",SQRT(3)*G668*L668/1000,"")</f>
        <v/>
      </c>
      <c r="AA668" t="inlineStr">
        <is>
          <t>Source=Copeland 2D/3D/4D/4R/6D/8D/9R compressors (pdf) p24; PWS_RLA=41.1</t>
        </is>
      </c>
      <c r="AB668" t="inlineStr">
        <is>
          <t>Copeland_RLA_230_460_3ph_60Hz.xlsx</t>
        </is>
      </c>
      <c r="AC668" t="inlineStr">
        <is>
          <t>Recip_2D-9R</t>
        </is>
      </c>
    </row>
    <row r="669">
      <c r="A669" t="inlineStr">
        <is>
          <t>COPELAND</t>
        </is>
      </c>
      <c r="B669" t="inlineStr">
        <is>
          <t>4DK3-2500-TSK</t>
        </is>
      </c>
      <c r="D669" t="inlineStr">
        <is>
          <t>Reciprocating Semi-hermetic</t>
        </is>
      </c>
      <c r="E669" s="2" t="n">
        <v>3</v>
      </c>
      <c r="F669" s="2" t="n">
        <v>60</v>
      </c>
      <c r="G669" s="2" t="n">
        <v>460</v>
      </c>
      <c r="H669" t="inlineStr">
        <is>
          <t>460</t>
        </is>
      </c>
      <c r="I669" s="2" t="n">
        <v>460</v>
      </c>
      <c r="J669" s="2" t="n">
        <v>460</v>
      </c>
      <c r="L669" s="3" t="n"/>
      <c r="M669" s="3" t="n"/>
      <c r="N669" s="3" t="n">
        <v>41.1</v>
      </c>
      <c r="O669" s="3" t="n"/>
      <c r="P669" s="3">
        <f>IF(L669&lt;&gt;"",L669/1.4,"")</f>
        <v/>
      </c>
      <c r="Q669" s="3">
        <f>IF(L669&lt;&gt;"",L669/1.56,"")</f>
        <v/>
      </c>
      <c r="R669" s="3">
        <f>IF(M669&lt;&gt;"",M669/1.4,"")</f>
        <v/>
      </c>
      <c r="S669" s="3">
        <f>IF(M669&lt;&gt;"",M669/1.56,"")</f>
        <v/>
      </c>
      <c r="T669" s="3">
        <f>IF(N669&lt;&gt;"",N669,IF(O669&lt;&gt;"",O669,IF(L669&lt;&gt;"",L669/1.56,IF(M669&lt;&gt;"",M669/1.56,""))))</f>
        <v/>
      </c>
      <c r="U669" s="3" t="n">
        <v>214</v>
      </c>
      <c r="V669" s="3" t="n"/>
      <c r="W669" s="3" t="n"/>
      <c r="X669" s="4" t="n"/>
      <c r="Y669" s="5" t="n">
        <v>0.528</v>
      </c>
      <c r="Z669" s="4">
        <f>IF(L669&lt;&gt;"",SQRT(3)*G669*L669/1000,"")</f>
        <v/>
      </c>
      <c r="AA669" t="inlineStr">
        <is>
          <t>Source=Copeland 2D/3D/4D/4R/6D/8D/9R compressors (pdf) p24</t>
        </is>
      </c>
      <c r="AB669" t="inlineStr">
        <is>
          <t>Copeland_RLA_230_460_3ph_60Hz.xlsx</t>
        </is>
      </c>
      <c r="AC669" t="inlineStr">
        <is>
          <t>Recip_2D-9R</t>
        </is>
      </c>
    </row>
    <row r="670">
      <c r="A670" t="inlineStr">
        <is>
          <t>COPELAND</t>
        </is>
      </c>
      <c r="B670" t="inlineStr">
        <is>
          <t>4DK3-2500-TXK</t>
        </is>
      </c>
      <c r="D670" t="inlineStr">
        <is>
          <t>Reciprocating Semi-hermetic</t>
        </is>
      </c>
      <c r="E670" s="2" t="n">
        <v>3</v>
      </c>
      <c r="F670" s="2" t="n">
        <v>60</v>
      </c>
      <c r="G670" s="2" t="n">
        <v>230</v>
      </c>
      <c r="H670" t="inlineStr">
        <is>
          <t>208/230</t>
        </is>
      </c>
      <c r="I670" s="2" t="n">
        <v>208</v>
      </c>
      <c r="J670" s="2" t="n">
        <v>230</v>
      </c>
      <c r="L670" s="3" t="n"/>
      <c r="M670" s="3" t="n"/>
      <c r="N670" s="3" t="n"/>
      <c r="O670" s="3" t="n"/>
      <c r="P670" s="3">
        <f>IF(L670&lt;&gt;"",L670/1.4,"")</f>
        <v/>
      </c>
      <c r="Q670" s="3">
        <f>IF(L670&lt;&gt;"",L670/1.56,"")</f>
        <v/>
      </c>
      <c r="R670" s="3">
        <f>IF(M670&lt;&gt;"",M670/1.4,"")</f>
        <v/>
      </c>
      <c r="S670" s="3">
        <f>IF(M670&lt;&gt;"",M670/1.56,"")</f>
        <v/>
      </c>
      <c r="T670" s="3">
        <f>IF(N670&lt;&gt;"",N670,IF(O670&lt;&gt;"",O670,IF(L670&lt;&gt;"",L670/1.56,IF(M670&lt;&gt;"",M670/1.56,""))))</f>
        <v/>
      </c>
      <c r="U670" s="3" t="n">
        <v>428</v>
      </c>
      <c r="V670" s="3" t="n">
        <v>250</v>
      </c>
      <c r="W670" s="3" t="n"/>
      <c r="X670" s="4" t="n"/>
      <c r="Y670" s="5" t="n">
        <v>0.132</v>
      </c>
      <c r="Z670" s="4">
        <f>IF(L670&lt;&gt;"",SQRT(3)*G670*L670/1000,"")</f>
        <v/>
      </c>
      <c r="AA670" t="inlineStr">
        <is>
          <t>Source=Copeland 2D/3D/4D/4R/6D/8D/9R compressors (pdf) p24</t>
        </is>
      </c>
      <c r="AB670" t="inlineStr">
        <is>
          <t>Copeland_RLA_230_460_3ph_60Hz.xlsx</t>
        </is>
      </c>
      <c r="AC670" t="inlineStr">
        <is>
          <t>Recip_2D-9R</t>
        </is>
      </c>
    </row>
    <row r="671">
      <c r="A671" t="inlineStr">
        <is>
          <t>COPELAND</t>
        </is>
      </c>
      <c r="B671" t="inlineStr">
        <is>
          <t>4DK3-2500-TXK</t>
        </is>
      </c>
      <c r="D671" t="inlineStr">
        <is>
          <t>Reciprocating Semi-hermetic</t>
        </is>
      </c>
      <c r="E671" s="2" t="n">
        <v>3</v>
      </c>
      <c r="F671" s="2" t="n">
        <v>60</v>
      </c>
      <c r="G671" s="2" t="n">
        <v>460</v>
      </c>
      <c r="H671" t="inlineStr">
        <is>
          <t>460</t>
        </is>
      </c>
      <c r="I671" s="2" t="n">
        <v>460</v>
      </c>
      <c r="J671" s="2" t="n">
        <v>460</v>
      </c>
      <c r="L671" s="3" t="n"/>
      <c r="M671" s="3" t="n"/>
      <c r="N671" s="3" t="n"/>
      <c r="O671" s="3" t="n"/>
      <c r="P671" s="3">
        <f>IF(L671&lt;&gt;"",L671/1.4,"")</f>
        <v/>
      </c>
      <c r="Q671" s="3">
        <f>IF(L671&lt;&gt;"",L671/1.56,"")</f>
        <v/>
      </c>
      <c r="R671" s="3">
        <f>IF(M671&lt;&gt;"",M671/1.4,"")</f>
        <v/>
      </c>
      <c r="S671" s="3">
        <f>IF(M671&lt;&gt;"",M671/1.56,"")</f>
        <v/>
      </c>
      <c r="T671" s="3">
        <f>IF(N671&lt;&gt;"",N671,IF(O671&lt;&gt;"",O671,IF(L671&lt;&gt;"",L671/1.56,IF(M671&lt;&gt;"",M671/1.56,""))))</f>
        <v/>
      </c>
      <c r="U671" s="3" t="n">
        <v>214</v>
      </c>
      <c r="V671" s="3" t="n"/>
      <c r="W671" s="3" t="n"/>
      <c r="X671" s="4" t="n"/>
      <c r="Y671" s="5" t="n">
        <v>0.528</v>
      </c>
      <c r="Z671" s="4">
        <f>IF(L671&lt;&gt;"",SQRT(3)*G671*L671/1000,"")</f>
        <v/>
      </c>
      <c r="AA671" t="inlineStr">
        <is>
          <t>Source=Copeland 2D/3D/4D/4R/6D/8D/9R compressors (pdf) p24</t>
        </is>
      </c>
      <c r="AB671" t="inlineStr">
        <is>
          <t>Copeland_RLA_230_460_3ph_60Hz.xlsx</t>
        </is>
      </c>
      <c r="AC671" t="inlineStr">
        <is>
          <t>Recip_2D-9R</t>
        </is>
      </c>
    </row>
    <row r="672">
      <c r="A672" t="inlineStr">
        <is>
          <t>COPELAND</t>
        </is>
      </c>
      <c r="B672" t="inlineStr">
        <is>
          <t>4DK3-250E-FSD</t>
        </is>
      </c>
      <c r="D672" t="inlineStr">
        <is>
          <t>Reciprocating Semi-hermetic</t>
        </is>
      </c>
      <c r="E672" s="2" t="n">
        <v>3</v>
      </c>
      <c r="F672" s="2" t="n">
        <v>60</v>
      </c>
      <c r="G672" s="2" t="n">
        <v>460</v>
      </c>
      <c r="H672" t="inlineStr">
        <is>
          <t>460</t>
        </is>
      </c>
      <c r="I672" s="2" t="n">
        <v>460</v>
      </c>
      <c r="J672" s="2" t="n">
        <v>460</v>
      </c>
      <c r="L672" s="3" t="n"/>
      <c r="M672" s="3" t="n"/>
      <c r="N672" s="3" t="n">
        <v>40.6</v>
      </c>
      <c r="O672" s="3" t="n"/>
      <c r="P672" s="3">
        <f>IF(L672&lt;&gt;"",L672/1.4,"")</f>
        <v/>
      </c>
      <c r="Q672" s="3">
        <f>IF(L672&lt;&gt;"",L672/1.56,"")</f>
        <v/>
      </c>
      <c r="R672" s="3">
        <f>IF(M672&lt;&gt;"",M672/1.4,"")</f>
        <v/>
      </c>
      <c r="S672" s="3">
        <f>IF(M672&lt;&gt;"",M672/1.56,"")</f>
        <v/>
      </c>
      <c r="T672" s="3">
        <f>IF(N672&lt;&gt;"",N672,IF(O672&lt;&gt;"",O672,IF(L672&lt;&gt;"",L672/1.56,IF(M672&lt;&gt;"",M672/1.56,""))))</f>
        <v/>
      </c>
      <c r="U672" s="3" t="n">
        <v>206</v>
      </c>
      <c r="V672" s="3" t="n">
        <v>132</v>
      </c>
      <c r="W672" s="3" t="n"/>
      <c r="X672" s="4" t="n"/>
      <c r="Y672" s="5" t="n">
        <v>0.524</v>
      </c>
      <c r="Z672" s="4">
        <f>IF(L672&lt;&gt;"",SQRT(3)*G672*L672/1000,"")</f>
        <v/>
      </c>
      <c r="AA672" t="inlineStr">
        <is>
          <t>Source=Copeland 2D/3D/4D/4R/6D/8D/9R compressors (pdf) p24; PWS_RLA=20.3</t>
        </is>
      </c>
      <c r="AB672" t="inlineStr">
        <is>
          <t>Copeland_RLA_230_460_3ph_60Hz.xlsx</t>
        </is>
      </c>
      <c r="AC672" t="inlineStr">
        <is>
          <t>Recip_2D-9R</t>
        </is>
      </c>
    </row>
    <row r="673">
      <c r="A673" t="inlineStr">
        <is>
          <t>COPELAND</t>
        </is>
      </c>
      <c r="B673" t="inlineStr">
        <is>
          <t>4DK3-250E-TSK</t>
        </is>
      </c>
      <c r="D673" t="inlineStr">
        <is>
          <t>Reciprocating Semi-hermetic</t>
        </is>
      </c>
      <c r="E673" s="2" t="n">
        <v>3</v>
      </c>
      <c r="F673" s="2" t="n">
        <v>60</v>
      </c>
      <c r="G673" s="2" t="n">
        <v>230</v>
      </c>
      <c r="H673" t="inlineStr">
        <is>
          <t>208/230</t>
        </is>
      </c>
      <c r="I673" s="2" t="n">
        <v>208</v>
      </c>
      <c r="J673" s="2" t="n">
        <v>230</v>
      </c>
      <c r="L673" s="3" t="n"/>
      <c r="M673" s="3" t="n"/>
      <c r="N673" s="3" t="n">
        <v>82.09999999999999</v>
      </c>
      <c r="O673" s="3" t="n"/>
      <c r="P673" s="3">
        <f>IF(L673&lt;&gt;"",L673/1.4,"")</f>
        <v/>
      </c>
      <c r="Q673" s="3">
        <f>IF(L673&lt;&gt;"",L673/1.56,"")</f>
        <v/>
      </c>
      <c r="R673" s="3">
        <f>IF(M673&lt;&gt;"",M673/1.4,"")</f>
        <v/>
      </c>
      <c r="S673" s="3">
        <f>IF(M673&lt;&gt;"",M673/1.56,"")</f>
        <v/>
      </c>
      <c r="T673" s="3">
        <f>IF(N673&lt;&gt;"",N673,IF(O673&lt;&gt;"",O673,IF(L673&lt;&gt;"",L673/1.56,IF(M673&lt;&gt;"",M673/1.56,""))))</f>
        <v/>
      </c>
      <c r="U673" s="3" t="n">
        <v>428</v>
      </c>
      <c r="V673" s="3" t="n">
        <v>250</v>
      </c>
      <c r="W673" s="3" t="n"/>
      <c r="X673" s="4" t="n"/>
      <c r="Y673" s="5" t="n">
        <v>0.132</v>
      </c>
      <c r="Z673" s="4">
        <f>IF(L673&lt;&gt;"",SQRT(3)*G673*L673/1000,"")</f>
        <v/>
      </c>
      <c r="AA673" t="inlineStr">
        <is>
          <t>Source=Copeland 2D/3D/4D/4R/6D/8D/9R compressors (pdf) p24; PWS_RLA=41.1</t>
        </is>
      </c>
      <c r="AB673" t="inlineStr">
        <is>
          <t>Copeland_RLA_230_460_3ph_60Hz.xlsx</t>
        </is>
      </c>
      <c r="AC673" t="inlineStr">
        <is>
          <t>Recip_2D-9R</t>
        </is>
      </c>
    </row>
    <row r="674">
      <c r="A674" t="inlineStr">
        <is>
          <t>COPELAND</t>
        </is>
      </c>
      <c r="B674" t="inlineStr">
        <is>
          <t>4DK3-250E-TSK</t>
        </is>
      </c>
      <c r="D674" t="inlineStr">
        <is>
          <t>Reciprocating Semi-hermetic</t>
        </is>
      </c>
      <c r="E674" s="2" t="n">
        <v>3</v>
      </c>
      <c r="F674" s="2" t="n">
        <v>60</v>
      </c>
      <c r="G674" s="2" t="n">
        <v>460</v>
      </c>
      <c r="H674" t="inlineStr">
        <is>
          <t>460</t>
        </is>
      </c>
      <c r="I674" s="2" t="n">
        <v>460</v>
      </c>
      <c r="J674" s="2" t="n">
        <v>460</v>
      </c>
      <c r="L674" s="3" t="n"/>
      <c r="M674" s="3" t="n"/>
      <c r="N674" s="3" t="n">
        <v>41.1</v>
      </c>
      <c r="O674" s="3" t="n"/>
      <c r="P674" s="3">
        <f>IF(L674&lt;&gt;"",L674/1.4,"")</f>
        <v/>
      </c>
      <c r="Q674" s="3">
        <f>IF(L674&lt;&gt;"",L674/1.56,"")</f>
        <v/>
      </c>
      <c r="R674" s="3">
        <f>IF(M674&lt;&gt;"",M674/1.4,"")</f>
        <v/>
      </c>
      <c r="S674" s="3">
        <f>IF(M674&lt;&gt;"",M674/1.56,"")</f>
        <v/>
      </c>
      <c r="T674" s="3">
        <f>IF(N674&lt;&gt;"",N674,IF(O674&lt;&gt;"",O674,IF(L674&lt;&gt;"",L674/1.56,IF(M674&lt;&gt;"",M674/1.56,""))))</f>
        <v/>
      </c>
      <c r="U674" s="3" t="n">
        <v>214</v>
      </c>
      <c r="V674" s="3" t="n"/>
      <c r="W674" s="3" t="n"/>
      <c r="X674" s="4" t="n"/>
      <c r="Y674" s="5" t="n">
        <v>0.528</v>
      </c>
      <c r="Z674" s="4">
        <f>IF(L674&lt;&gt;"",SQRT(3)*G674*L674/1000,"")</f>
        <v/>
      </c>
      <c r="AA674" t="inlineStr">
        <is>
          <t>Source=Copeland 2D/3D/4D/4R/6D/8D/9R compressors (pdf) p24</t>
        </is>
      </c>
      <c r="AB674" t="inlineStr">
        <is>
          <t>Copeland_RLA_230_460_3ph_60Hz.xlsx</t>
        </is>
      </c>
      <c r="AC674" t="inlineStr">
        <is>
          <t>Recip_2D-9R</t>
        </is>
      </c>
    </row>
    <row r="675">
      <c r="A675" t="inlineStr">
        <is>
          <t>COPELAND</t>
        </is>
      </c>
      <c r="B675" t="inlineStr">
        <is>
          <t>4DK3-250L-FSD</t>
        </is>
      </c>
      <c r="D675" t="inlineStr">
        <is>
          <t>Reciprocating Semi-hermetic</t>
        </is>
      </c>
      <c r="E675" s="2" t="n">
        <v>3</v>
      </c>
      <c r="F675" s="2" t="n">
        <v>60</v>
      </c>
      <c r="G675" s="2" t="n">
        <v>460</v>
      </c>
      <c r="H675" t="inlineStr">
        <is>
          <t>460</t>
        </is>
      </c>
      <c r="I675" s="2" t="n">
        <v>460</v>
      </c>
      <c r="J675" s="2" t="n">
        <v>460</v>
      </c>
      <c r="L675" s="3" t="n"/>
      <c r="M675" s="3" t="n"/>
      <c r="N675" s="3" t="n">
        <v>40.6</v>
      </c>
      <c r="O675" s="3" t="n"/>
      <c r="P675" s="3">
        <f>IF(L675&lt;&gt;"",L675/1.4,"")</f>
        <v/>
      </c>
      <c r="Q675" s="3">
        <f>IF(L675&lt;&gt;"",L675/1.56,"")</f>
        <v/>
      </c>
      <c r="R675" s="3">
        <f>IF(M675&lt;&gt;"",M675/1.4,"")</f>
        <v/>
      </c>
      <c r="S675" s="3">
        <f>IF(M675&lt;&gt;"",M675/1.56,"")</f>
        <v/>
      </c>
      <c r="T675" s="3">
        <f>IF(N675&lt;&gt;"",N675,IF(O675&lt;&gt;"",O675,IF(L675&lt;&gt;"",L675/1.56,IF(M675&lt;&gt;"",M675/1.56,""))))</f>
        <v/>
      </c>
      <c r="U675" s="3" t="n">
        <v>206</v>
      </c>
      <c r="V675" s="3" t="n">
        <v>132</v>
      </c>
      <c r="W675" s="3" t="n"/>
      <c r="X675" s="4" t="n"/>
      <c r="Y675" s="5" t="n">
        <v>0.524</v>
      </c>
      <c r="Z675" s="4">
        <f>IF(L675&lt;&gt;"",SQRT(3)*G675*L675/1000,"")</f>
        <v/>
      </c>
      <c r="AA675" t="inlineStr">
        <is>
          <t>Source=Copeland 2D/3D/4D/4R/6D/8D/9R compressors (pdf) p24; PWS_RLA=20.3</t>
        </is>
      </c>
      <c r="AB675" t="inlineStr">
        <is>
          <t>Copeland_RLA_230_460_3ph_60Hz.xlsx</t>
        </is>
      </c>
      <c r="AC675" t="inlineStr">
        <is>
          <t>Recip_2D-9R</t>
        </is>
      </c>
    </row>
    <row r="676">
      <c r="A676" t="inlineStr">
        <is>
          <t>COPELAND</t>
        </is>
      </c>
      <c r="B676" t="inlineStr">
        <is>
          <t>4DK3-250L-TSK</t>
        </is>
      </c>
      <c r="D676" t="inlineStr">
        <is>
          <t>Reciprocating Semi-hermetic</t>
        </is>
      </c>
      <c r="E676" s="2" t="n">
        <v>3</v>
      </c>
      <c r="F676" s="2" t="n">
        <v>60</v>
      </c>
      <c r="G676" s="2" t="n">
        <v>230</v>
      </c>
      <c r="H676" t="inlineStr">
        <is>
          <t>208/230</t>
        </is>
      </c>
      <c r="I676" s="2" t="n">
        <v>208</v>
      </c>
      <c r="J676" s="2" t="n">
        <v>230</v>
      </c>
      <c r="L676" s="3" t="n"/>
      <c r="M676" s="3" t="n"/>
      <c r="N676" s="3" t="n">
        <v>82.09999999999999</v>
      </c>
      <c r="O676" s="3" t="n"/>
      <c r="P676" s="3">
        <f>IF(L676&lt;&gt;"",L676/1.4,"")</f>
        <v/>
      </c>
      <c r="Q676" s="3">
        <f>IF(L676&lt;&gt;"",L676/1.56,"")</f>
        <v/>
      </c>
      <c r="R676" s="3">
        <f>IF(M676&lt;&gt;"",M676/1.4,"")</f>
        <v/>
      </c>
      <c r="S676" s="3">
        <f>IF(M676&lt;&gt;"",M676/1.56,"")</f>
        <v/>
      </c>
      <c r="T676" s="3">
        <f>IF(N676&lt;&gt;"",N676,IF(O676&lt;&gt;"",O676,IF(L676&lt;&gt;"",L676/1.56,IF(M676&lt;&gt;"",M676/1.56,""))))</f>
        <v/>
      </c>
      <c r="U676" s="3" t="n">
        <v>428</v>
      </c>
      <c r="V676" s="3" t="n">
        <v>250</v>
      </c>
      <c r="W676" s="3" t="n"/>
      <c r="X676" s="4" t="n"/>
      <c r="Y676" s="5" t="n">
        <v>0.132</v>
      </c>
      <c r="Z676" s="4">
        <f>IF(L676&lt;&gt;"",SQRT(3)*G676*L676/1000,"")</f>
        <v/>
      </c>
      <c r="AA676" t="inlineStr">
        <is>
          <t>Source=Copeland 2D/3D/4D/4R/6D/8D/9R compressors (pdf) p25; PWS_RLA=41.1</t>
        </is>
      </c>
      <c r="AB676" t="inlineStr">
        <is>
          <t>Copeland_RLA_230_460_3ph_60Hz.xlsx</t>
        </is>
      </c>
      <c r="AC676" t="inlineStr">
        <is>
          <t>Recip_2D-9R</t>
        </is>
      </c>
    </row>
    <row r="677">
      <c r="A677" t="inlineStr">
        <is>
          <t>COPELAND</t>
        </is>
      </c>
      <c r="B677" t="inlineStr">
        <is>
          <t>4DK3-250L-TSK</t>
        </is>
      </c>
      <c r="D677" t="inlineStr">
        <is>
          <t>Reciprocating Semi-hermetic</t>
        </is>
      </c>
      <c r="E677" s="2" t="n">
        <v>3</v>
      </c>
      <c r="F677" s="2" t="n">
        <v>60</v>
      </c>
      <c r="G677" s="2" t="n">
        <v>460</v>
      </c>
      <c r="H677" t="inlineStr">
        <is>
          <t>460</t>
        </is>
      </c>
      <c r="I677" s="2" t="n">
        <v>460</v>
      </c>
      <c r="J677" s="2" t="n">
        <v>460</v>
      </c>
      <c r="L677" s="3" t="n"/>
      <c r="M677" s="3" t="n"/>
      <c r="N677" s="3" t="n">
        <v>41.1</v>
      </c>
      <c r="O677" s="3" t="n"/>
      <c r="P677" s="3">
        <f>IF(L677&lt;&gt;"",L677/1.4,"")</f>
        <v/>
      </c>
      <c r="Q677" s="3">
        <f>IF(L677&lt;&gt;"",L677/1.56,"")</f>
        <v/>
      </c>
      <c r="R677" s="3">
        <f>IF(M677&lt;&gt;"",M677/1.4,"")</f>
        <v/>
      </c>
      <c r="S677" s="3">
        <f>IF(M677&lt;&gt;"",M677/1.56,"")</f>
        <v/>
      </c>
      <c r="T677" s="3">
        <f>IF(N677&lt;&gt;"",N677,IF(O677&lt;&gt;"",O677,IF(L677&lt;&gt;"",L677/1.56,IF(M677&lt;&gt;"",M677/1.56,""))))</f>
        <v/>
      </c>
      <c r="U677" s="3" t="n">
        <v>214</v>
      </c>
      <c r="V677" s="3" t="n"/>
      <c r="W677" s="3" t="n"/>
      <c r="X677" s="4" t="n"/>
      <c r="Y677" s="5" t="n">
        <v>0.528</v>
      </c>
      <c r="Z677" s="4">
        <f>IF(L677&lt;&gt;"",SQRT(3)*G677*L677/1000,"")</f>
        <v/>
      </c>
      <c r="AA677" t="inlineStr">
        <is>
          <t>Source=Copeland 2D/3D/4D/4R/6D/8D/9R compressors (pdf) p25</t>
        </is>
      </c>
      <c r="AB677" t="inlineStr">
        <is>
          <t>Copeland_RLA_230_460_3ph_60Hz.xlsx</t>
        </is>
      </c>
      <c r="AC677" t="inlineStr">
        <is>
          <t>Recip_2D-9R</t>
        </is>
      </c>
    </row>
    <row r="678">
      <c r="A678" t="inlineStr">
        <is>
          <t>COPELAND</t>
        </is>
      </c>
      <c r="B678" t="inlineStr">
        <is>
          <t>4DK3A150E-TSK</t>
        </is>
      </c>
      <c r="D678" t="inlineStr">
        <is>
          <t>Reciprocating Semi-hermetic</t>
        </is>
      </c>
      <c r="E678" s="2" t="n">
        <v>3</v>
      </c>
      <c r="F678" s="2" t="n">
        <v>60</v>
      </c>
      <c r="G678" s="2" t="n">
        <v>230</v>
      </c>
      <c r="H678" t="inlineStr">
        <is>
          <t>208/230</t>
        </is>
      </c>
      <c r="I678" s="2" t="n">
        <v>208</v>
      </c>
      <c r="J678" s="2" t="n">
        <v>230</v>
      </c>
      <c r="L678" s="3" t="n"/>
      <c r="M678" s="3" t="n"/>
      <c r="N678" s="3" t="n">
        <v>57.9</v>
      </c>
      <c r="O678" s="3" t="n"/>
      <c r="P678" s="3">
        <f>IF(L678&lt;&gt;"",L678/1.4,"")</f>
        <v/>
      </c>
      <c r="Q678" s="3">
        <f>IF(L678&lt;&gt;"",L678/1.56,"")</f>
        <v/>
      </c>
      <c r="R678" s="3">
        <f>IF(M678&lt;&gt;"",M678/1.4,"")</f>
        <v/>
      </c>
      <c r="S678" s="3">
        <f>IF(M678&lt;&gt;"",M678/1.56,"")</f>
        <v/>
      </c>
      <c r="T678" s="3">
        <f>IF(N678&lt;&gt;"",N678,IF(O678&lt;&gt;"",O678,IF(L678&lt;&gt;"",L678/1.56,IF(M678&lt;&gt;"",M678/1.56,""))))</f>
        <v/>
      </c>
      <c r="U678" s="3" t="n">
        <v>278</v>
      </c>
      <c r="V678" s="3" t="n">
        <v>170</v>
      </c>
      <c r="W678" s="3" t="n"/>
      <c r="X678" s="4" t="n"/>
      <c r="Y678" s="5" t="n">
        <v>0.208</v>
      </c>
      <c r="Z678" s="4">
        <f>IF(L678&lt;&gt;"",SQRT(3)*G678*L678/1000,"")</f>
        <v/>
      </c>
      <c r="AA678" t="inlineStr">
        <is>
          <t>Source=Copeland 2D/3D/4D/4R/6D/8D/9R compressors (pdf) p25; PWS_RLA=29.0</t>
        </is>
      </c>
      <c r="AB678" t="inlineStr">
        <is>
          <t>Copeland_RLA_230_460_3ph_60Hz.xlsx</t>
        </is>
      </c>
      <c r="AC678" t="inlineStr">
        <is>
          <t>Recip_2D-9R</t>
        </is>
      </c>
    </row>
    <row r="679">
      <c r="A679" t="inlineStr">
        <is>
          <t>COPELAND</t>
        </is>
      </c>
      <c r="B679" t="inlineStr">
        <is>
          <t>4DK3A150E-TSK</t>
        </is>
      </c>
      <c r="D679" t="inlineStr">
        <is>
          <t>Reciprocating Semi-hermetic</t>
        </is>
      </c>
      <c r="E679" s="2" t="n">
        <v>3</v>
      </c>
      <c r="F679" s="2" t="n">
        <v>60</v>
      </c>
      <c r="G679" s="2" t="n">
        <v>460</v>
      </c>
      <c r="H679" t="inlineStr">
        <is>
          <t>460</t>
        </is>
      </c>
      <c r="I679" s="2" t="n">
        <v>460</v>
      </c>
      <c r="J679" s="2" t="n">
        <v>460</v>
      </c>
      <c r="L679" s="3" t="n"/>
      <c r="M679" s="3" t="n"/>
      <c r="N679" s="3" t="n">
        <v>28.9</v>
      </c>
      <c r="O679" s="3" t="n"/>
      <c r="P679" s="3">
        <f>IF(L679&lt;&gt;"",L679/1.4,"")</f>
        <v/>
      </c>
      <c r="Q679" s="3">
        <f>IF(L679&lt;&gt;"",L679/1.56,"")</f>
        <v/>
      </c>
      <c r="R679" s="3">
        <f>IF(M679&lt;&gt;"",M679/1.4,"")</f>
        <v/>
      </c>
      <c r="S679" s="3">
        <f>IF(M679&lt;&gt;"",M679/1.56,"")</f>
        <v/>
      </c>
      <c r="T679" s="3">
        <f>IF(N679&lt;&gt;"",N679,IF(O679&lt;&gt;"",O679,IF(L679&lt;&gt;"",L679/1.56,IF(M679&lt;&gt;"",M679/1.56,""))))</f>
        <v/>
      </c>
      <c r="U679" s="3" t="n">
        <v>139</v>
      </c>
      <c r="V679" s="3" t="n"/>
      <c r="W679" s="3" t="n"/>
      <c r="X679" s="4" t="n"/>
      <c r="Y679" s="5" t="n">
        <v>0.832</v>
      </c>
      <c r="Z679" s="4">
        <f>IF(L679&lt;&gt;"",SQRT(3)*G679*L679/1000,"")</f>
        <v/>
      </c>
      <c r="AA679" t="inlineStr">
        <is>
          <t>Source=Copeland 2D/3D/4D/4R/6D/8D/9R compressors (pdf) p25</t>
        </is>
      </c>
      <c r="AB679" t="inlineStr">
        <is>
          <t>Copeland_RLA_230_460_3ph_60Hz.xlsx</t>
        </is>
      </c>
      <c r="AC679" t="inlineStr">
        <is>
          <t>Recip_2D-9R</t>
        </is>
      </c>
    </row>
    <row r="680">
      <c r="A680" t="inlineStr">
        <is>
          <t>COPELAND</t>
        </is>
      </c>
      <c r="B680" t="inlineStr">
        <is>
          <t>4DK3A150L-TSK</t>
        </is>
      </c>
      <c r="D680" t="inlineStr">
        <is>
          <t>Reciprocating Semi-hermetic</t>
        </is>
      </c>
      <c r="E680" s="2" t="n">
        <v>3</v>
      </c>
      <c r="F680" s="2" t="n">
        <v>60</v>
      </c>
      <c r="G680" s="2" t="n">
        <v>230</v>
      </c>
      <c r="H680" t="inlineStr">
        <is>
          <t>208/230</t>
        </is>
      </c>
      <c r="I680" s="2" t="n">
        <v>208</v>
      </c>
      <c r="J680" s="2" t="n">
        <v>230</v>
      </c>
      <c r="L680" s="3" t="n"/>
      <c r="M680" s="3" t="n"/>
      <c r="N680" s="3" t="n">
        <v>57.9</v>
      </c>
      <c r="O680" s="3" t="n"/>
      <c r="P680" s="3">
        <f>IF(L680&lt;&gt;"",L680/1.4,"")</f>
        <v/>
      </c>
      <c r="Q680" s="3">
        <f>IF(L680&lt;&gt;"",L680/1.56,"")</f>
        <v/>
      </c>
      <c r="R680" s="3">
        <f>IF(M680&lt;&gt;"",M680/1.4,"")</f>
        <v/>
      </c>
      <c r="S680" s="3">
        <f>IF(M680&lt;&gt;"",M680/1.56,"")</f>
        <v/>
      </c>
      <c r="T680" s="3">
        <f>IF(N680&lt;&gt;"",N680,IF(O680&lt;&gt;"",O680,IF(L680&lt;&gt;"",L680/1.56,IF(M680&lt;&gt;"",M680/1.56,""))))</f>
        <v/>
      </c>
      <c r="U680" s="3" t="n">
        <v>278</v>
      </c>
      <c r="V680" s="3" t="n">
        <v>170</v>
      </c>
      <c r="W680" s="3" t="n"/>
      <c r="X680" s="4" t="n"/>
      <c r="Y680" s="5" t="n">
        <v>0.208</v>
      </c>
      <c r="Z680" s="4">
        <f>IF(L680&lt;&gt;"",SQRT(3)*G680*L680/1000,"")</f>
        <v/>
      </c>
      <c r="AA680" t="inlineStr">
        <is>
          <t>Source=Copeland 2D/3D/4D/4R/6D/8D/9R compressors (pdf) p25; PWS_RLA=29.0</t>
        </is>
      </c>
      <c r="AB680" t="inlineStr">
        <is>
          <t>Copeland_RLA_230_460_3ph_60Hz.xlsx</t>
        </is>
      </c>
      <c r="AC680" t="inlineStr">
        <is>
          <t>Recip_2D-9R</t>
        </is>
      </c>
    </row>
    <row r="681">
      <c r="A681" t="inlineStr">
        <is>
          <t>COPELAND</t>
        </is>
      </c>
      <c r="B681" t="inlineStr">
        <is>
          <t>4DK3A150L-TSK</t>
        </is>
      </c>
      <c r="D681" t="inlineStr">
        <is>
          <t>Reciprocating Semi-hermetic</t>
        </is>
      </c>
      <c r="E681" s="2" t="n">
        <v>3</v>
      </c>
      <c r="F681" s="2" t="n">
        <v>60</v>
      </c>
      <c r="G681" s="2" t="n">
        <v>460</v>
      </c>
      <c r="H681" t="inlineStr">
        <is>
          <t>460</t>
        </is>
      </c>
      <c r="I681" s="2" t="n">
        <v>460</v>
      </c>
      <c r="J681" s="2" t="n">
        <v>460</v>
      </c>
      <c r="L681" s="3" t="n"/>
      <c r="M681" s="3" t="n"/>
      <c r="N681" s="3" t="n">
        <v>28.9</v>
      </c>
      <c r="O681" s="3" t="n"/>
      <c r="P681" s="3">
        <f>IF(L681&lt;&gt;"",L681/1.4,"")</f>
        <v/>
      </c>
      <c r="Q681" s="3">
        <f>IF(L681&lt;&gt;"",L681/1.56,"")</f>
        <v/>
      </c>
      <c r="R681" s="3">
        <f>IF(M681&lt;&gt;"",M681/1.4,"")</f>
        <v/>
      </c>
      <c r="S681" s="3">
        <f>IF(M681&lt;&gt;"",M681/1.56,"")</f>
        <v/>
      </c>
      <c r="T681" s="3">
        <f>IF(N681&lt;&gt;"",N681,IF(O681&lt;&gt;"",O681,IF(L681&lt;&gt;"",L681/1.56,IF(M681&lt;&gt;"",M681/1.56,""))))</f>
        <v/>
      </c>
      <c r="U681" s="3" t="n">
        <v>139</v>
      </c>
      <c r="V681" s="3" t="n"/>
      <c r="W681" s="3" t="n"/>
      <c r="X681" s="4" t="n"/>
      <c r="Y681" s="5" t="n">
        <v>0.832</v>
      </c>
      <c r="Z681" s="4">
        <f>IF(L681&lt;&gt;"",SQRT(3)*G681*L681/1000,"")</f>
        <v/>
      </c>
      <c r="AA681" t="inlineStr">
        <is>
          <t>Source=Copeland 2D/3D/4D/4R/6D/8D/9R compressors (pdf) p25</t>
        </is>
      </c>
      <c r="AB681" t="inlineStr">
        <is>
          <t>Copeland_RLA_230_460_3ph_60Hz.xlsx</t>
        </is>
      </c>
      <c r="AC681" t="inlineStr">
        <is>
          <t>Recip_2D-9R</t>
        </is>
      </c>
    </row>
    <row r="682">
      <c r="A682" t="inlineStr">
        <is>
          <t>COPELAND</t>
        </is>
      </c>
      <c r="B682" t="inlineStr">
        <is>
          <t>4DK3A2500-FSD</t>
        </is>
      </c>
      <c r="D682" t="inlineStr">
        <is>
          <t>Reciprocating Semi-hermetic</t>
        </is>
      </c>
      <c r="E682" s="2" t="n">
        <v>3</v>
      </c>
      <c r="F682" s="2" t="n">
        <v>60</v>
      </c>
      <c r="G682" s="2" t="n">
        <v>460</v>
      </c>
      <c r="H682" t="inlineStr">
        <is>
          <t>460</t>
        </is>
      </c>
      <c r="I682" s="2" t="n">
        <v>460</v>
      </c>
      <c r="J682" s="2" t="n">
        <v>460</v>
      </c>
      <c r="L682" s="3" t="n"/>
      <c r="M682" s="3" t="n"/>
      <c r="N682" s="3" t="n">
        <v>40.6</v>
      </c>
      <c r="O682" s="3" t="n"/>
      <c r="P682" s="3">
        <f>IF(L682&lt;&gt;"",L682/1.4,"")</f>
        <v/>
      </c>
      <c r="Q682" s="3">
        <f>IF(L682&lt;&gt;"",L682/1.56,"")</f>
        <v/>
      </c>
      <c r="R682" s="3">
        <f>IF(M682&lt;&gt;"",M682/1.4,"")</f>
        <v/>
      </c>
      <c r="S682" s="3">
        <f>IF(M682&lt;&gt;"",M682/1.56,"")</f>
        <v/>
      </c>
      <c r="T682" s="3">
        <f>IF(N682&lt;&gt;"",N682,IF(O682&lt;&gt;"",O682,IF(L682&lt;&gt;"",L682/1.56,IF(M682&lt;&gt;"",M682/1.56,""))))</f>
        <v/>
      </c>
      <c r="U682" s="3" t="n">
        <v>206</v>
      </c>
      <c r="V682" s="3" t="n">
        <v>132</v>
      </c>
      <c r="W682" s="3" t="n"/>
      <c r="X682" s="4" t="n"/>
      <c r="Y682" s="5" t="n">
        <v>0.524</v>
      </c>
      <c r="Z682" s="4">
        <f>IF(L682&lt;&gt;"",SQRT(3)*G682*L682/1000,"")</f>
        <v/>
      </c>
      <c r="AA682" t="inlineStr">
        <is>
          <t>Source=Copeland 2D/3D/4D/4R/6D/8D/9R compressors (pdf) p25; PWS_RLA=20.3</t>
        </is>
      </c>
      <c r="AB682" t="inlineStr">
        <is>
          <t>Copeland_RLA_230_460_3ph_60Hz.xlsx</t>
        </is>
      </c>
      <c r="AC682" t="inlineStr">
        <is>
          <t>Recip_2D-9R</t>
        </is>
      </c>
    </row>
    <row r="683">
      <c r="A683" t="inlineStr">
        <is>
          <t>COPELAND</t>
        </is>
      </c>
      <c r="B683" t="inlineStr">
        <is>
          <t>4DK3A2500-FXD</t>
        </is>
      </c>
      <c r="D683" t="inlineStr">
        <is>
          <t>Reciprocating Semi-hermetic</t>
        </is>
      </c>
      <c r="E683" s="2" t="n">
        <v>3</v>
      </c>
      <c r="F683" s="2" t="n">
        <v>60</v>
      </c>
      <c r="G683" s="2" t="n">
        <v>460</v>
      </c>
      <c r="H683" t="inlineStr">
        <is>
          <t>460</t>
        </is>
      </c>
      <c r="I683" s="2" t="n">
        <v>460</v>
      </c>
      <c r="J683" s="2" t="n">
        <v>460</v>
      </c>
      <c r="L683" s="3" t="n"/>
      <c r="M683" s="3" t="n"/>
      <c r="N683" s="3" t="n"/>
      <c r="O683" s="3" t="n"/>
      <c r="P683" s="3">
        <f>IF(L683&lt;&gt;"",L683/1.4,"")</f>
        <v/>
      </c>
      <c r="Q683" s="3">
        <f>IF(L683&lt;&gt;"",L683/1.56,"")</f>
        <v/>
      </c>
      <c r="R683" s="3">
        <f>IF(M683&lt;&gt;"",M683/1.4,"")</f>
        <v/>
      </c>
      <c r="S683" s="3">
        <f>IF(M683&lt;&gt;"",M683/1.56,"")</f>
        <v/>
      </c>
      <c r="T683" s="3">
        <f>IF(N683&lt;&gt;"",N683,IF(O683&lt;&gt;"",O683,IF(L683&lt;&gt;"",L683/1.56,IF(M683&lt;&gt;"",M683/1.56,""))))</f>
        <v/>
      </c>
      <c r="U683" s="3" t="n">
        <v>206</v>
      </c>
      <c r="V683" s="3" t="n">
        <v>132</v>
      </c>
      <c r="W683" s="3" t="n"/>
      <c r="X683" s="4" t="n"/>
      <c r="Y683" s="5" t="n">
        <v>0.524</v>
      </c>
      <c r="Z683" s="4">
        <f>IF(L683&lt;&gt;"",SQRT(3)*G683*L683/1000,"")</f>
        <v/>
      </c>
      <c r="AA683" t="inlineStr">
        <is>
          <t>Source=Copeland 2D/3D/4D/4R/6D/8D/9R compressors (pdf) p25</t>
        </is>
      </c>
      <c r="AB683" t="inlineStr">
        <is>
          <t>Copeland_RLA_230_460_3ph_60Hz.xlsx</t>
        </is>
      </c>
      <c r="AC683" t="inlineStr">
        <is>
          <t>Recip_2D-9R</t>
        </is>
      </c>
    </row>
    <row r="684">
      <c r="A684" t="inlineStr">
        <is>
          <t>COPELAND</t>
        </is>
      </c>
      <c r="B684" t="inlineStr">
        <is>
          <t>4DK3A2500-TSK</t>
        </is>
      </c>
      <c r="D684" t="inlineStr">
        <is>
          <t>Reciprocating Semi-hermetic</t>
        </is>
      </c>
      <c r="E684" s="2" t="n">
        <v>3</v>
      </c>
      <c r="F684" s="2" t="n">
        <v>60</v>
      </c>
      <c r="G684" s="2" t="n">
        <v>230</v>
      </c>
      <c r="H684" t="inlineStr">
        <is>
          <t>208/230</t>
        </is>
      </c>
      <c r="I684" s="2" t="n">
        <v>208</v>
      </c>
      <c r="J684" s="2" t="n">
        <v>230</v>
      </c>
      <c r="L684" s="3" t="n"/>
      <c r="M684" s="3" t="n"/>
      <c r="N684" s="3" t="n">
        <v>82.09999999999999</v>
      </c>
      <c r="O684" s="3" t="n"/>
      <c r="P684" s="3">
        <f>IF(L684&lt;&gt;"",L684/1.4,"")</f>
        <v/>
      </c>
      <c r="Q684" s="3">
        <f>IF(L684&lt;&gt;"",L684/1.56,"")</f>
        <v/>
      </c>
      <c r="R684" s="3">
        <f>IF(M684&lt;&gt;"",M684/1.4,"")</f>
        <v/>
      </c>
      <c r="S684" s="3">
        <f>IF(M684&lt;&gt;"",M684/1.56,"")</f>
        <v/>
      </c>
      <c r="T684" s="3">
        <f>IF(N684&lt;&gt;"",N684,IF(O684&lt;&gt;"",O684,IF(L684&lt;&gt;"",L684/1.56,IF(M684&lt;&gt;"",M684/1.56,""))))</f>
        <v/>
      </c>
      <c r="U684" s="3" t="n">
        <v>428</v>
      </c>
      <c r="V684" s="3" t="n">
        <v>250</v>
      </c>
      <c r="W684" s="3" t="n"/>
      <c r="X684" s="4" t="n"/>
      <c r="Y684" s="5" t="n">
        <v>0.132</v>
      </c>
      <c r="Z684" s="4">
        <f>IF(L684&lt;&gt;"",SQRT(3)*G684*L684/1000,"")</f>
        <v/>
      </c>
      <c r="AA684" t="inlineStr">
        <is>
          <t>Source=Copeland 2D/3D/4D/4R/6D/8D/9R compressors (pdf) p25; PWS_RLA=41.1</t>
        </is>
      </c>
      <c r="AB684" t="inlineStr">
        <is>
          <t>Copeland_RLA_230_460_3ph_60Hz.xlsx</t>
        </is>
      </c>
      <c r="AC684" t="inlineStr">
        <is>
          <t>Recip_2D-9R</t>
        </is>
      </c>
    </row>
    <row r="685">
      <c r="A685" t="inlineStr">
        <is>
          <t>COPELAND</t>
        </is>
      </c>
      <c r="B685" t="inlineStr">
        <is>
          <t>4DK3A2500-TSK</t>
        </is>
      </c>
      <c r="D685" t="inlineStr">
        <is>
          <t>Reciprocating Semi-hermetic</t>
        </is>
      </c>
      <c r="E685" s="2" t="n">
        <v>3</v>
      </c>
      <c r="F685" s="2" t="n">
        <v>60</v>
      </c>
      <c r="G685" s="2" t="n">
        <v>460</v>
      </c>
      <c r="H685" t="inlineStr">
        <is>
          <t>460</t>
        </is>
      </c>
      <c r="I685" s="2" t="n">
        <v>460</v>
      </c>
      <c r="J685" s="2" t="n">
        <v>460</v>
      </c>
      <c r="L685" s="3" t="n"/>
      <c r="M685" s="3" t="n"/>
      <c r="N685" s="3" t="n">
        <v>41.1</v>
      </c>
      <c r="O685" s="3" t="n"/>
      <c r="P685" s="3">
        <f>IF(L685&lt;&gt;"",L685/1.4,"")</f>
        <v/>
      </c>
      <c r="Q685" s="3">
        <f>IF(L685&lt;&gt;"",L685/1.56,"")</f>
        <v/>
      </c>
      <c r="R685" s="3">
        <f>IF(M685&lt;&gt;"",M685/1.4,"")</f>
        <v/>
      </c>
      <c r="S685" s="3">
        <f>IF(M685&lt;&gt;"",M685/1.56,"")</f>
        <v/>
      </c>
      <c r="T685" s="3">
        <f>IF(N685&lt;&gt;"",N685,IF(O685&lt;&gt;"",O685,IF(L685&lt;&gt;"",L685/1.56,IF(M685&lt;&gt;"",M685/1.56,""))))</f>
        <v/>
      </c>
      <c r="U685" s="3" t="n">
        <v>214</v>
      </c>
      <c r="V685" s="3" t="n"/>
      <c r="W685" s="3" t="n"/>
      <c r="X685" s="4" t="n"/>
      <c r="Y685" s="5" t="n">
        <v>0.528</v>
      </c>
      <c r="Z685" s="4">
        <f>IF(L685&lt;&gt;"",SQRT(3)*G685*L685/1000,"")</f>
        <v/>
      </c>
      <c r="AA685" t="inlineStr">
        <is>
          <t>Source=Copeland 2D/3D/4D/4R/6D/8D/9R compressors (pdf) p25</t>
        </is>
      </c>
      <c r="AB685" t="inlineStr">
        <is>
          <t>Copeland_RLA_230_460_3ph_60Hz.xlsx</t>
        </is>
      </c>
      <c r="AC685" t="inlineStr">
        <is>
          <t>Recip_2D-9R</t>
        </is>
      </c>
    </row>
    <row r="686">
      <c r="A686" t="inlineStr">
        <is>
          <t>COPELAND</t>
        </is>
      </c>
      <c r="B686" t="inlineStr">
        <is>
          <t>4DK3A2500-TXK</t>
        </is>
      </c>
      <c r="D686" t="inlineStr">
        <is>
          <t>Reciprocating Semi-hermetic</t>
        </is>
      </c>
      <c r="E686" s="2" t="n">
        <v>3</v>
      </c>
      <c r="F686" s="2" t="n">
        <v>60</v>
      </c>
      <c r="G686" s="2" t="n">
        <v>230</v>
      </c>
      <c r="H686" t="inlineStr">
        <is>
          <t>208/230</t>
        </is>
      </c>
      <c r="I686" s="2" t="n">
        <v>208</v>
      </c>
      <c r="J686" s="2" t="n">
        <v>230</v>
      </c>
      <c r="L686" s="3" t="n"/>
      <c r="M686" s="3" t="n"/>
      <c r="N686" s="3" t="n"/>
      <c r="O686" s="3" t="n"/>
      <c r="P686" s="3">
        <f>IF(L686&lt;&gt;"",L686/1.4,"")</f>
        <v/>
      </c>
      <c r="Q686" s="3">
        <f>IF(L686&lt;&gt;"",L686/1.56,"")</f>
        <v/>
      </c>
      <c r="R686" s="3">
        <f>IF(M686&lt;&gt;"",M686/1.4,"")</f>
        <v/>
      </c>
      <c r="S686" s="3">
        <f>IF(M686&lt;&gt;"",M686/1.56,"")</f>
        <v/>
      </c>
      <c r="T686" s="3">
        <f>IF(N686&lt;&gt;"",N686,IF(O686&lt;&gt;"",O686,IF(L686&lt;&gt;"",L686/1.56,IF(M686&lt;&gt;"",M686/1.56,""))))</f>
        <v/>
      </c>
      <c r="U686" s="3" t="n">
        <v>428</v>
      </c>
      <c r="V686" s="3" t="n">
        <v>250</v>
      </c>
      <c r="W686" s="3" t="n"/>
      <c r="X686" s="4" t="n"/>
      <c r="Y686" s="5" t="n">
        <v>0.132</v>
      </c>
      <c r="Z686" s="4">
        <f>IF(L686&lt;&gt;"",SQRT(3)*G686*L686/1000,"")</f>
        <v/>
      </c>
      <c r="AA686" t="inlineStr">
        <is>
          <t>Source=Copeland 2D/3D/4D/4R/6D/8D/9R compressors (pdf) p25</t>
        </is>
      </c>
      <c r="AB686" t="inlineStr">
        <is>
          <t>Copeland_RLA_230_460_3ph_60Hz.xlsx</t>
        </is>
      </c>
      <c r="AC686" t="inlineStr">
        <is>
          <t>Recip_2D-9R</t>
        </is>
      </c>
    </row>
    <row r="687">
      <c r="A687" t="inlineStr">
        <is>
          <t>COPELAND</t>
        </is>
      </c>
      <c r="B687" t="inlineStr">
        <is>
          <t>4DK3A2500-TXK</t>
        </is>
      </c>
      <c r="D687" t="inlineStr">
        <is>
          <t>Reciprocating Semi-hermetic</t>
        </is>
      </c>
      <c r="E687" s="2" t="n">
        <v>3</v>
      </c>
      <c r="F687" s="2" t="n">
        <v>60</v>
      </c>
      <c r="G687" s="2" t="n">
        <v>460</v>
      </c>
      <c r="H687" t="inlineStr">
        <is>
          <t>460</t>
        </is>
      </c>
      <c r="I687" s="2" t="n">
        <v>460</v>
      </c>
      <c r="J687" s="2" t="n">
        <v>460</v>
      </c>
      <c r="L687" s="3" t="n"/>
      <c r="M687" s="3" t="n"/>
      <c r="N687" s="3" t="n"/>
      <c r="O687" s="3" t="n"/>
      <c r="P687" s="3">
        <f>IF(L687&lt;&gt;"",L687/1.4,"")</f>
        <v/>
      </c>
      <c r="Q687" s="3">
        <f>IF(L687&lt;&gt;"",L687/1.56,"")</f>
        <v/>
      </c>
      <c r="R687" s="3">
        <f>IF(M687&lt;&gt;"",M687/1.4,"")</f>
        <v/>
      </c>
      <c r="S687" s="3">
        <f>IF(M687&lt;&gt;"",M687/1.56,"")</f>
        <v/>
      </c>
      <c r="T687" s="3">
        <f>IF(N687&lt;&gt;"",N687,IF(O687&lt;&gt;"",O687,IF(L687&lt;&gt;"",L687/1.56,IF(M687&lt;&gt;"",M687/1.56,""))))</f>
        <v/>
      </c>
      <c r="U687" s="3" t="n">
        <v>214</v>
      </c>
      <c r="V687" s="3" t="n"/>
      <c r="W687" s="3" t="n"/>
      <c r="X687" s="4" t="n"/>
      <c r="Y687" s="5" t="n">
        <v>0.528</v>
      </c>
      <c r="Z687" s="4">
        <f>IF(L687&lt;&gt;"",SQRT(3)*G687*L687/1000,"")</f>
        <v/>
      </c>
      <c r="AA687" t="inlineStr">
        <is>
          <t>Source=Copeland 2D/3D/4D/4R/6D/8D/9R compressors (pdf) p25</t>
        </is>
      </c>
      <c r="AB687" t="inlineStr">
        <is>
          <t>Copeland_RLA_230_460_3ph_60Hz.xlsx</t>
        </is>
      </c>
      <c r="AC687" t="inlineStr">
        <is>
          <t>Recip_2D-9R</t>
        </is>
      </c>
    </row>
    <row r="688">
      <c r="A688" t="inlineStr">
        <is>
          <t>COPELAND</t>
        </is>
      </c>
      <c r="B688" t="inlineStr">
        <is>
          <t>4DK3A250E-FSD</t>
        </is>
      </c>
      <c r="D688" t="inlineStr">
        <is>
          <t>Reciprocating Semi-hermetic</t>
        </is>
      </c>
      <c r="E688" s="2" t="n">
        <v>3</v>
      </c>
      <c r="F688" s="2" t="n">
        <v>60</v>
      </c>
      <c r="G688" s="2" t="n">
        <v>460</v>
      </c>
      <c r="H688" t="inlineStr">
        <is>
          <t>460</t>
        </is>
      </c>
      <c r="I688" s="2" t="n">
        <v>460</v>
      </c>
      <c r="J688" s="2" t="n">
        <v>460</v>
      </c>
      <c r="L688" s="3" t="n"/>
      <c r="M688" s="3" t="n"/>
      <c r="N688" s="3" t="n">
        <v>40.6</v>
      </c>
      <c r="O688" s="3" t="n"/>
      <c r="P688" s="3">
        <f>IF(L688&lt;&gt;"",L688/1.4,"")</f>
        <v/>
      </c>
      <c r="Q688" s="3">
        <f>IF(L688&lt;&gt;"",L688/1.56,"")</f>
        <v/>
      </c>
      <c r="R688" s="3">
        <f>IF(M688&lt;&gt;"",M688/1.4,"")</f>
        <v/>
      </c>
      <c r="S688" s="3">
        <f>IF(M688&lt;&gt;"",M688/1.56,"")</f>
        <v/>
      </c>
      <c r="T688" s="3">
        <f>IF(N688&lt;&gt;"",N688,IF(O688&lt;&gt;"",O688,IF(L688&lt;&gt;"",L688/1.56,IF(M688&lt;&gt;"",M688/1.56,""))))</f>
        <v/>
      </c>
      <c r="U688" s="3" t="n">
        <v>206</v>
      </c>
      <c r="V688" s="3" t="n">
        <v>132</v>
      </c>
      <c r="W688" s="3" t="n"/>
      <c r="X688" s="4" t="n"/>
      <c r="Y688" s="5" t="n">
        <v>0.524</v>
      </c>
      <c r="Z688" s="4">
        <f>IF(L688&lt;&gt;"",SQRT(3)*G688*L688/1000,"")</f>
        <v/>
      </c>
      <c r="AA688" t="inlineStr">
        <is>
          <t>Source=Copeland 2D/3D/4D/4R/6D/8D/9R compressors (pdf) p25; PWS_RLA=20.3</t>
        </is>
      </c>
      <c r="AB688" t="inlineStr">
        <is>
          <t>Copeland_RLA_230_460_3ph_60Hz.xlsx</t>
        </is>
      </c>
      <c r="AC688" t="inlineStr">
        <is>
          <t>Recip_2D-9R</t>
        </is>
      </c>
    </row>
    <row r="689">
      <c r="A689" t="inlineStr">
        <is>
          <t>COPELAND</t>
        </is>
      </c>
      <c r="B689" t="inlineStr">
        <is>
          <t>4DK3A250E-TSK</t>
        </is>
      </c>
      <c r="D689" t="inlineStr">
        <is>
          <t>Reciprocating Semi-hermetic</t>
        </is>
      </c>
      <c r="E689" s="2" t="n">
        <v>3</v>
      </c>
      <c r="F689" s="2" t="n">
        <v>60</v>
      </c>
      <c r="G689" s="2" t="n">
        <v>230</v>
      </c>
      <c r="H689" t="inlineStr">
        <is>
          <t>208/230</t>
        </is>
      </c>
      <c r="I689" s="2" t="n">
        <v>208</v>
      </c>
      <c r="J689" s="2" t="n">
        <v>230</v>
      </c>
      <c r="L689" s="3" t="n"/>
      <c r="M689" s="3" t="n"/>
      <c r="N689" s="3" t="n">
        <v>82.09999999999999</v>
      </c>
      <c r="O689" s="3" t="n"/>
      <c r="P689" s="3">
        <f>IF(L689&lt;&gt;"",L689/1.4,"")</f>
        <v/>
      </c>
      <c r="Q689" s="3">
        <f>IF(L689&lt;&gt;"",L689/1.56,"")</f>
        <v/>
      </c>
      <c r="R689" s="3">
        <f>IF(M689&lt;&gt;"",M689/1.4,"")</f>
        <v/>
      </c>
      <c r="S689" s="3">
        <f>IF(M689&lt;&gt;"",M689/1.56,"")</f>
        <v/>
      </c>
      <c r="T689" s="3">
        <f>IF(N689&lt;&gt;"",N689,IF(O689&lt;&gt;"",O689,IF(L689&lt;&gt;"",L689/1.56,IF(M689&lt;&gt;"",M689/1.56,""))))</f>
        <v/>
      </c>
      <c r="U689" s="3" t="n">
        <v>428</v>
      </c>
      <c r="V689" s="3" t="n">
        <v>250</v>
      </c>
      <c r="W689" s="3" t="n"/>
      <c r="X689" s="4" t="n"/>
      <c r="Y689" s="5" t="n">
        <v>0.132</v>
      </c>
      <c r="Z689" s="4">
        <f>IF(L689&lt;&gt;"",SQRT(3)*G689*L689/1000,"")</f>
        <v/>
      </c>
      <c r="AA689" t="inlineStr">
        <is>
          <t>Source=Copeland 2D/3D/4D/4R/6D/8D/9R compressors (pdf) p25; PWS_RLA=41.1</t>
        </is>
      </c>
      <c r="AB689" t="inlineStr">
        <is>
          <t>Copeland_RLA_230_460_3ph_60Hz.xlsx</t>
        </is>
      </c>
      <c r="AC689" t="inlineStr">
        <is>
          <t>Recip_2D-9R</t>
        </is>
      </c>
    </row>
    <row r="690">
      <c r="A690" t="inlineStr">
        <is>
          <t>COPELAND</t>
        </is>
      </c>
      <c r="B690" t="inlineStr">
        <is>
          <t>4DK3A250E-TSK</t>
        </is>
      </c>
      <c r="D690" t="inlineStr">
        <is>
          <t>Reciprocating Semi-hermetic</t>
        </is>
      </c>
      <c r="E690" s="2" t="n">
        <v>3</v>
      </c>
      <c r="F690" s="2" t="n">
        <v>60</v>
      </c>
      <c r="G690" s="2" t="n">
        <v>460</v>
      </c>
      <c r="H690" t="inlineStr">
        <is>
          <t>460</t>
        </is>
      </c>
      <c r="I690" s="2" t="n">
        <v>460</v>
      </c>
      <c r="J690" s="2" t="n">
        <v>460</v>
      </c>
      <c r="L690" s="3" t="n"/>
      <c r="M690" s="3" t="n"/>
      <c r="N690" s="3" t="n">
        <v>52.9</v>
      </c>
      <c r="O690" s="3" t="n"/>
      <c r="P690" s="3">
        <f>IF(L690&lt;&gt;"",L690/1.4,"")</f>
        <v/>
      </c>
      <c r="Q690" s="3">
        <f>IF(L690&lt;&gt;"",L690/1.56,"")</f>
        <v/>
      </c>
      <c r="R690" s="3">
        <f>IF(M690&lt;&gt;"",M690/1.4,"")</f>
        <v/>
      </c>
      <c r="S690" s="3">
        <f>IF(M690&lt;&gt;"",M690/1.56,"")</f>
        <v/>
      </c>
      <c r="T690" s="3">
        <f>IF(N690&lt;&gt;"",N690,IF(O690&lt;&gt;"",O690,IF(L690&lt;&gt;"",L690/1.56,IF(M690&lt;&gt;"",M690/1.56,""))))</f>
        <v/>
      </c>
      <c r="U690" s="3" t="n">
        <v>214</v>
      </c>
      <c r="V690" s="3" t="n"/>
      <c r="W690" s="3" t="n"/>
      <c r="X690" s="4" t="n"/>
      <c r="Y690" s="5" t="n">
        <v>0.528</v>
      </c>
      <c r="Z690" s="4">
        <f>IF(L690&lt;&gt;"",SQRT(3)*G690*L690/1000,"")</f>
        <v/>
      </c>
      <c r="AA690" t="inlineStr">
        <is>
          <t>Source=Copeland 2D/3D/4D/4R/6D/8D/9R compressors (pdf) p25</t>
        </is>
      </c>
      <c r="AB690" t="inlineStr">
        <is>
          <t>Copeland_RLA_230_460_3ph_60Hz.xlsx</t>
        </is>
      </c>
      <c r="AC690" t="inlineStr">
        <is>
          <t>Recip_2D-9R</t>
        </is>
      </c>
    </row>
    <row r="691">
      <c r="A691" t="inlineStr">
        <is>
          <t>COPELAND</t>
        </is>
      </c>
      <c r="B691" t="inlineStr">
        <is>
          <t>4DK3A250L-FSD</t>
        </is>
      </c>
      <c r="D691" t="inlineStr">
        <is>
          <t>Reciprocating Semi-hermetic</t>
        </is>
      </c>
      <c r="E691" s="2" t="n">
        <v>3</v>
      </c>
      <c r="F691" s="2" t="n">
        <v>60</v>
      </c>
      <c r="G691" s="2" t="n">
        <v>460</v>
      </c>
      <c r="H691" t="inlineStr">
        <is>
          <t>460</t>
        </is>
      </c>
      <c r="I691" s="2" t="n">
        <v>460</v>
      </c>
      <c r="J691" s="2" t="n">
        <v>460</v>
      </c>
      <c r="L691" s="3" t="n"/>
      <c r="M691" s="3" t="n"/>
      <c r="N691" s="3" t="n">
        <v>40.6</v>
      </c>
      <c r="O691" s="3" t="n"/>
      <c r="P691" s="3">
        <f>IF(L691&lt;&gt;"",L691/1.4,"")</f>
        <v/>
      </c>
      <c r="Q691" s="3">
        <f>IF(L691&lt;&gt;"",L691/1.56,"")</f>
        <v/>
      </c>
      <c r="R691" s="3">
        <f>IF(M691&lt;&gt;"",M691/1.4,"")</f>
        <v/>
      </c>
      <c r="S691" s="3">
        <f>IF(M691&lt;&gt;"",M691/1.56,"")</f>
        <v/>
      </c>
      <c r="T691" s="3">
        <f>IF(N691&lt;&gt;"",N691,IF(O691&lt;&gt;"",O691,IF(L691&lt;&gt;"",L691/1.56,IF(M691&lt;&gt;"",M691/1.56,""))))</f>
        <v/>
      </c>
      <c r="U691" s="3" t="n">
        <v>206</v>
      </c>
      <c r="V691" s="3" t="n">
        <v>132</v>
      </c>
      <c r="W691" s="3" t="n"/>
      <c r="X691" s="4" t="n"/>
      <c r="Y691" s="5" t="n">
        <v>0.524</v>
      </c>
      <c r="Z691" s="4">
        <f>IF(L691&lt;&gt;"",SQRT(3)*G691*L691/1000,"")</f>
        <v/>
      </c>
      <c r="AA691" t="inlineStr">
        <is>
          <t>Source=Copeland 2D/3D/4D/4R/6D/8D/9R compressors (pdf) p26; PWS_RLA=20.3</t>
        </is>
      </c>
      <c r="AB691" t="inlineStr">
        <is>
          <t>Copeland_RLA_230_460_3ph_60Hz.xlsx</t>
        </is>
      </c>
      <c r="AC691" t="inlineStr">
        <is>
          <t>Recip_2D-9R</t>
        </is>
      </c>
    </row>
    <row r="692">
      <c r="A692" t="inlineStr">
        <is>
          <t>COPELAND</t>
        </is>
      </c>
      <c r="B692" t="inlineStr">
        <is>
          <t>4DK3A250L-TSK</t>
        </is>
      </c>
      <c r="D692" t="inlineStr">
        <is>
          <t>Reciprocating Semi-hermetic</t>
        </is>
      </c>
      <c r="E692" s="2" t="n">
        <v>3</v>
      </c>
      <c r="F692" s="2" t="n">
        <v>60</v>
      </c>
      <c r="G692" s="2" t="n">
        <v>230</v>
      </c>
      <c r="H692" t="inlineStr">
        <is>
          <t>208/230</t>
        </is>
      </c>
      <c r="I692" s="2" t="n">
        <v>208</v>
      </c>
      <c r="J692" s="2" t="n">
        <v>230</v>
      </c>
      <c r="L692" s="3" t="n"/>
      <c r="M692" s="3" t="n"/>
      <c r="N692" s="3" t="n">
        <v>82.09999999999999</v>
      </c>
      <c r="O692" s="3" t="n"/>
      <c r="P692" s="3">
        <f>IF(L692&lt;&gt;"",L692/1.4,"")</f>
        <v/>
      </c>
      <c r="Q692" s="3">
        <f>IF(L692&lt;&gt;"",L692/1.56,"")</f>
        <v/>
      </c>
      <c r="R692" s="3">
        <f>IF(M692&lt;&gt;"",M692/1.4,"")</f>
        <v/>
      </c>
      <c r="S692" s="3">
        <f>IF(M692&lt;&gt;"",M692/1.56,"")</f>
        <v/>
      </c>
      <c r="T692" s="3">
        <f>IF(N692&lt;&gt;"",N692,IF(O692&lt;&gt;"",O692,IF(L692&lt;&gt;"",L692/1.56,IF(M692&lt;&gt;"",M692/1.56,""))))</f>
        <v/>
      </c>
      <c r="U692" s="3" t="n">
        <v>428</v>
      </c>
      <c r="V692" s="3" t="n">
        <v>250</v>
      </c>
      <c r="W692" s="3" t="n"/>
      <c r="X692" s="4" t="n"/>
      <c r="Y692" s="5" t="n">
        <v>0.132</v>
      </c>
      <c r="Z692" s="4">
        <f>IF(L692&lt;&gt;"",SQRT(3)*G692*L692/1000,"")</f>
        <v/>
      </c>
      <c r="AA692" t="inlineStr">
        <is>
          <t>Source=Copeland 2D/3D/4D/4R/6D/8D/9R compressors (pdf) p26; PWS_RLA=41.1</t>
        </is>
      </c>
      <c r="AB692" t="inlineStr">
        <is>
          <t>Copeland_RLA_230_460_3ph_60Hz.xlsx</t>
        </is>
      </c>
      <c r="AC692" t="inlineStr">
        <is>
          <t>Recip_2D-9R</t>
        </is>
      </c>
    </row>
    <row r="693">
      <c r="A693" t="inlineStr">
        <is>
          <t>COPELAND</t>
        </is>
      </c>
      <c r="B693" t="inlineStr">
        <is>
          <t>4DK3A250L-TSK</t>
        </is>
      </c>
      <c r="D693" t="inlineStr">
        <is>
          <t>Reciprocating Semi-hermetic</t>
        </is>
      </c>
      <c r="E693" s="2" t="n">
        <v>3</v>
      </c>
      <c r="F693" s="2" t="n">
        <v>60</v>
      </c>
      <c r="G693" s="2" t="n">
        <v>460</v>
      </c>
      <c r="H693" t="inlineStr">
        <is>
          <t>460</t>
        </is>
      </c>
      <c r="I693" s="2" t="n">
        <v>460</v>
      </c>
      <c r="J693" s="2" t="n">
        <v>460</v>
      </c>
      <c r="L693" s="3" t="n"/>
      <c r="M693" s="3" t="n"/>
      <c r="N693" s="3" t="n">
        <v>52.9</v>
      </c>
      <c r="O693" s="3" t="n"/>
      <c r="P693" s="3">
        <f>IF(L693&lt;&gt;"",L693/1.4,"")</f>
        <v/>
      </c>
      <c r="Q693" s="3">
        <f>IF(L693&lt;&gt;"",L693/1.56,"")</f>
        <v/>
      </c>
      <c r="R693" s="3">
        <f>IF(M693&lt;&gt;"",M693/1.4,"")</f>
        <v/>
      </c>
      <c r="S693" s="3">
        <f>IF(M693&lt;&gt;"",M693/1.56,"")</f>
        <v/>
      </c>
      <c r="T693" s="3">
        <f>IF(N693&lt;&gt;"",N693,IF(O693&lt;&gt;"",O693,IF(L693&lt;&gt;"",L693/1.56,IF(M693&lt;&gt;"",M693/1.56,""))))</f>
        <v/>
      </c>
      <c r="U693" s="3" t="n">
        <v>214</v>
      </c>
      <c r="V693" s="3" t="n"/>
      <c r="W693" s="3" t="n"/>
      <c r="X693" s="4" t="n"/>
      <c r="Y693" s="5" t="n">
        <v>0.528</v>
      </c>
      <c r="Z693" s="4">
        <f>IF(L693&lt;&gt;"",SQRT(3)*G693*L693/1000,"")</f>
        <v/>
      </c>
      <c r="AA693" t="inlineStr">
        <is>
          <t>Source=Copeland 2D/3D/4D/4R/6D/8D/9R compressors (pdf) p26</t>
        </is>
      </c>
      <c r="AB693" t="inlineStr">
        <is>
          <t>Copeland_RLA_230_460_3ph_60Hz.xlsx</t>
        </is>
      </c>
      <c r="AC693" t="inlineStr">
        <is>
          <t>Recip_2D-9R</t>
        </is>
      </c>
    </row>
    <row r="694">
      <c r="A694" t="inlineStr">
        <is>
          <t>COPELAND</t>
        </is>
      </c>
      <c r="B694" t="inlineStr">
        <is>
          <t>4DK3F63KE-FSD</t>
        </is>
      </c>
      <c r="D694" t="inlineStr">
        <is>
          <t>Reciprocating Semi-hermetic</t>
        </is>
      </c>
      <c r="E694" s="2" t="n">
        <v>3</v>
      </c>
      <c r="F694" s="2" t="n">
        <v>60</v>
      </c>
      <c r="G694" s="2" t="n">
        <v>460</v>
      </c>
      <c r="H694" t="inlineStr">
        <is>
          <t>460</t>
        </is>
      </c>
      <c r="I694" s="2" t="n">
        <v>460</v>
      </c>
      <c r="J694" s="2" t="n">
        <v>460</v>
      </c>
      <c r="L694" s="3" t="n"/>
      <c r="M694" s="3" t="n"/>
      <c r="N694" s="3" t="n">
        <v>24.5</v>
      </c>
      <c r="O694" s="3" t="n"/>
      <c r="P694" s="3">
        <f>IF(L694&lt;&gt;"",L694/1.4,"")</f>
        <v/>
      </c>
      <c r="Q694" s="3">
        <f>IF(L694&lt;&gt;"",L694/1.56,"")</f>
        <v/>
      </c>
      <c r="R694" s="3">
        <f>IF(M694&lt;&gt;"",M694/1.4,"")</f>
        <v/>
      </c>
      <c r="S694" s="3">
        <f>IF(M694&lt;&gt;"",M694/1.56,"")</f>
        <v/>
      </c>
      <c r="T694" s="3">
        <f>IF(N694&lt;&gt;"",N694,IF(O694&lt;&gt;"",O694,IF(L694&lt;&gt;"",L694/1.56,IF(M694&lt;&gt;"",M694/1.56,""))))</f>
        <v/>
      </c>
      <c r="U694" s="3" t="n">
        <v>136</v>
      </c>
      <c r="V694" s="3" t="n">
        <v>81.59999999999999</v>
      </c>
      <c r="W694" s="3" t="n"/>
      <c r="X694" s="4" t="n"/>
      <c r="Y694" s="5" t="n">
        <v>0.84</v>
      </c>
      <c r="Z694" s="4">
        <f>IF(L694&lt;&gt;"",SQRT(3)*G694*L694/1000,"")</f>
        <v/>
      </c>
      <c r="AA694" t="inlineStr">
        <is>
          <t>Source=Copeland 2D/3D/4D/4R/6D/8D/9R compressors (pdf) p26; PWS_RLA=12.3</t>
        </is>
      </c>
      <c r="AB694" t="inlineStr">
        <is>
          <t>Copeland_RLA_230_460_3ph_60Hz.xlsx</t>
        </is>
      </c>
      <c r="AC694" t="inlineStr">
        <is>
          <t>Recip_2D-9R</t>
        </is>
      </c>
    </row>
    <row r="695">
      <c r="A695" t="inlineStr">
        <is>
          <t>COPELAND</t>
        </is>
      </c>
      <c r="B695" t="inlineStr">
        <is>
          <t>4DK3F63KE-TSK</t>
        </is>
      </c>
      <c r="D695" t="inlineStr">
        <is>
          <t>Reciprocating Semi-hermetic</t>
        </is>
      </c>
      <c r="E695" s="2" t="n">
        <v>3</v>
      </c>
      <c r="F695" s="2" t="n">
        <v>60</v>
      </c>
      <c r="G695" s="2" t="n">
        <v>230</v>
      </c>
      <c r="H695" t="inlineStr">
        <is>
          <t>208/230</t>
        </is>
      </c>
      <c r="I695" s="2" t="n">
        <v>208</v>
      </c>
      <c r="J695" s="2" t="n">
        <v>230</v>
      </c>
      <c r="L695" s="3" t="n"/>
      <c r="M695" s="3" t="n"/>
      <c r="N695" s="3" t="n">
        <v>52.6</v>
      </c>
      <c r="O695" s="3" t="n"/>
      <c r="P695" s="3">
        <f>IF(L695&lt;&gt;"",L695/1.4,"")</f>
        <v/>
      </c>
      <c r="Q695" s="3">
        <f>IF(L695&lt;&gt;"",L695/1.56,"")</f>
        <v/>
      </c>
      <c r="R695" s="3">
        <f>IF(M695&lt;&gt;"",M695/1.4,"")</f>
        <v/>
      </c>
      <c r="S695" s="3">
        <f>IF(M695&lt;&gt;"",M695/1.56,"")</f>
        <v/>
      </c>
      <c r="T695" s="3">
        <f>IF(N695&lt;&gt;"",N695,IF(O695&lt;&gt;"",O695,IF(L695&lt;&gt;"",L695/1.56,IF(M695&lt;&gt;"",M695/1.56,""))))</f>
        <v/>
      </c>
      <c r="U695" s="3" t="n">
        <v>278</v>
      </c>
      <c r="V695" s="3" t="n">
        <v>170</v>
      </c>
      <c r="W695" s="3" t="n"/>
      <c r="X695" s="4" t="n"/>
      <c r="Y695" s="5" t="n">
        <v>0.208</v>
      </c>
      <c r="Z695" s="4">
        <f>IF(L695&lt;&gt;"",SQRT(3)*G695*L695/1000,"")</f>
        <v/>
      </c>
      <c r="AA695" t="inlineStr">
        <is>
          <t>Source=Copeland 2D/3D/4D/4R/6D/8D/9R compressors (pdf) p26; PWS_RLA=26.3</t>
        </is>
      </c>
      <c r="AB695" t="inlineStr">
        <is>
          <t>Copeland_RLA_230_460_3ph_60Hz.xlsx</t>
        </is>
      </c>
      <c r="AC695" t="inlineStr">
        <is>
          <t>Recip_2D-9R</t>
        </is>
      </c>
    </row>
    <row r="696">
      <c r="A696" t="inlineStr">
        <is>
          <t>COPELAND</t>
        </is>
      </c>
      <c r="B696" t="inlineStr">
        <is>
          <t>4DK3F63KE-TSK</t>
        </is>
      </c>
      <c r="D696" t="inlineStr">
        <is>
          <t>Reciprocating Semi-hermetic</t>
        </is>
      </c>
      <c r="E696" s="2" t="n">
        <v>3</v>
      </c>
      <c r="F696" s="2" t="n">
        <v>60</v>
      </c>
      <c r="G696" s="2" t="n">
        <v>460</v>
      </c>
      <c r="H696" t="inlineStr">
        <is>
          <t>460</t>
        </is>
      </c>
      <c r="I696" s="2" t="n">
        <v>460</v>
      </c>
      <c r="J696" s="2" t="n">
        <v>460</v>
      </c>
      <c r="L696" s="3" t="n"/>
      <c r="M696" s="3" t="n"/>
      <c r="N696" s="3" t="n">
        <v>26.3</v>
      </c>
      <c r="O696" s="3" t="n"/>
      <c r="P696" s="3">
        <f>IF(L696&lt;&gt;"",L696/1.4,"")</f>
        <v/>
      </c>
      <c r="Q696" s="3">
        <f>IF(L696&lt;&gt;"",L696/1.56,"")</f>
        <v/>
      </c>
      <c r="R696" s="3">
        <f>IF(M696&lt;&gt;"",M696/1.4,"")</f>
        <v/>
      </c>
      <c r="S696" s="3">
        <f>IF(M696&lt;&gt;"",M696/1.56,"")</f>
        <v/>
      </c>
      <c r="T696" s="3">
        <f>IF(N696&lt;&gt;"",N696,IF(O696&lt;&gt;"",O696,IF(L696&lt;&gt;"",L696/1.56,IF(M696&lt;&gt;"",M696/1.56,""))))</f>
        <v/>
      </c>
      <c r="U696" s="3" t="n">
        <v>139</v>
      </c>
      <c r="V696" s="3" t="n"/>
      <c r="W696" s="3" t="n"/>
      <c r="X696" s="4" t="n"/>
      <c r="Y696" s="5" t="n">
        <v>0.832</v>
      </c>
      <c r="Z696" s="4">
        <f>IF(L696&lt;&gt;"",SQRT(3)*G696*L696/1000,"")</f>
        <v/>
      </c>
      <c r="AA696" t="inlineStr">
        <is>
          <t>Source=Copeland 2D/3D/4D/4R/6D/8D/9R compressors (pdf) p26</t>
        </is>
      </c>
      <c r="AB696" t="inlineStr">
        <is>
          <t>Copeland_RLA_230_460_3ph_60Hz.xlsx</t>
        </is>
      </c>
      <c r="AC696" t="inlineStr">
        <is>
          <t>Recip_2D-9R</t>
        </is>
      </c>
    </row>
    <row r="697">
      <c r="A697" t="inlineStr">
        <is>
          <t>COPELAND</t>
        </is>
      </c>
      <c r="B697" t="inlineStr">
        <is>
          <t>4DK3F63KL-FSD</t>
        </is>
      </c>
      <c r="D697" t="inlineStr">
        <is>
          <t>Reciprocating Semi-hermetic</t>
        </is>
      </c>
      <c r="E697" s="2" t="n">
        <v>3</v>
      </c>
      <c r="F697" s="2" t="n">
        <v>60</v>
      </c>
      <c r="G697" s="2" t="n">
        <v>460</v>
      </c>
      <c r="H697" t="inlineStr">
        <is>
          <t>460</t>
        </is>
      </c>
      <c r="I697" s="2" t="n">
        <v>460</v>
      </c>
      <c r="J697" s="2" t="n">
        <v>460</v>
      </c>
      <c r="L697" s="3" t="n"/>
      <c r="M697" s="3" t="n"/>
      <c r="N697" s="3" t="n">
        <v>24.5</v>
      </c>
      <c r="O697" s="3" t="n"/>
      <c r="P697" s="3">
        <f>IF(L697&lt;&gt;"",L697/1.4,"")</f>
        <v/>
      </c>
      <c r="Q697" s="3">
        <f>IF(L697&lt;&gt;"",L697/1.56,"")</f>
        <v/>
      </c>
      <c r="R697" s="3">
        <f>IF(M697&lt;&gt;"",M697/1.4,"")</f>
        <v/>
      </c>
      <c r="S697" s="3">
        <f>IF(M697&lt;&gt;"",M697/1.56,"")</f>
        <v/>
      </c>
      <c r="T697" s="3">
        <f>IF(N697&lt;&gt;"",N697,IF(O697&lt;&gt;"",O697,IF(L697&lt;&gt;"",L697/1.56,IF(M697&lt;&gt;"",M697/1.56,""))))</f>
        <v/>
      </c>
      <c r="U697" s="3" t="n">
        <v>136</v>
      </c>
      <c r="V697" s="3" t="n">
        <v>81.59999999999999</v>
      </c>
      <c r="W697" s="3" t="n"/>
      <c r="X697" s="4" t="n"/>
      <c r="Y697" s="5" t="n">
        <v>0.84</v>
      </c>
      <c r="Z697" s="4">
        <f>IF(L697&lt;&gt;"",SQRT(3)*G697*L697/1000,"")</f>
        <v/>
      </c>
      <c r="AA697" t="inlineStr">
        <is>
          <t>Source=Copeland 2D/3D/4D/4R/6D/8D/9R compressors (pdf) p26; PWS_RLA=12.3</t>
        </is>
      </c>
      <c r="AB697" t="inlineStr">
        <is>
          <t>Copeland_RLA_230_460_3ph_60Hz.xlsx</t>
        </is>
      </c>
      <c r="AC697" t="inlineStr">
        <is>
          <t>Recip_2D-9R</t>
        </is>
      </c>
    </row>
    <row r="698">
      <c r="A698" t="inlineStr">
        <is>
          <t>COPELAND</t>
        </is>
      </c>
      <c r="B698" t="inlineStr">
        <is>
          <t>4DK3F63KL-TSK</t>
        </is>
      </c>
      <c r="D698" t="inlineStr">
        <is>
          <t>Reciprocating Semi-hermetic</t>
        </is>
      </c>
      <c r="E698" s="2" t="n">
        <v>3</v>
      </c>
      <c r="F698" s="2" t="n">
        <v>60</v>
      </c>
      <c r="G698" s="2" t="n">
        <v>230</v>
      </c>
      <c r="H698" t="inlineStr">
        <is>
          <t>208/230</t>
        </is>
      </c>
      <c r="I698" s="2" t="n">
        <v>208</v>
      </c>
      <c r="J698" s="2" t="n">
        <v>230</v>
      </c>
      <c r="L698" s="3" t="n"/>
      <c r="M698" s="3" t="n"/>
      <c r="N698" s="3" t="n">
        <v>52.6</v>
      </c>
      <c r="O698" s="3" t="n"/>
      <c r="P698" s="3">
        <f>IF(L698&lt;&gt;"",L698/1.4,"")</f>
        <v/>
      </c>
      <c r="Q698" s="3">
        <f>IF(L698&lt;&gt;"",L698/1.56,"")</f>
        <v/>
      </c>
      <c r="R698" s="3">
        <f>IF(M698&lt;&gt;"",M698/1.4,"")</f>
        <v/>
      </c>
      <c r="S698" s="3">
        <f>IF(M698&lt;&gt;"",M698/1.56,"")</f>
        <v/>
      </c>
      <c r="T698" s="3">
        <f>IF(N698&lt;&gt;"",N698,IF(O698&lt;&gt;"",O698,IF(L698&lt;&gt;"",L698/1.56,IF(M698&lt;&gt;"",M698/1.56,""))))</f>
        <v/>
      </c>
      <c r="U698" s="3" t="n">
        <v>278</v>
      </c>
      <c r="V698" s="3" t="n">
        <v>170</v>
      </c>
      <c r="W698" s="3" t="n"/>
      <c r="X698" s="4" t="n"/>
      <c r="Y698" s="5" t="n">
        <v>0.208</v>
      </c>
      <c r="Z698" s="4">
        <f>IF(L698&lt;&gt;"",SQRT(3)*G698*L698/1000,"")</f>
        <v/>
      </c>
      <c r="AA698" t="inlineStr">
        <is>
          <t>Source=Copeland 2D/3D/4D/4R/6D/8D/9R compressors (pdf) p26; PWS_RLA=26.3</t>
        </is>
      </c>
      <c r="AB698" t="inlineStr">
        <is>
          <t>Copeland_RLA_230_460_3ph_60Hz.xlsx</t>
        </is>
      </c>
      <c r="AC698" t="inlineStr">
        <is>
          <t>Recip_2D-9R</t>
        </is>
      </c>
    </row>
    <row r="699">
      <c r="A699" t="inlineStr">
        <is>
          <t>COPELAND</t>
        </is>
      </c>
      <c r="B699" t="inlineStr">
        <is>
          <t>4DK3F63KL-TSK</t>
        </is>
      </c>
      <c r="D699" t="inlineStr">
        <is>
          <t>Reciprocating Semi-hermetic</t>
        </is>
      </c>
      <c r="E699" s="2" t="n">
        <v>3</v>
      </c>
      <c r="F699" s="2" t="n">
        <v>60</v>
      </c>
      <c r="G699" s="2" t="n">
        <v>460</v>
      </c>
      <c r="H699" t="inlineStr">
        <is>
          <t>460</t>
        </is>
      </c>
      <c r="I699" s="2" t="n">
        <v>460</v>
      </c>
      <c r="J699" s="2" t="n">
        <v>460</v>
      </c>
      <c r="L699" s="3" t="n"/>
      <c r="M699" s="3" t="n"/>
      <c r="N699" s="3" t="n">
        <v>26.3</v>
      </c>
      <c r="O699" s="3" t="n"/>
      <c r="P699" s="3">
        <f>IF(L699&lt;&gt;"",L699/1.4,"")</f>
        <v/>
      </c>
      <c r="Q699" s="3">
        <f>IF(L699&lt;&gt;"",L699/1.56,"")</f>
        <v/>
      </c>
      <c r="R699" s="3">
        <f>IF(M699&lt;&gt;"",M699/1.4,"")</f>
        <v/>
      </c>
      <c r="S699" s="3">
        <f>IF(M699&lt;&gt;"",M699/1.56,"")</f>
        <v/>
      </c>
      <c r="T699" s="3">
        <f>IF(N699&lt;&gt;"",N699,IF(O699&lt;&gt;"",O699,IF(L699&lt;&gt;"",L699/1.56,IF(M699&lt;&gt;"",M699/1.56,""))))</f>
        <v/>
      </c>
      <c r="U699" s="3" t="n">
        <v>139</v>
      </c>
      <c r="V699" s="3" t="n"/>
      <c r="W699" s="3" t="n"/>
      <c r="X699" s="4" t="n"/>
      <c r="Y699" s="5" t="n">
        <v>0.832</v>
      </c>
      <c r="Z699" s="4">
        <f>IF(L699&lt;&gt;"",SQRT(3)*G699*L699/1000,"")</f>
        <v/>
      </c>
      <c r="AA699" t="inlineStr">
        <is>
          <t>Source=Copeland 2D/3D/4D/4R/6D/8D/9R compressors (pdf) p26</t>
        </is>
      </c>
      <c r="AB699" t="inlineStr">
        <is>
          <t>Copeland_RLA_230_460_3ph_60Hz.xlsx</t>
        </is>
      </c>
      <c r="AC699" t="inlineStr">
        <is>
          <t>Recip_2D-9R</t>
        </is>
      </c>
    </row>
    <row r="700">
      <c r="A700" t="inlineStr">
        <is>
          <t>COPELAND</t>
        </is>
      </c>
      <c r="B700" t="inlineStr">
        <is>
          <t>4DK3R16ME-TSK</t>
        </is>
      </c>
      <c r="D700" t="inlineStr">
        <is>
          <t>Reciprocating Semi-hermetic</t>
        </is>
      </c>
      <c r="E700" s="2" t="n">
        <v>3</v>
      </c>
      <c r="F700" s="2" t="n">
        <v>60</v>
      </c>
      <c r="G700" s="2" t="n">
        <v>230</v>
      </c>
      <c r="H700" t="inlineStr">
        <is>
          <t>208/230</t>
        </is>
      </c>
      <c r="I700" s="2" t="n">
        <v>208</v>
      </c>
      <c r="J700" s="2" t="n">
        <v>230</v>
      </c>
      <c r="L700" s="3" t="n"/>
      <c r="M700" s="3" t="n"/>
      <c r="N700" s="3" t="n">
        <v>57.9</v>
      </c>
      <c r="O700" s="3" t="n"/>
      <c r="P700" s="3">
        <f>IF(L700&lt;&gt;"",L700/1.4,"")</f>
        <v/>
      </c>
      <c r="Q700" s="3">
        <f>IF(L700&lt;&gt;"",L700/1.56,"")</f>
        <v/>
      </c>
      <c r="R700" s="3">
        <f>IF(M700&lt;&gt;"",M700/1.4,"")</f>
        <v/>
      </c>
      <c r="S700" s="3">
        <f>IF(M700&lt;&gt;"",M700/1.56,"")</f>
        <v/>
      </c>
      <c r="T700" s="3">
        <f>IF(N700&lt;&gt;"",N700,IF(O700&lt;&gt;"",O700,IF(L700&lt;&gt;"",L700/1.56,IF(M700&lt;&gt;"",M700/1.56,""))))</f>
        <v/>
      </c>
      <c r="U700" s="3" t="n">
        <v>278</v>
      </c>
      <c r="V700" s="3" t="n">
        <v>170</v>
      </c>
      <c r="W700" s="3" t="n"/>
      <c r="X700" s="4" t="n"/>
      <c r="Y700" s="5" t="n">
        <v>0.208</v>
      </c>
      <c r="Z700" s="4">
        <f>IF(L700&lt;&gt;"",SQRT(3)*G700*L700/1000,"")</f>
        <v/>
      </c>
      <c r="AA700" t="inlineStr">
        <is>
          <t>Source=Copeland 2D/3D/4D/4R/6D/8D/9R compressors (pdf) p26; PWS_RLA=29.0</t>
        </is>
      </c>
      <c r="AB700" t="inlineStr">
        <is>
          <t>Copeland_RLA_230_460_3ph_60Hz.xlsx</t>
        </is>
      </c>
      <c r="AC700" t="inlineStr">
        <is>
          <t>Recip_2D-9R</t>
        </is>
      </c>
    </row>
    <row r="701">
      <c r="A701" t="inlineStr">
        <is>
          <t>COPELAND</t>
        </is>
      </c>
      <c r="B701" t="inlineStr">
        <is>
          <t>4DK3R16ME-TSK</t>
        </is>
      </c>
      <c r="D701" t="inlineStr">
        <is>
          <t>Reciprocating Semi-hermetic</t>
        </is>
      </c>
      <c r="E701" s="2" t="n">
        <v>3</v>
      </c>
      <c r="F701" s="2" t="n">
        <v>60</v>
      </c>
      <c r="G701" s="2" t="n">
        <v>460</v>
      </c>
      <c r="H701" t="inlineStr">
        <is>
          <t>460</t>
        </is>
      </c>
      <c r="I701" s="2" t="n">
        <v>460</v>
      </c>
      <c r="J701" s="2" t="n">
        <v>460</v>
      </c>
      <c r="L701" s="3" t="n"/>
      <c r="M701" s="3" t="n"/>
      <c r="N701" s="3" t="n">
        <v>28.9</v>
      </c>
      <c r="O701" s="3" t="n"/>
      <c r="P701" s="3">
        <f>IF(L701&lt;&gt;"",L701/1.4,"")</f>
        <v/>
      </c>
      <c r="Q701" s="3">
        <f>IF(L701&lt;&gt;"",L701/1.56,"")</f>
        <v/>
      </c>
      <c r="R701" s="3">
        <f>IF(M701&lt;&gt;"",M701/1.4,"")</f>
        <v/>
      </c>
      <c r="S701" s="3">
        <f>IF(M701&lt;&gt;"",M701/1.56,"")</f>
        <v/>
      </c>
      <c r="T701" s="3">
        <f>IF(N701&lt;&gt;"",N701,IF(O701&lt;&gt;"",O701,IF(L701&lt;&gt;"",L701/1.56,IF(M701&lt;&gt;"",M701/1.56,""))))</f>
        <v/>
      </c>
      <c r="U701" s="3" t="n">
        <v>139</v>
      </c>
      <c r="V701" s="3" t="n"/>
      <c r="W701" s="3" t="n"/>
      <c r="X701" s="4" t="n"/>
      <c r="Y701" s="5" t="n">
        <v>0.832</v>
      </c>
      <c r="Z701" s="4">
        <f>IF(L701&lt;&gt;"",SQRT(3)*G701*L701/1000,"")</f>
        <v/>
      </c>
      <c r="AA701" t="inlineStr">
        <is>
          <t>Source=Copeland 2D/3D/4D/4R/6D/8D/9R compressors (pdf) p26</t>
        </is>
      </c>
      <c r="AB701" t="inlineStr">
        <is>
          <t>Copeland_RLA_230_460_3ph_60Hz.xlsx</t>
        </is>
      </c>
      <c r="AC701" t="inlineStr">
        <is>
          <t>Recip_2D-9R</t>
        </is>
      </c>
    </row>
    <row r="702">
      <c r="A702" t="inlineStr">
        <is>
          <t>COPELAND</t>
        </is>
      </c>
      <c r="B702" t="inlineStr">
        <is>
          <t>4DK3R22M0-FSD</t>
        </is>
      </c>
      <c r="D702" t="inlineStr">
        <is>
          <t>Reciprocating Semi-hermetic</t>
        </is>
      </c>
      <c r="E702" s="2" t="n">
        <v>3</v>
      </c>
      <c r="F702" s="2" t="n">
        <v>60</v>
      </c>
      <c r="G702" s="2" t="n">
        <v>460</v>
      </c>
      <c r="H702" t="inlineStr">
        <is>
          <t>460</t>
        </is>
      </c>
      <c r="I702" s="2" t="n">
        <v>460</v>
      </c>
      <c r="J702" s="2" t="n">
        <v>460</v>
      </c>
      <c r="L702" s="3" t="n"/>
      <c r="M702" s="3" t="n"/>
      <c r="N702" s="3" t="n">
        <v>40.6</v>
      </c>
      <c r="O702" s="3" t="n"/>
      <c r="P702" s="3">
        <f>IF(L702&lt;&gt;"",L702/1.4,"")</f>
        <v/>
      </c>
      <c r="Q702" s="3">
        <f>IF(L702&lt;&gt;"",L702/1.56,"")</f>
        <v/>
      </c>
      <c r="R702" s="3">
        <f>IF(M702&lt;&gt;"",M702/1.4,"")</f>
        <v/>
      </c>
      <c r="S702" s="3">
        <f>IF(M702&lt;&gt;"",M702/1.56,"")</f>
        <v/>
      </c>
      <c r="T702" s="3">
        <f>IF(N702&lt;&gt;"",N702,IF(O702&lt;&gt;"",O702,IF(L702&lt;&gt;"",L702/1.56,IF(M702&lt;&gt;"",M702/1.56,""))))</f>
        <v/>
      </c>
      <c r="U702" s="3" t="n">
        <v>206</v>
      </c>
      <c r="V702" s="3" t="n">
        <v>132</v>
      </c>
      <c r="W702" s="3" t="n"/>
      <c r="X702" s="4" t="n"/>
      <c r="Y702" s="5" t="n">
        <v>0.524</v>
      </c>
      <c r="Z702" s="4">
        <f>IF(L702&lt;&gt;"",SQRT(3)*G702*L702/1000,"")</f>
        <v/>
      </c>
      <c r="AA702" t="inlineStr">
        <is>
          <t>Source=Copeland 2D/3D/4D/4R/6D/8D/9R compressors (pdf) p26; PWS_RLA=20.3</t>
        </is>
      </c>
      <c r="AB702" t="inlineStr">
        <is>
          <t>Copeland_RLA_230_460_3ph_60Hz.xlsx</t>
        </is>
      </c>
      <c r="AC702" t="inlineStr">
        <is>
          <t>Recip_2D-9R</t>
        </is>
      </c>
    </row>
    <row r="703">
      <c r="A703" t="inlineStr">
        <is>
          <t>COPELAND</t>
        </is>
      </c>
      <c r="B703" t="inlineStr">
        <is>
          <t>4DK3R22M0-TSK</t>
        </is>
      </c>
      <c r="D703" t="inlineStr">
        <is>
          <t>Reciprocating Semi-hermetic</t>
        </is>
      </c>
      <c r="E703" s="2" t="n">
        <v>3</v>
      </c>
      <c r="F703" s="2" t="n">
        <v>60</v>
      </c>
      <c r="G703" s="2" t="n">
        <v>230</v>
      </c>
      <c r="H703" t="inlineStr">
        <is>
          <t>208/230</t>
        </is>
      </c>
      <c r="I703" s="2" t="n">
        <v>208</v>
      </c>
      <c r="J703" s="2" t="n">
        <v>230</v>
      </c>
      <c r="L703" s="3" t="n"/>
      <c r="M703" s="3" t="n"/>
      <c r="N703" s="3" t="n">
        <v>82.09999999999999</v>
      </c>
      <c r="O703" s="3" t="n"/>
      <c r="P703" s="3">
        <f>IF(L703&lt;&gt;"",L703/1.4,"")</f>
        <v/>
      </c>
      <c r="Q703" s="3">
        <f>IF(L703&lt;&gt;"",L703/1.56,"")</f>
        <v/>
      </c>
      <c r="R703" s="3">
        <f>IF(M703&lt;&gt;"",M703/1.4,"")</f>
        <v/>
      </c>
      <c r="S703" s="3">
        <f>IF(M703&lt;&gt;"",M703/1.56,"")</f>
        <v/>
      </c>
      <c r="T703" s="3">
        <f>IF(N703&lt;&gt;"",N703,IF(O703&lt;&gt;"",O703,IF(L703&lt;&gt;"",L703/1.56,IF(M703&lt;&gt;"",M703/1.56,""))))</f>
        <v/>
      </c>
      <c r="U703" s="3" t="n">
        <v>428</v>
      </c>
      <c r="V703" s="3" t="n">
        <v>250</v>
      </c>
      <c r="W703" s="3" t="n"/>
      <c r="X703" s="4" t="n"/>
      <c r="Y703" s="5" t="n">
        <v>0.132</v>
      </c>
      <c r="Z703" s="4">
        <f>IF(L703&lt;&gt;"",SQRT(3)*G703*L703/1000,"")</f>
        <v/>
      </c>
      <c r="AA703" t="inlineStr">
        <is>
          <t>Source=Copeland 2D/3D/4D/4R/6D/8D/9R compressors (pdf) p26; PWS_RLA=41.1</t>
        </is>
      </c>
      <c r="AB703" t="inlineStr">
        <is>
          <t>Copeland_RLA_230_460_3ph_60Hz.xlsx</t>
        </is>
      </c>
      <c r="AC703" t="inlineStr">
        <is>
          <t>Recip_2D-9R</t>
        </is>
      </c>
    </row>
    <row r="704">
      <c r="A704" t="inlineStr">
        <is>
          <t>COPELAND</t>
        </is>
      </c>
      <c r="B704" t="inlineStr">
        <is>
          <t>4DK3R22M0-TSK</t>
        </is>
      </c>
      <c r="D704" t="inlineStr">
        <is>
          <t>Reciprocating Semi-hermetic</t>
        </is>
      </c>
      <c r="E704" s="2" t="n">
        <v>3</v>
      </c>
      <c r="F704" s="2" t="n">
        <v>60</v>
      </c>
      <c r="G704" s="2" t="n">
        <v>460</v>
      </c>
      <c r="H704" t="inlineStr">
        <is>
          <t>460</t>
        </is>
      </c>
      <c r="I704" s="2" t="n">
        <v>460</v>
      </c>
      <c r="J704" s="2" t="n">
        <v>460</v>
      </c>
      <c r="L704" s="3" t="n"/>
      <c r="M704" s="3" t="n"/>
      <c r="N704" s="3" t="n">
        <v>41.1</v>
      </c>
      <c r="O704" s="3" t="n"/>
      <c r="P704" s="3">
        <f>IF(L704&lt;&gt;"",L704/1.4,"")</f>
        <v/>
      </c>
      <c r="Q704" s="3">
        <f>IF(L704&lt;&gt;"",L704/1.56,"")</f>
        <v/>
      </c>
      <c r="R704" s="3">
        <f>IF(M704&lt;&gt;"",M704/1.4,"")</f>
        <v/>
      </c>
      <c r="S704" s="3">
        <f>IF(M704&lt;&gt;"",M704/1.56,"")</f>
        <v/>
      </c>
      <c r="T704" s="3">
        <f>IF(N704&lt;&gt;"",N704,IF(O704&lt;&gt;"",O704,IF(L704&lt;&gt;"",L704/1.56,IF(M704&lt;&gt;"",M704/1.56,""))))</f>
        <v/>
      </c>
      <c r="U704" s="3" t="n">
        <v>214</v>
      </c>
      <c r="V704" s="3" t="n"/>
      <c r="W704" s="3" t="n"/>
      <c r="X704" s="4" t="n"/>
      <c r="Y704" s="5" t="n">
        <v>0.528</v>
      </c>
      <c r="Z704" s="4">
        <f>IF(L704&lt;&gt;"",SQRT(3)*G704*L704/1000,"")</f>
        <v/>
      </c>
      <c r="AA704" t="inlineStr">
        <is>
          <t>Source=Copeland 2D/3D/4D/4R/6D/8D/9R compressors (pdf) p26</t>
        </is>
      </c>
      <c r="AB704" t="inlineStr">
        <is>
          <t>Copeland_RLA_230_460_3ph_60Hz.xlsx</t>
        </is>
      </c>
      <c r="AC704" t="inlineStr">
        <is>
          <t>Recip_2D-9R</t>
        </is>
      </c>
    </row>
    <row r="705">
      <c r="A705" t="inlineStr">
        <is>
          <t>COPELAND</t>
        </is>
      </c>
      <c r="B705" t="inlineStr">
        <is>
          <t>4DK3R22ME-FSD</t>
        </is>
      </c>
      <c r="D705" t="inlineStr">
        <is>
          <t>Reciprocating Semi-hermetic</t>
        </is>
      </c>
      <c r="E705" s="2" t="n">
        <v>3</v>
      </c>
      <c r="F705" s="2" t="n">
        <v>60</v>
      </c>
      <c r="G705" s="2" t="n">
        <v>460</v>
      </c>
      <c r="H705" t="inlineStr">
        <is>
          <t>460</t>
        </is>
      </c>
      <c r="I705" s="2" t="n">
        <v>460</v>
      </c>
      <c r="J705" s="2" t="n">
        <v>460</v>
      </c>
      <c r="L705" s="3" t="n"/>
      <c r="M705" s="3" t="n"/>
      <c r="N705" s="3" t="n">
        <v>40.6</v>
      </c>
      <c r="O705" s="3" t="n"/>
      <c r="P705" s="3">
        <f>IF(L705&lt;&gt;"",L705/1.4,"")</f>
        <v/>
      </c>
      <c r="Q705" s="3">
        <f>IF(L705&lt;&gt;"",L705/1.56,"")</f>
        <v/>
      </c>
      <c r="R705" s="3">
        <f>IF(M705&lt;&gt;"",M705/1.4,"")</f>
        <v/>
      </c>
      <c r="S705" s="3">
        <f>IF(M705&lt;&gt;"",M705/1.56,"")</f>
        <v/>
      </c>
      <c r="T705" s="3">
        <f>IF(N705&lt;&gt;"",N705,IF(O705&lt;&gt;"",O705,IF(L705&lt;&gt;"",L705/1.56,IF(M705&lt;&gt;"",M705/1.56,""))))</f>
        <v/>
      </c>
      <c r="U705" s="3" t="n">
        <v>206</v>
      </c>
      <c r="V705" s="3" t="n">
        <v>132</v>
      </c>
      <c r="W705" s="3" t="n"/>
      <c r="X705" s="4" t="n"/>
      <c r="Y705" s="5" t="n">
        <v>0.524</v>
      </c>
      <c r="Z705" s="4">
        <f>IF(L705&lt;&gt;"",SQRT(3)*G705*L705/1000,"")</f>
        <v/>
      </c>
      <c r="AA705" t="inlineStr">
        <is>
          <t>Source=Copeland 2D/3D/4D/4R/6D/8D/9R compressors (pdf) p26; PWS_RLA=20.3</t>
        </is>
      </c>
      <c r="AB705" t="inlineStr">
        <is>
          <t>Copeland_RLA_230_460_3ph_60Hz.xlsx</t>
        </is>
      </c>
      <c r="AC705" t="inlineStr">
        <is>
          <t>Recip_2D-9R</t>
        </is>
      </c>
    </row>
    <row r="706">
      <c r="A706" t="inlineStr">
        <is>
          <t>COPELAND</t>
        </is>
      </c>
      <c r="B706" t="inlineStr">
        <is>
          <t>4DK3R22ME-FSD</t>
        </is>
      </c>
      <c r="D706" t="inlineStr">
        <is>
          <t>Reciprocating Semi-hermetic</t>
        </is>
      </c>
      <c r="E706" s="2" t="n">
        <v>3</v>
      </c>
      <c r="F706" s="2" t="n">
        <v>60</v>
      </c>
      <c r="G706" s="2" t="n">
        <v>460</v>
      </c>
      <c r="H706" t="inlineStr">
        <is>
          <t>460</t>
        </is>
      </c>
      <c r="I706" s="2" t="n">
        <v>460</v>
      </c>
      <c r="J706" s="2" t="n">
        <v>460</v>
      </c>
      <c r="L706" s="3" t="n"/>
      <c r="M706" s="3" t="n"/>
      <c r="N706" s="3" t="n">
        <v>51.4</v>
      </c>
      <c r="O706" s="3" t="n"/>
      <c r="P706" s="3">
        <f>IF(L706&lt;&gt;"",L706/1.4,"")</f>
        <v/>
      </c>
      <c r="Q706" s="3">
        <f>IF(L706&lt;&gt;"",L706/1.56,"")</f>
        <v/>
      </c>
      <c r="R706" s="3">
        <f>IF(M706&lt;&gt;"",M706/1.4,"")</f>
        <v/>
      </c>
      <c r="S706" s="3">
        <f>IF(M706&lt;&gt;"",M706/1.56,"")</f>
        <v/>
      </c>
      <c r="T706" s="3">
        <f>IF(N706&lt;&gt;"",N706,IF(O706&lt;&gt;"",O706,IF(L706&lt;&gt;"",L706/1.56,IF(M706&lt;&gt;"",M706/1.56,""))))</f>
        <v/>
      </c>
      <c r="U706" s="3" t="n">
        <v>206</v>
      </c>
      <c r="V706" s="3" t="n">
        <v>132</v>
      </c>
      <c r="W706" s="3" t="n"/>
      <c r="X706" s="4" t="n"/>
      <c r="Y706" s="5" t="n">
        <v>0.524</v>
      </c>
      <c r="Z706" s="4">
        <f>IF(L706&lt;&gt;"",SQRT(3)*G706*L706/1000,"")</f>
        <v/>
      </c>
      <c r="AA706" t="inlineStr">
        <is>
          <t>Source=Copeland 2D/3D/4D/4R/6D/8D/9R compressors (pdf) p26; PWS_RLA=25.7</t>
        </is>
      </c>
      <c r="AB706" t="inlineStr">
        <is>
          <t>Copeland_RLA_230_460_3ph_60Hz.xlsx</t>
        </is>
      </c>
      <c r="AC706" t="inlineStr">
        <is>
          <t>Recip_2D-9R</t>
        </is>
      </c>
    </row>
    <row r="707">
      <c r="A707" t="inlineStr">
        <is>
          <t>COPELAND</t>
        </is>
      </c>
      <c r="B707" t="inlineStr">
        <is>
          <t>4DK3R22ME-TSK</t>
        </is>
      </c>
      <c r="D707" t="inlineStr">
        <is>
          <t>Reciprocating Semi-hermetic</t>
        </is>
      </c>
      <c r="E707" s="2" t="n">
        <v>3</v>
      </c>
      <c r="F707" s="2" t="n">
        <v>60</v>
      </c>
      <c r="G707" s="2" t="n">
        <v>230</v>
      </c>
      <c r="H707" t="inlineStr">
        <is>
          <t>208/230</t>
        </is>
      </c>
      <c r="I707" s="2" t="n">
        <v>208</v>
      </c>
      <c r="J707" s="2" t="n">
        <v>230</v>
      </c>
      <c r="L707" s="3" t="n"/>
      <c r="M707" s="3" t="n"/>
      <c r="N707" s="3" t="n">
        <v>82.09999999999999</v>
      </c>
      <c r="O707" s="3" t="n"/>
      <c r="P707" s="3">
        <f>IF(L707&lt;&gt;"",L707/1.4,"")</f>
        <v/>
      </c>
      <c r="Q707" s="3">
        <f>IF(L707&lt;&gt;"",L707/1.56,"")</f>
        <v/>
      </c>
      <c r="R707" s="3">
        <f>IF(M707&lt;&gt;"",M707/1.4,"")</f>
        <v/>
      </c>
      <c r="S707" s="3">
        <f>IF(M707&lt;&gt;"",M707/1.56,"")</f>
        <v/>
      </c>
      <c r="T707" s="3">
        <f>IF(N707&lt;&gt;"",N707,IF(O707&lt;&gt;"",O707,IF(L707&lt;&gt;"",L707/1.56,IF(M707&lt;&gt;"",M707/1.56,""))))</f>
        <v/>
      </c>
      <c r="U707" s="3" t="n">
        <v>428</v>
      </c>
      <c r="V707" s="3" t="n">
        <v>250</v>
      </c>
      <c r="W707" s="3" t="n"/>
      <c r="X707" s="4" t="n"/>
      <c r="Y707" s="5" t="n">
        <v>0.132</v>
      </c>
      <c r="Z707" s="4">
        <f>IF(L707&lt;&gt;"",SQRT(3)*G707*L707/1000,"")</f>
        <v/>
      </c>
      <c r="AA707" t="inlineStr">
        <is>
          <t>Source=Copeland 2D/3D/4D/4R/6D/8D/9R compressors (pdf) p27; PWS_RLA=53.6</t>
        </is>
      </c>
      <c r="AB707" t="inlineStr">
        <is>
          <t>Copeland_RLA_230_460_3ph_60Hz.xlsx</t>
        </is>
      </c>
      <c r="AC707" t="inlineStr">
        <is>
          <t>Recip_2D-9R</t>
        </is>
      </c>
    </row>
    <row r="708">
      <c r="A708" t="inlineStr">
        <is>
          <t>COPELAND</t>
        </is>
      </c>
      <c r="B708" t="inlineStr">
        <is>
          <t>4DK3R22ME-TSK</t>
        </is>
      </c>
      <c r="D708" t="inlineStr">
        <is>
          <t>Reciprocating Semi-hermetic</t>
        </is>
      </c>
      <c r="E708" s="2" t="n">
        <v>3</v>
      </c>
      <c r="F708" s="2" t="n">
        <v>60</v>
      </c>
      <c r="G708" s="2" t="n">
        <v>460</v>
      </c>
      <c r="H708" t="inlineStr">
        <is>
          <t>460</t>
        </is>
      </c>
      <c r="I708" s="2" t="n">
        <v>460</v>
      </c>
      <c r="J708" s="2" t="n">
        <v>460</v>
      </c>
      <c r="L708" s="3" t="n"/>
      <c r="M708" s="3" t="n"/>
      <c r="N708" s="3" t="n">
        <v>53.6</v>
      </c>
      <c r="O708" s="3" t="n"/>
      <c r="P708" s="3">
        <f>IF(L708&lt;&gt;"",L708/1.4,"")</f>
        <v/>
      </c>
      <c r="Q708" s="3">
        <f>IF(L708&lt;&gt;"",L708/1.56,"")</f>
        <v/>
      </c>
      <c r="R708" s="3">
        <f>IF(M708&lt;&gt;"",M708/1.4,"")</f>
        <v/>
      </c>
      <c r="S708" s="3">
        <f>IF(M708&lt;&gt;"",M708/1.56,"")</f>
        <v/>
      </c>
      <c r="T708" s="3">
        <f>IF(N708&lt;&gt;"",N708,IF(O708&lt;&gt;"",O708,IF(L708&lt;&gt;"",L708/1.56,IF(M708&lt;&gt;"",M708/1.56,""))))</f>
        <v/>
      </c>
      <c r="U708" s="3" t="n">
        <v>214</v>
      </c>
      <c r="V708" s="3" t="n"/>
      <c r="W708" s="3" t="n"/>
      <c r="X708" s="4" t="n"/>
      <c r="Y708" s="5" t="n">
        <v>0.528</v>
      </c>
      <c r="Z708" s="4">
        <f>IF(L708&lt;&gt;"",SQRT(3)*G708*L708/1000,"")</f>
        <v/>
      </c>
      <c r="AA708" t="inlineStr">
        <is>
          <t>Source=Copeland 2D/3D/4D/4R/6D/8D/9R compressors (pdf) p27</t>
        </is>
      </c>
      <c r="AB708" t="inlineStr">
        <is>
          <t>Copeland_RLA_230_460_3ph_60Hz.xlsx</t>
        </is>
      </c>
      <c r="AC708" t="inlineStr">
        <is>
          <t>Recip_2D-9R</t>
        </is>
      </c>
    </row>
    <row r="709">
      <c r="A709" t="inlineStr">
        <is>
          <t>COPELAND</t>
        </is>
      </c>
      <c r="B709" t="inlineStr">
        <is>
          <t>4DK3R22ML-FSD</t>
        </is>
      </c>
      <c r="D709" t="inlineStr">
        <is>
          <t>Reciprocating Semi-hermetic</t>
        </is>
      </c>
      <c r="E709" s="2" t="n">
        <v>3</v>
      </c>
      <c r="F709" s="2" t="n">
        <v>60</v>
      </c>
      <c r="G709" s="2" t="n">
        <v>460</v>
      </c>
      <c r="H709" t="inlineStr">
        <is>
          <t>460</t>
        </is>
      </c>
      <c r="I709" s="2" t="n">
        <v>460</v>
      </c>
      <c r="J709" s="2" t="n">
        <v>460</v>
      </c>
      <c r="L709" s="3" t="n"/>
      <c r="M709" s="3" t="n"/>
      <c r="N709" s="3" t="n">
        <v>40.6</v>
      </c>
      <c r="O709" s="3" t="n"/>
      <c r="P709" s="3">
        <f>IF(L709&lt;&gt;"",L709/1.4,"")</f>
        <v/>
      </c>
      <c r="Q709" s="3">
        <f>IF(L709&lt;&gt;"",L709/1.56,"")</f>
        <v/>
      </c>
      <c r="R709" s="3">
        <f>IF(M709&lt;&gt;"",M709/1.4,"")</f>
        <v/>
      </c>
      <c r="S709" s="3">
        <f>IF(M709&lt;&gt;"",M709/1.56,"")</f>
        <v/>
      </c>
      <c r="T709" s="3">
        <f>IF(N709&lt;&gt;"",N709,IF(O709&lt;&gt;"",O709,IF(L709&lt;&gt;"",L709/1.56,IF(M709&lt;&gt;"",M709/1.56,""))))</f>
        <v/>
      </c>
      <c r="U709" s="3" t="n">
        <v>206</v>
      </c>
      <c r="V709" s="3" t="n">
        <v>132</v>
      </c>
      <c r="W709" s="3" t="n"/>
      <c r="X709" s="4" t="n"/>
      <c r="Y709" s="5" t="n">
        <v>0.524</v>
      </c>
      <c r="Z709" s="4">
        <f>IF(L709&lt;&gt;"",SQRT(3)*G709*L709/1000,"")</f>
        <v/>
      </c>
      <c r="AA709" t="inlineStr">
        <is>
          <t>Source=Copeland 2D/3D/4D/4R/6D/8D/9R compressors (pdf) p27; PWS_RLA=20.3</t>
        </is>
      </c>
      <c r="AB709" t="inlineStr">
        <is>
          <t>Copeland_RLA_230_460_3ph_60Hz.xlsx</t>
        </is>
      </c>
      <c r="AC709" t="inlineStr">
        <is>
          <t>Recip_2D-9R</t>
        </is>
      </c>
    </row>
    <row r="710">
      <c r="A710" t="inlineStr">
        <is>
          <t>COPELAND</t>
        </is>
      </c>
      <c r="B710" t="inlineStr">
        <is>
          <t>4DK3R22ML-FSD</t>
        </is>
      </c>
      <c r="D710" t="inlineStr">
        <is>
          <t>Reciprocating Semi-hermetic</t>
        </is>
      </c>
      <c r="E710" s="2" t="n">
        <v>3</v>
      </c>
      <c r="F710" s="2" t="n">
        <v>60</v>
      </c>
      <c r="G710" s="2" t="n">
        <v>460</v>
      </c>
      <c r="H710" t="inlineStr">
        <is>
          <t>460</t>
        </is>
      </c>
      <c r="I710" s="2" t="n">
        <v>460</v>
      </c>
      <c r="J710" s="2" t="n">
        <v>460</v>
      </c>
      <c r="L710" s="3" t="n"/>
      <c r="M710" s="3" t="n"/>
      <c r="N710" s="3" t="n">
        <v>51.4</v>
      </c>
      <c r="O710" s="3" t="n"/>
      <c r="P710" s="3">
        <f>IF(L710&lt;&gt;"",L710/1.4,"")</f>
        <v/>
      </c>
      <c r="Q710" s="3">
        <f>IF(L710&lt;&gt;"",L710/1.56,"")</f>
        <v/>
      </c>
      <c r="R710" s="3">
        <f>IF(M710&lt;&gt;"",M710/1.4,"")</f>
        <v/>
      </c>
      <c r="S710" s="3">
        <f>IF(M710&lt;&gt;"",M710/1.56,"")</f>
        <v/>
      </c>
      <c r="T710" s="3">
        <f>IF(N710&lt;&gt;"",N710,IF(O710&lt;&gt;"",O710,IF(L710&lt;&gt;"",L710/1.56,IF(M710&lt;&gt;"",M710/1.56,""))))</f>
        <v/>
      </c>
      <c r="U710" s="3" t="n">
        <v>206</v>
      </c>
      <c r="V710" s="3" t="n">
        <v>132</v>
      </c>
      <c r="W710" s="3" t="n"/>
      <c r="X710" s="4" t="n"/>
      <c r="Y710" s="5" t="n">
        <v>0.524</v>
      </c>
      <c r="Z710" s="4">
        <f>IF(L710&lt;&gt;"",SQRT(3)*G710*L710/1000,"")</f>
        <v/>
      </c>
      <c r="AA710" t="inlineStr">
        <is>
          <t>Source=Copeland 2D/3D/4D/4R/6D/8D/9R compressors (pdf) p27; PWS_RLA=25.7</t>
        </is>
      </c>
      <c r="AB710" t="inlineStr">
        <is>
          <t>Copeland_RLA_230_460_3ph_60Hz.xlsx</t>
        </is>
      </c>
      <c r="AC710" t="inlineStr">
        <is>
          <t>Recip_2D-9R</t>
        </is>
      </c>
    </row>
    <row r="711">
      <c r="A711" t="inlineStr">
        <is>
          <t>COPELAND</t>
        </is>
      </c>
      <c r="B711" t="inlineStr">
        <is>
          <t>4DK3R22ML-TSK</t>
        </is>
      </c>
      <c r="D711" t="inlineStr">
        <is>
          <t>Reciprocating Semi-hermetic</t>
        </is>
      </c>
      <c r="E711" s="2" t="n">
        <v>3</v>
      </c>
      <c r="F711" s="2" t="n">
        <v>60</v>
      </c>
      <c r="G711" s="2" t="n">
        <v>230</v>
      </c>
      <c r="H711" t="inlineStr">
        <is>
          <t>208/230</t>
        </is>
      </c>
      <c r="I711" s="2" t="n">
        <v>208</v>
      </c>
      <c r="J711" s="2" t="n">
        <v>230</v>
      </c>
      <c r="L711" s="3" t="n"/>
      <c r="M711" s="3" t="n"/>
      <c r="N711" s="3" t="n">
        <v>82.09999999999999</v>
      </c>
      <c r="O711" s="3" t="n"/>
      <c r="P711" s="3">
        <f>IF(L711&lt;&gt;"",L711/1.4,"")</f>
        <v/>
      </c>
      <c r="Q711" s="3">
        <f>IF(L711&lt;&gt;"",L711/1.56,"")</f>
        <v/>
      </c>
      <c r="R711" s="3">
        <f>IF(M711&lt;&gt;"",M711/1.4,"")</f>
        <v/>
      </c>
      <c r="S711" s="3">
        <f>IF(M711&lt;&gt;"",M711/1.56,"")</f>
        <v/>
      </c>
      <c r="T711" s="3">
        <f>IF(N711&lt;&gt;"",N711,IF(O711&lt;&gt;"",O711,IF(L711&lt;&gt;"",L711/1.56,IF(M711&lt;&gt;"",M711/1.56,""))))</f>
        <v/>
      </c>
      <c r="U711" s="3" t="n">
        <v>428</v>
      </c>
      <c r="V711" s="3" t="n">
        <v>250</v>
      </c>
      <c r="W711" s="3" t="n"/>
      <c r="X711" s="4" t="n"/>
      <c r="Y711" s="5" t="n">
        <v>0.132</v>
      </c>
      <c r="Z711" s="4">
        <f>IF(L711&lt;&gt;"",SQRT(3)*G711*L711/1000,"")</f>
        <v/>
      </c>
      <c r="AA711" t="inlineStr">
        <is>
          <t>Source=Copeland 2D/3D/4D/4R/6D/8D/9R compressors (pdf) p27; PWS_RLA=53.6</t>
        </is>
      </c>
      <c r="AB711" t="inlineStr">
        <is>
          <t>Copeland_RLA_230_460_3ph_60Hz.xlsx</t>
        </is>
      </c>
      <c r="AC711" t="inlineStr">
        <is>
          <t>Recip_2D-9R</t>
        </is>
      </c>
    </row>
    <row r="712">
      <c r="A712" t="inlineStr">
        <is>
          <t>COPELAND</t>
        </is>
      </c>
      <c r="B712" t="inlineStr">
        <is>
          <t>4DK3R22ML-TSK</t>
        </is>
      </c>
      <c r="D712" t="inlineStr">
        <is>
          <t>Reciprocating Semi-hermetic</t>
        </is>
      </c>
      <c r="E712" s="2" t="n">
        <v>3</v>
      </c>
      <c r="F712" s="2" t="n">
        <v>60</v>
      </c>
      <c r="G712" s="2" t="n">
        <v>460</v>
      </c>
      <c r="H712" t="inlineStr">
        <is>
          <t>460</t>
        </is>
      </c>
      <c r="I712" s="2" t="n">
        <v>460</v>
      </c>
      <c r="J712" s="2" t="n">
        <v>460</v>
      </c>
      <c r="L712" s="3" t="n"/>
      <c r="M712" s="3" t="n"/>
      <c r="N712" s="3" t="n">
        <v>53.6</v>
      </c>
      <c r="O712" s="3" t="n"/>
      <c r="P712" s="3">
        <f>IF(L712&lt;&gt;"",L712/1.4,"")</f>
        <v/>
      </c>
      <c r="Q712" s="3">
        <f>IF(L712&lt;&gt;"",L712/1.56,"")</f>
        <v/>
      </c>
      <c r="R712" s="3">
        <f>IF(M712&lt;&gt;"",M712/1.4,"")</f>
        <v/>
      </c>
      <c r="S712" s="3">
        <f>IF(M712&lt;&gt;"",M712/1.56,"")</f>
        <v/>
      </c>
      <c r="T712" s="3">
        <f>IF(N712&lt;&gt;"",N712,IF(O712&lt;&gt;"",O712,IF(L712&lt;&gt;"",L712/1.56,IF(M712&lt;&gt;"",M712/1.56,""))))</f>
        <v/>
      </c>
      <c r="U712" s="3" t="n">
        <v>214</v>
      </c>
      <c r="V712" s="3" t="n"/>
      <c r="W712" s="3" t="n"/>
      <c r="X712" s="4" t="n"/>
      <c r="Y712" s="5" t="n">
        <v>0.528</v>
      </c>
      <c r="Z712" s="4">
        <f>IF(L712&lt;&gt;"",SQRT(3)*G712*L712/1000,"")</f>
        <v/>
      </c>
      <c r="AA712" t="inlineStr">
        <is>
          <t>Source=Copeland 2D/3D/4D/4R/6D/8D/9R compressors (pdf) p27</t>
        </is>
      </c>
      <c r="AB712" t="inlineStr">
        <is>
          <t>Copeland_RLA_230_460_3ph_60Hz.xlsx</t>
        </is>
      </c>
      <c r="AC712" t="inlineStr">
        <is>
          <t>Recip_2D-9R</t>
        </is>
      </c>
    </row>
    <row r="713">
      <c r="A713" t="inlineStr">
        <is>
          <t>COPELAND</t>
        </is>
      </c>
      <c r="B713" t="inlineStr">
        <is>
          <t>4DK3R23ME-TSK</t>
        </is>
      </c>
      <c r="D713" t="inlineStr">
        <is>
          <t>Reciprocating Semi-hermetic</t>
        </is>
      </c>
      <c r="E713" s="2" t="n">
        <v>3</v>
      </c>
      <c r="F713" s="2" t="n">
        <v>60</v>
      </c>
      <c r="G713" s="2" t="n">
        <v>230</v>
      </c>
      <c r="H713" t="inlineStr">
        <is>
          <t>203/230</t>
        </is>
      </c>
      <c r="I713" s="2" t="n">
        <v>203</v>
      </c>
      <c r="J713" s="2" t="n">
        <v>230</v>
      </c>
      <c r="L713" s="3" t="n"/>
      <c r="M713" s="3" t="n"/>
      <c r="N713" s="3" t="n">
        <v>107.1</v>
      </c>
      <c r="O713" s="3" t="n"/>
      <c r="P713" s="3">
        <f>IF(L713&lt;&gt;"",L713/1.4,"")</f>
        <v/>
      </c>
      <c r="Q713" s="3">
        <f>IF(L713&lt;&gt;"",L713/1.56,"")</f>
        <v/>
      </c>
      <c r="R713" s="3">
        <f>IF(M713&lt;&gt;"",M713/1.4,"")</f>
        <v/>
      </c>
      <c r="S713" s="3">
        <f>IF(M713&lt;&gt;"",M713/1.56,"")</f>
        <v/>
      </c>
      <c r="T713" s="3">
        <f>IF(N713&lt;&gt;"",N713,IF(O713&lt;&gt;"",O713,IF(L713&lt;&gt;"",L713/1.56,IF(M713&lt;&gt;"",M713/1.56,""))))</f>
        <v/>
      </c>
      <c r="U713" s="3" t="n">
        <v>428</v>
      </c>
      <c r="V713" s="3" t="n">
        <v>250</v>
      </c>
      <c r="W713" s="3" t="n"/>
      <c r="X713" s="4" t="n"/>
      <c r="Y713" s="5" t="n">
        <v>0.132</v>
      </c>
      <c r="Z713" s="4">
        <f>IF(L713&lt;&gt;"",SQRT(3)*G713*L713/1000,"")</f>
        <v/>
      </c>
      <c r="AA713" t="inlineStr">
        <is>
          <t>Source=Copeland 2D/3D/4D/4R/6D/8D/9R compressors (pdf) p27; PWS_RLA=41.1</t>
        </is>
      </c>
      <c r="AB713" t="inlineStr">
        <is>
          <t>Copeland_RLA_230_460_3ph_60Hz.xlsx</t>
        </is>
      </c>
      <c r="AC713" t="inlineStr">
        <is>
          <t>Recip_2D-9R</t>
        </is>
      </c>
    </row>
    <row r="714">
      <c r="A714" t="inlineStr">
        <is>
          <t>COPELAND</t>
        </is>
      </c>
      <c r="B714" t="inlineStr">
        <is>
          <t>4DK3R23ME-TSK</t>
        </is>
      </c>
      <c r="D714" t="inlineStr">
        <is>
          <t>Reciprocating Semi-hermetic</t>
        </is>
      </c>
      <c r="E714" s="2" t="n">
        <v>3</v>
      </c>
      <c r="F714" s="2" t="n">
        <v>60</v>
      </c>
      <c r="G714" s="2" t="n">
        <v>230</v>
      </c>
      <c r="H714" t="inlineStr">
        <is>
          <t>208/230</t>
        </is>
      </c>
      <c r="I714" s="2" t="n">
        <v>208</v>
      </c>
      <c r="J714" s="2" t="n">
        <v>230</v>
      </c>
      <c r="L714" s="3" t="n"/>
      <c r="M714" s="3" t="n"/>
      <c r="N714" s="3" t="n">
        <v>107.1</v>
      </c>
      <c r="O714" s="3" t="n"/>
      <c r="P714" s="3">
        <f>IF(L714&lt;&gt;"",L714/1.4,"")</f>
        <v/>
      </c>
      <c r="Q714" s="3">
        <f>IF(L714&lt;&gt;"",L714/1.56,"")</f>
        <v/>
      </c>
      <c r="R714" s="3">
        <f>IF(M714&lt;&gt;"",M714/1.4,"")</f>
        <v/>
      </c>
      <c r="S714" s="3">
        <f>IF(M714&lt;&gt;"",M714/1.56,"")</f>
        <v/>
      </c>
      <c r="T714" s="3">
        <f>IF(N714&lt;&gt;"",N714,IF(O714&lt;&gt;"",O714,IF(L714&lt;&gt;"",L714/1.56,IF(M714&lt;&gt;"",M714/1.56,""))))</f>
        <v/>
      </c>
      <c r="U714" s="3" t="n">
        <v>428</v>
      </c>
      <c r="V714" s="3" t="n">
        <v>250</v>
      </c>
      <c r="W714" s="3" t="n"/>
      <c r="X714" s="4" t="n"/>
      <c r="Y714" s="5" t="n">
        <v>0.132</v>
      </c>
      <c r="Z714" s="4">
        <f>IF(L714&lt;&gt;"",SQRT(3)*G714*L714/1000,"")</f>
        <v/>
      </c>
      <c r="AA714" t="inlineStr">
        <is>
          <t>Source=Copeland 2D/3D/4D/4R/6D/8D/9R compressors (pdf) p27; PWS_RLA=53.6</t>
        </is>
      </c>
      <c r="AB714" t="inlineStr">
        <is>
          <t>Copeland_RLA_230_460_3ph_60Hz.xlsx</t>
        </is>
      </c>
      <c r="AC714" t="inlineStr">
        <is>
          <t>Recip_2D-9R</t>
        </is>
      </c>
    </row>
    <row r="715">
      <c r="A715" t="inlineStr">
        <is>
          <t>COPELAND</t>
        </is>
      </c>
      <c r="B715" t="inlineStr">
        <is>
          <t>4DK3R23ME-TSK</t>
        </is>
      </c>
      <c r="D715" t="inlineStr">
        <is>
          <t>Reciprocating Semi-hermetic</t>
        </is>
      </c>
      <c r="E715" s="2" t="n">
        <v>3</v>
      </c>
      <c r="F715" s="2" t="n">
        <v>60</v>
      </c>
      <c r="G715" s="2" t="n">
        <v>460</v>
      </c>
      <c r="H715" t="inlineStr">
        <is>
          <t>460</t>
        </is>
      </c>
      <c r="I715" s="2" t="n">
        <v>460</v>
      </c>
      <c r="J715" s="2" t="n">
        <v>460</v>
      </c>
      <c r="L715" s="3" t="n"/>
      <c r="M715" s="3" t="n"/>
      <c r="N715" s="3" t="n">
        <v>53.6</v>
      </c>
      <c r="O715" s="3" t="n"/>
      <c r="P715" s="3">
        <f>IF(L715&lt;&gt;"",L715/1.4,"")</f>
        <v/>
      </c>
      <c r="Q715" s="3">
        <f>IF(L715&lt;&gt;"",L715/1.56,"")</f>
        <v/>
      </c>
      <c r="R715" s="3">
        <f>IF(M715&lt;&gt;"",M715/1.4,"")</f>
        <v/>
      </c>
      <c r="S715" s="3">
        <f>IF(M715&lt;&gt;"",M715/1.56,"")</f>
        <v/>
      </c>
      <c r="T715" s="3">
        <f>IF(N715&lt;&gt;"",N715,IF(O715&lt;&gt;"",O715,IF(L715&lt;&gt;"",L715/1.56,IF(M715&lt;&gt;"",M715/1.56,""))))</f>
        <v/>
      </c>
      <c r="U715" s="3" t="n">
        <v>214</v>
      </c>
      <c r="V715" s="3" t="n"/>
      <c r="W715" s="3" t="n"/>
      <c r="X715" s="4" t="n"/>
      <c r="Y715" s="5" t="n">
        <v>0.528</v>
      </c>
      <c r="Z715" s="4">
        <f>IF(L715&lt;&gt;"",SQRT(3)*G715*L715/1000,"")</f>
        <v/>
      </c>
      <c r="AA715" t="inlineStr">
        <is>
          <t>Source=Copeland 2D/3D/4D/4R/6D/8D/9R compressors (pdf) p27</t>
        </is>
      </c>
      <c r="AB715" t="inlineStr">
        <is>
          <t>Copeland_RLA_230_460_3ph_60Hz.xlsx</t>
        </is>
      </c>
      <c r="AC715" t="inlineStr">
        <is>
          <t>Recip_2D-9R</t>
        </is>
      </c>
    </row>
    <row r="716">
      <c r="A716" t="inlineStr">
        <is>
          <t>COPELAND</t>
        </is>
      </c>
      <c r="B716" t="inlineStr">
        <is>
          <t>4DK3S16M0-TSK</t>
        </is>
      </c>
      <c r="D716" t="inlineStr">
        <is>
          <t>Reciprocating Semi-hermetic</t>
        </is>
      </c>
      <c r="E716" s="2" t="n">
        <v>3</v>
      </c>
      <c r="F716" s="2" t="n">
        <v>60</v>
      </c>
      <c r="G716" s="2" t="n">
        <v>230</v>
      </c>
      <c r="H716" t="inlineStr">
        <is>
          <t>208/230</t>
        </is>
      </c>
      <c r="I716" s="2" t="n">
        <v>208</v>
      </c>
      <c r="J716" s="2" t="n">
        <v>230</v>
      </c>
      <c r="L716" s="3" t="n"/>
      <c r="M716" s="3" t="n"/>
      <c r="N716" s="3" t="n"/>
      <c r="O716" s="3" t="n"/>
      <c r="P716" s="3">
        <f>IF(L716&lt;&gt;"",L716/1.4,"")</f>
        <v/>
      </c>
      <c r="Q716" s="3">
        <f>IF(L716&lt;&gt;"",L716/1.56,"")</f>
        <v/>
      </c>
      <c r="R716" s="3">
        <f>IF(M716&lt;&gt;"",M716/1.4,"")</f>
        <v/>
      </c>
      <c r="S716" s="3">
        <f>IF(M716&lt;&gt;"",M716/1.56,"")</f>
        <v/>
      </c>
      <c r="T716" s="3">
        <f>IF(N716&lt;&gt;"",N716,IF(O716&lt;&gt;"",O716,IF(L716&lt;&gt;"",L716/1.56,IF(M716&lt;&gt;"",M716/1.56,""))))</f>
        <v/>
      </c>
      <c r="U716" s="3" t="n">
        <v>295</v>
      </c>
      <c r="V716" s="3" t="n"/>
      <c r="W716" s="3" t="n"/>
      <c r="X716" s="4" t="n"/>
      <c r="Y716" s="5" t="n">
        <v>0.179</v>
      </c>
      <c r="Z716" s="4">
        <f>IF(L716&lt;&gt;"",SQRT(3)*G716*L716/1000,"")</f>
        <v/>
      </c>
      <c r="AA716" t="inlineStr">
        <is>
          <t>Source=Copeland 2D/3D/4D/4R/6D/8D/9R compressors (pdf) p27</t>
        </is>
      </c>
      <c r="AB716" t="inlineStr">
        <is>
          <t>Copeland_RLA_230_460_3ph_60Hz.xlsx</t>
        </is>
      </c>
      <c r="AC716" t="inlineStr">
        <is>
          <t>Recip_2D-9R</t>
        </is>
      </c>
    </row>
    <row r="717">
      <c r="A717" t="inlineStr">
        <is>
          <t>COPELAND</t>
        </is>
      </c>
      <c r="B717" t="inlineStr">
        <is>
          <t>4DK3S16M0-TSK</t>
        </is>
      </c>
      <c r="D717" t="inlineStr">
        <is>
          <t>Reciprocating Semi-hermetic</t>
        </is>
      </c>
      <c r="E717" s="2" t="n">
        <v>3</v>
      </c>
      <c r="F717" s="2" t="n">
        <v>60</v>
      </c>
      <c r="G717" s="2" t="n">
        <v>230</v>
      </c>
      <c r="H717" t="inlineStr">
        <is>
          <t>208/230</t>
        </is>
      </c>
      <c r="I717" s="2" t="n">
        <v>208</v>
      </c>
      <c r="J717" s="2" t="n">
        <v>230</v>
      </c>
      <c r="L717" s="3" t="n"/>
      <c r="M717" s="3" t="n"/>
      <c r="N717" s="3" t="n"/>
      <c r="O717" s="3" t="n"/>
      <c r="P717" s="3">
        <f>IF(L717&lt;&gt;"",L717/1.4,"")</f>
        <v/>
      </c>
      <c r="Q717" s="3">
        <f>IF(L717&lt;&gt;"",L717/1.56,"")</f>
        <v/>
      </c>
      <c r="R717" s="3">
        <f>IF(M717&lt;&gt;"",M717/1.4,"")</f>
        <v/>
      </c>
      <c r="S717" s="3">
        <f>IF(M717&lt;&gt;"",M717/1.56,"")</f>
        <v/>
      </c>
      <c r="T717" s="3">
        <f>IF(N717&lt;&gt;"",N717,IF(O717&lt;&gt;"",O717,IF(L717&lt;&gt;"",L717/1.56,IF(M717&lt;&gt;"",M717/1.56,""))))</f>
        <v/>
      </c>
      <c r="U717" s="3" t="n">
        <v>308</v>
      </c>
      <c r="V717" s="3" t="n"/>
      <c r="W717" s="3" t="n"/>
      <c r="X717" s="4" t="n"/>
      <c r="Y717" s="5" t="n">
        <v>0.179</v>
      </c>
      <c r="Z717" s="4">
        <f>IF(L717&lt;&gt;"",SQRT(3)*G717*L717/1000,"")</f>
        <v/>
      </c>
      <c r="AA717" t="inlineStr">
        <is>
          <t>Source=Copeland 2D/3D/4D/4R/6D/8D/9R compressors (pdf) p27</t>
        </is>
      </c>
      <c r="AB717" t="inlineStr">
        <is>
          <t>Copeland_RLA_230_460_3ph_60Hz.xlsx</t>
        </is>
      </c>
      <c r="AC717" t="inlineStr">
        <is>
          <t>Recip_2D-9R</t>
        </is>
      </c>
    </row>
    <row r="718">
      <c r="A718" t="inlineStr">
        <is>
          <t>COPELAND</t>
        </is>
      </c>
      <c r="B718" t="inlineStr">
        <is>
          <t>4DK3S16M0-TSK</t>
        </is>
      </c>
      <c r="D718" t="inlineStr">
        <is>
          <t>Reciprocating Semi-hermetic</t>
        </is>
      </c>
      <c r="E718" s="2" t="n">
        <v>3</v>
      </c>
      <c r="F718" s="2" t="n">
        <v>60</v>
      </c>
      <c r="G718" s="2" t="n">
        <v>460</v>
      </c>
      <c r="H718" t="inlineStr">
        <is>
          <t>460</t>
        </is>
      </c>
      <c r="I718" s="2" t="n">
        <v>460</v>
      </c>
      <c r="J718" s="2" t="n">
        <v>460</v>
      </c>
      <c r="L718" s="3" t="n"/>
      <c r="M718" s="3" t="n"/>
      <c r="N718" s="3" t="n"/>
      <c r="O718" s="3" t="n"/>
      <c r="P718" s="3">
        <f>IF(L718&lt;&gt;"",L718/1.4,"")</f>
        <v/>
      </c>
      <c r="Q718" s="3">
        <f>IF(L718&lt;&gt;"",L718/1.56,"")</f>
        <v/>
      </c>
      <c r="R718" s="3">
        <f>IF(M718&lt;&gt;"",M718/1.4,"")</f>
        <v/>
      </c>
      <c r="S718" s="3">
        <f>IF(M718&lt;&gt;"",M718/1.56,"")</f>
        <v/>
      </c>
      <c r="T718" s="3">
        <f>IF(N718&lt;&gt;"",N718,IF(O718&lt;&gt;"",O718,IF(L718&lt;&gt;"",L718/1.56,IF(M718&lt;&gt;"",M718/1.56,""))))</f>
        <v/>
      </c>
      <c r="U718" s="3" t="n">
        <v>148</v>
      </c>
      <c r="V718" s="3" t="n"/>
      <c r="W718" s="3" t="n"/>
      <c r="X718" s="4" t="n"/>
      <c r="Y718" s="5" t="n">
        <v>0.716</v>
      </c>
      <c r="Z718" s="4">
        <f>IF(L718&lt;&gt;"",SQRT(3)*G718*L718/1000,"")</f>
        <v/>
      </c>
      <c r="AA718" t="inlineStr">
        <is>
          <t>Source=Copeland 2D/3D/4D/4R/6D/8D/9R compressors (pdf) p27</t>
        </is>
      </c>
      <c r="AB718" t="inlineStr">
        <is>
          <t>Copeland_RLA_230_460_3ph_60Hz.xlsx</t>
        </is>
      </c>
      <c r="AC718" t="inlineStr">
        <is>
          <t>Recip_2D-9R</t>
        </is>
      </c>
    </row>
    <row r="719">
      <c r="A719" t="inlineStr">
        <is>
          <t>COPELAND</t>
        </is>
      </c>
      <c r="B719" t="inlineStr">
        <is>
          <t>4DK3S16M0-TSK</t>
        </is>
      </c>
      <c r="D719" t="inlineStr">
        <is>
          <t>Reciprocating Semi-hermetic</t>
        </is>
      </c>
      <c r="E719" s="2" t="n">
        <v>3</v>
      </c>
      <c r="F719" s="2" t="n">
        <v>60</v>
      </c>
      <c r="G719" s="2" t="n">
        <v>460</v>
      </c>
      <c r="H719" t="inlineStr">
        <is>
          <t>460</t>
        </is>
      </c>
      <c r="I719" s="2" t="n">
        <v>460</v>
      </c>
      <c r="J719" s="2" t="n">
        <v>460</v>
      </c>
      <c r="L719" s="3" t="n"/>
      <c r="M719" s="3" t="n"/>
      <c r="N719" s="3" t="n"/>
      <c r="O719" s="3" t="n"/>
      <c r="P719" s="3">
        <f>IF(L719&lt;&gt;"",L719/1.4,"")</f>
        <v/>
      </c>
      <c r="Q719" s="3">
        <f>IF(L719&lt;&gt;"",L719/1.56,"")</f>
        <v/>
      </c>
      <c r="R719" s="3">
        <f>IF(M719&lt;&gt;"",M719/1.4,"")</f>
        <v/>
      </c>
      <c r="S719" s="3">
        <f>IF(M719&lt;&gt;"",M719/1.56,"")</f>
        <v/>
      </c>
      <c r="T719" s="3">
        <f>IF(N719&lt;&gt;"",N719,IF(O719&lt;&gt;"",O719,IF(L719&lt;&gt;"",L719/1.56,IF(M719&lt;&gt;"",M719/1.56,""))))</f>
        <v/>
      </c>
      <c r="U719" s="3" t="n">
        <v>154</v>
      </c>
      <c r="V719" s="3" t="n"/>
      <c r="W719" s="3" t="n"/>
      <c r="X719" s="4" t="n"/>
      <c r="Y719" s="5" t="n">
        <v>0.716</v>
      </c>
      <c r="Z719" s="4">
        <f>IF(L719&lt;&gt;"",SQRT(3)*G719*L719/1000,"")</f>
        <v/>
      </c>
      <c r="AA719" t="inlineStr">
        <is>
          <t>Source=Copeland 2D/3D/4D/4R/6D/8D/9R compressors (pdf) p27</t>
        </is>
      </c>
      <c r="AB719" t="inlineStr">
        <is>
          <t>Copeland_RLA_230_460_3ph_60Hz.xlsx</t>
        </is>
      </c>
      <c r="AC719" t="inlineStr">
        <is>
          <t>Recip_2D-9R</t>
        </is>
      </c>
    </row>
    <row r="720">
      <c r="A720" t="inlineStr">
        <is>
          <t>COPELAND</t>
        </is>
      </c>
      <c r="B720" t="inlineStr">
        <is>
          <t>4DK3S16ME-TSK</t>
        </is>
      </c>
      <c r="D720" t="inlineStr">
        <is>
          <t>Reciprocating Semi-hermetic</t>
        </is>
      </c>
      <c r="E720" s="2" t="n">
        <v>3</v>
      </c>
      <c r="F720" s="2" t="n">
        <v>60</v>
      </c>
      <c r="G720" s="2" t="n">
        <v>230</v>
      </c>
      <c r="H720" t="inlineStr">
        <is>
          <t>208/230</t>
        </is>
      </c>
      <c r="I720" s="2" t="n">
        <v>208</v>
      </c>
      <c r="J720" s="2" t="n">
        <v>230</v>
      </c>
      <c r="L720" s="3" t="n"/>
      <c r="M720" s="3" t="n"/>
      <c r="N720" s="3" t="n">
        <v>65.7</v>
      </c>
      <c r="O720" s="3" t="n"/>
      <c r="P720" s="3">
        <f>IF(L720&lt;&gt;"",L720/1.4,"")</f>
        <v/>
      </c>
      <c r="Q720" s="3">
        <f>IF(L720&lt;&gt;"",L720/1.56,"")</f>
        <v/>
      </c>
      <c r="R720" s="3">
        <f>IF(M720&lt;&gt;"",M720/1.4,"")</f>
        <v/>
      </c>
      <c r="S720" s="3">
        <f>IF(M720&lt;&gt;"",M720/1.56,"")</f>
        <v/>
      </c>
      <c r="T720" s="3">
        <f>IF(N720&lt;&gt;"",N720,IF(O720&lt;&gt;"",O720,IF(L720&lt;&gt;"",L720/1.56,IF(M720&lt;&gt;"",M720/1.56,""))))</f>
        <v/>
      </c>
      <c r="U720" s="3" t="n">
        <v>308</v>
      </c>
      <c r="V720" s="3" t="n"/>
      <c r="W720" s="3" t="n"/>
      <c r="X720" s="4" t="n"/>
      <c r="Y720" s="5" t="n">
        <v>0.179</v>
      </c>
      <c r="Z720" s="4">
        <f>IF(L720&lt;&gt;"",SQRT(3)*G720*L720/1000,"")</f>
        <v/>
      </c>
      <c r="AA720" t="inlineStr">
        <is>
          <t>Source=Copeland 2D/3D/4D/4R/6D/8D/9R compressors (pdf) p27</t>
        </is>
      </c>
      <c r="AB720" t="inlineStr">
        <is>
          <t>Copeland_RLA_230_460_3ph_60Hz.xlsx</t>
        </is>
      </c>
      <c r="AC720" t="inlineStr">
        <is>
          <t>Recip_2D-9R</t>
        </is>
      </c>
    </row>
    <row r="721">
      <c r="A721" t="inlineStr">
        <is>
          <t>COPELAND</t>
        </is>
      </c>
      <c r="B721" t="inlineStr">
        <is>
          <t>4DK3S16ME-TSK</t>
        </is>
      </c>
      <c r="D721" t="inlineStr">
        <is>
          <t>Reciprocating Semi-hermetic</t>
        </is>
      </c>
      <c r="E721" s="2" t="n">
        <v>3</v>
      </c>
      <c r="F721" s="2" t="n">
        <v>60</v>
      </c>
      <c r="G721" s="2" t="n">
        <v>460</v>
      </c>
      <c r="H721" t="inlineStr">
        <is>
          <t>460</t>
        </is>
      </c>
      <c r="I721" s="2" t="n">
        <v>460</v>
      </c>
      <c r="J721" s="2" t="n">
        <v>460</v>
      </c>
      <c r="L721" s="3" t="n"/>
      <c r="M721" s="3" t="n"/>
      <c r="N721" s="3" t="n">
        <v>32.9</v>
      </c>
      <c r="O721" s="3" t="n"/>
      <c r="P721" s="3">
        <f>IF(L721&lt;&gt;"",L721/1.4,"")</f>
        <v/>
      </c>
      <c r="Q721" s="3">
        <f>IF(L721&lt;&gt;"",L721/1.56,"")</f>
        <v/>
      </c>
      <c r="R721" s="3">
        <f>IF(M721&lt;&gt;"",M721/1.4,"")</f>
        <v/>
      </c>
      <c r="S721" s="3">
        <f>IF(M721&lt;&gt;"",M721/1.56,"")</f>
        <v/>
      </c>
      <c r="T721" s="3">
        <f>IF(N721&lt;&gt;"",N721,IF(O721&lt;&gt;"",O721,IF(L721&lt;&gt;"",L721/1.56,IF(M721&lt;&gt;"",M721/1.56,""))))</f>
        <v/>
      </c>
      <c r="U721" s="3" t="n">
        <v>154</v>
      </c>
      <c r="V721" s="3" t="n"/>
      <c r="W721" s="3" t="n"/>
      <c r="X721" s="4" t="n"/>
      <c r="Y721" s="5" t="n">
        <v>0.716</v>
      </c>
      <c r="Z721" s="4">
        <f>IF(L721&lt;&gt;"",SQRT(3)*G721*L721/1000,"")</f>
        <v/>
      </c>
      <c r="AA721" t="inlineStr">
        <is>
          <t>Source=Copeland 2D/3D/4D/4R/6D/8D/9R compressors (pdf) p27</t>
        </is>
      </c>
      <c r="AB721" t="inlineStr">
        <is>
          <t>Copeland_RLA_230_460_3ph_60Hz.xlsx</t>
        </is>
      </c>
      <c r="AC721" t="inlineStr">
        <is>
          <t>Recip_2D-9R</t>
        </is>
      </c>
    </row>
    <row r="722">
      <c r="A722" t="inlineStr">
        <is>
          <t>COPELAND</t>
        </is>
      </c>
      <c r="B722" t="inlineStr">
        <is>
          <t>4DK3S16ML-TSK</t>
        </is>
      </c>
      <c r="D722" t="inlineStr">
        <is>
          <t>Reciprocating Semi-hermetic</t>
        </is>
      </c>
      <c r="E722" s="2" t="n">
        <v>3</v>
      </c>
      <c r="F722" s="2" t="n">
        <v>60</v>
      </c>
      <c r="G722" s="2" t="n">
        <v>230</v>
      </c>
      <c r="H722" t="inlineStr">
        <is>
          <t>208/230</t>
        </is>
      </c>
      <c r="I722" s="2" t="n">
        <v>208</v>
      </c>
      <c r="J722" s="2" t="n">
        <v>230</v>
      </c>
      <c r="L722" s="3" t="n"/>
      <c r="M722" s="3" t="n"/>
      <c r="N722" s="3" t="n"/>
      <c r="O722" s="3" t="n"/>
      <c r="P722" s="3">
        <f>IF(L722&lt;&gt;"",L722/1.4,"")</f>
        <v/>
      </c>
      <c r="Q722" s="3">
        <f>IF(L722&lt;&gt;"",L722/1.56,"")</f>
        <v/>
      </c>
      <c r="R722" s="3">
        <f>IF(M722&lt;&gt;"",M722/1.4,"")</f>
        <v/>
      </c>
      <c r="S722" s="3">
        <f>IF(M722&lt;&gt;"",M722/1.56,"")</f>
        <v/>
      </c>
      <c r="T722" s="3">
        <f>IF(N722&lt;&gt;"",N722,IF(O722&lt;&gt;"",O722,IF(L722&lt;&gt;"",L722/1.56,IF(M722&lt;&gt;"",M722/1.56,""))))</f>
        <v/>
      </c>
      <c r="U722" s="3" t="n">
        <v>308</v>
      </c>
      <c r="V722" s="3" t="n"/>
      <c r="W722" s="3" t="n"/>
      <c r="X722" s="4" t="n"/>
      <c r="Y722" s="5" t="n">
        <v>0.179</v>
      </c>
      <c r="Z722" s="4">
        <f>IF(L722&lt;&gt;"",SQRT(3)*G722*L722/1000,"")</f>
        <v/>
      </c>
      <c r="AA722" t="inlineStr">
        <is>
          <t>Source=Copeland 2D/3D/4D/4R/6D/8D/9R compressors (pdf) p27</t>
        </is>
      </c>
      <c r="AB722" t="inlineStr">
        <is>
          <t>Copeland_RLA_230_460_3ph_60Hz.xlsx</t>
        </is>
      </c>
      <c r="AC722" t="inlineStr">
        <is>
          <t>Recip_2D-9R</t>
        </is>
      </c>
    </row>
    <row r="723">
      <c r="A723" t="inlineStr">
        <is>
          <t>COPELAND</t>
        </is>
      </c>
      <c r="B723" t="inlineStr">
        <is>
          <t>4DK3S16ML-TSK</t>
        </is>
      </c>
      <c r="D723" t="inlineStr">
        <is>
          <t>Reciprocating Semi-hermetic</t>
        </is>
      </c>
      <c r="E723" s="2" t="n">
        <v>3</v>
      </c>
      <c r="F723" s="2" t="n">
        <v>60</v>
      </c>
      <c r="G723" s="2" t="n">
        <v>460</v>
      </c>
      <c r="H723" t="inlineStr">
        <is>
          <t>460</t>
        </is>
      </c>
      <c r="I723" s="2" t="n">
        <v>460</v>
      </c>
      <c r="J723" s="2" t="n">
        <v>460</v>
      </c>
      <c r="L723" s="3" t="n"/>
      <c r="M723" s="3" t="n"/>
      <c r="N723" s="3" t="n"/>
      <c r="O723" s="3" t="n"/>
      <c r="P723" s="3">
        <f>IF(L723&lt;&gt;"",L723/1.4,"")</f>
        <v/>
      </c>
      <c r="Q723" s="3">
        <f>IF(L723&lt;&gt;"",L723/1.56,"")</f>
        <v/>
      </c>
      <c r="R723" s="3">
        <f>IF(M723&lt;&gt;"",M723/1.4,"")</f>
        <v/>
      </c>
      <c r="S723" s="3">
        <f>IF(M723&lt;&gt;"",M723/1.56,"")</f>
        <v/>
      </c>
      <c r="T723" s="3">
        <f>IF(N723&lt;&gt;"",N723,IF(O723&lt;&gt;"",O723,IF(L723&lt;&gt;"",L723/1.56,IF(M723&lt;&gt;"",M723/1.56,""))))</f>
        <v/>
      </c>
      <c r="U723" s="3" t="n">
        <v>154</v>
      </c>
      <c r="V723" s="3" t="n"/>
      <c r="W723" s="3" t="n"/>
      <c r="X723" s="4" t="n"/>
      <c r="Y723" s="5" t="n">
        <v>0.716</v>
      </c>
      <c r="Z723" s="4">
        <f>IF(L723&lt;&gt;"",SQRT(3)*G723*L723/1000,"")</f>
        <v/>
      </c>
      <c r="AA723" t="inlineStr">
        <is>
          <t>Source=Copeland 2D/3D/4D/4R/6D/8D/9R compressors (pdf) p27</t>
        </is>
      </c>
      <c r="AB723" t="inlineStr">
        <is>
          <t>Copeland_RLA_230_460_3ph_60Hz.xlsx</t>
        </is>
      </c>
      <c r="AC723" t="inlineStr">
        <is>
          <t>Recip_2D-9R</t>
        </is>
      </c>
    </row>
    <row r="724">
      <c r="A724" t="inlineStr">
        <is>
          <t>COPELAND</t>
        </is>
      </c>
      <c r="B724" t="inlineStr">
        <is>
          <t>4DK6-2500-FSD</t>
        </is>
      </c>
      <c r="D724" t="inlineStr">
        <is>
          <t>Reciprocating Semi-hermetic</t>
        </is>
      </c>
      <c r="E724" s="2" t="n">
        <v>3</v>
      </c>
      <c r="F724" s="2" t="n">
        <v>60</v>
      </c>
      <c r="G724" s="2" t="n">
        <v>460</v>
      </c>
      <c r="H724" t="inlineStr">
        <is>
          <t>460</t>
        </is>
      </c>
      <c r="I724" s="2" t="n">
        <v>460</v>
      </c>
      <c r="J724" s="2" t="n">
        <v>460</v>
      </c>
      <c r="L724" s="3" t="n"/>
      <c r="M724" s="3" t="n"/>
      <c r="N724" s="3" t="n">
        <v>46.4</v>
      </c>
      <c r="O724" s="3" t="n"/>
      <c r="P724" s="3">
        <f>IF(L724&lt;&gt;"",L724/1.4,"")</f>
        <v/>
      </c>
      <c r="Q724" s="3">
        <f>IF(L724&lt;&gt;"",L724/1.56,"")</f>
        <v/>
      </c>
      <c r="R724" s="3">
        <f>IF(M724&lt;&gt;"",M724/1.4,"")</f>
        <v/>
      </c>
      <c r="S724" s="3">
        <f>IF(M724&lt;&gt;"",M724/1.56,"")</f>
        <v/>
      </c>
      <c r="T724" s="3">
        <f>IF(N724&lt;&gt;"",N724,IF(O724&lt;&gt;"",O724,IF(L724&lt;&gt;"",L724/1.56,IF(M724&lt;&gt;"",M724/1.56,""))))</f>
        <v/>
      </c>
      <c r="U724" s="3" t="n">
        <v>195</v>
      </c>
      <c r="V724" s="3" t="n">
        <v>117</v>
      </c>
      <c r="W724" s="3" t="n"/>
      <c r="X724" s="4" t="n"/>
      <c r="Y724" s="5" t="n">
        <v>0.575</v>
      </c>
      <c r="Z724" s="4">
        <f>IF(L724&lt;&gt;"",SQRT(3)*G724*L724/1000,"")</f>
        <v/>
      </c>
      <c r="AA724" t="inlineStr">
        <is>
          <t>Source=Copeland 2D/3D/4D/4R/6D/8D/9R compressors (pdf) p27; PWS_RLA=23.2</t>
        </is>
      </c>
      <c r="AB724" t="inlineStr">
        <is>
          <t>Copeland_RLA_230_460_3ph_60Hz.xlsx</t>
        </is>
      </c>
      <c r="AC724" t="inlineStr">
        <is>
          <t>Recip_2D-9R</t>
        </is>
      </c>
    </row>
    <row r="725">
      <c r="A725" t="inlineStr">
        <is>
          <t>COPELAND</t>
        </is>
      </c>
      <c r="B725" t="inlineStr">
        <is>
          <t>4DK6A2500-FSD</t>
        </is>
      </c>
      <c r="D725" t="inlineStr">
        <is>
          <t>Reciprocating Semi-hermetic</t>
        </is>
      </c>
      <c r="E725" s="2" t="n">
        <v>3</v>
      </c>
      <c r="F725" s="2" t="n">
        <v>60</v>
      </c>
      <c r="G725" s="2" t="n">
        <v>460</v>
      </c>
      <c r="H725" t="inlineStr">
        <is>
          <t>460</t>
        </is>
      </c>
      <c r="I725" s="2" t="n">
        <v>460</v>
      </c>
      <c r="J725" s="2" t="n">
        <v>460</v>
      </c>
      <c r="L725" s="3" t="n"/>
      <c r="M725" s="3" t="n"/>
      <c r="N725" s="3" t="n">
        <v>46.4</v>
      </c>
      <c r="O725" s="3" t="n"/>
      <c r="P725" s="3">
        <f>IF(L725&lt;&gt;"",L725/1.4,"")</f>
        <v/>
      </c>
      <c r="Q725" s="3">
        <f>IF(L725&lt;&gt;"",L725/1.56,"")</f>
        <v/>
      </c>
      <c r="R725" s="3">
        <f>IF(M725&lt;&gt;"",M725/1.4,"")</f>
        <v/>
      </c>
      <c r="S725" s="3">
        <f>IF(M725&lt;&gt;"",M725/1.56,"")</f>
        <v/>
      </c>
      <c r="T725" s="3">
        <f>IF(N725&lt;&gt;"",N725,IF(O725&lt;&gt;"",O725,IF(L725&lt;&gt;"",L725/1.56,IF(M725&lt;&gt;"",M725/1.56,""))))</f>
        <v/>
      </c>
      <c r="U725" s="3" t="n">
        <v>195</v>
      </c>
      <c r="V725" s="3" t="n">
        <v>117</v>
      </c>
      <c r="W725" s="3" t="n"/>
      <c r="X725" s="4" t="n"/>
      <c r="Y725" s="5" t="n">
        <v>0.575</v>
      </c>
      <c r="Z725" s="4">
        <f>IF(L725&lt;&gt;"",SQRT(3)*G725*L725/1000,"")</f>
        <v/>
      </c>
      <c r="AA725" t="inlineStr">
        <is>
          <t>Source=Copeland 2D/3D/4D/4R/6D/8D/9R compressors (pdf) p27; PWS_RLA=23.2</t>
        </is>
      </c>
      <c r="AB725" t="inlineStr">
        <is>
          <t>Copeland_RLA_230_460_3ph_60Hz.xlsx</t>
        </is>
      </c>
      <c r="AC725" t="inlineStr">
        <is>
          <t>Recip_2D-9R</t>
        </is>
      </c>
    </row>
    <row r="726">
      <c r="A726" t="inlineStr">
        <is>
          <t>COPELAND</t>
        </is>
      </c>
      <c r="B726" t="inlineStr">
        <is>
          <t>4DKG-2500-FSD</t>
        </is>
      </c>
      <c r="D726" t="inlineStr">
        <is>
          <t>Reciprocating Semi-hermetic</t>
        </is>
      </c>
      <c r="E726" s="2" t="n">
        <v>3</v>
      </c>
      <c r="F726" s="2" t="n">
        <v>60</v>
      </c>
      <c r="G726" s="2" t="n">
        <v>460</v>
      </c>
      <c r="H726" t="inlineStr">
        <is>
          <t>460</t>
        </is>
      </c>
      <c r="I726" s="2" t="n">
        <v>460</v>
      </c>
      <c r="J726" s="2" t="n">
        <v>460</v>
      </c>
      <c r="L726" s="3" t="n"/>
      <c r="M726" s="3" t="n"/>
      <c r="N726" s="3" t="n">
        <v>40.6</v>
      </c>
      <c r="O726" s="3" t="n"/>
      <c r="P726" s="3">
        <f>IF(L726&lt;&gt;"",L726/1.4,"")</f>
        <v/>
      </c>
      <c r="Q726" s="3">
        <f>IF(L726&lt;&gt;"",L726/1.56,"")</f>
        <v/>
      </c>
      <c r="R726" s="3">
        <f>IF(M726&lt;&gt;"",M726/1.4,"")</f>
        <v/>
      </c>
      <c r="S726" s="3">
        <f>IF(M726&lt;&gt;"",M726/1.56,"")</f>
        <v/>
      </c>
      <c r="T726" s="3">
        <f>IF(N726&lt;&gt;"",N726,IF(O726&lt;&gt;"",O726,IF(L726&lt;&gt;"",L726/1.56,IF(M726&lt;&gt;"",M726/1.56,""))))</f>
        <v/>
      </c>
      <c r="U726" s="3" t="n">
        <v>206</v>
      </c>
      <c r="V726" s="3" t="n">
        <v>132</v>
      </c>
      <c r="W726" s="3" t="n"/>
      <c r="X726" s="4" t="n"/>
      <c r="Y726" s="5" t="n">
        <v>0.524</v>
      </c>
      <c r="Z726" s="4">
        <f>IF(L726&lt;&gt;"",SQRT(3)*G726*L726/1000,"")</f>
        <v/>
      </c>
      <c r="AA726" t="inlineStr">
        <is>
          <t>Source=Copeland 2D/3D/4D/4R/6D/8D/9R compressors (pdf) p27; PWS_RLA=20.3</t>
        </is>
      </c>
      <c r="AB726" t="inlineStr">
        <is>
          <t>Copeland_RLA_230_460_3ph_60Hz.xlsx</t>
        </is>
      </c>
      <c r="AC726" t="inlineStr">
        <is>
          <t>Recip_2D-9R</t>
        </is>
      </c>
    </row>
    <row r="727">
      <c r="A727" t="inlineStr">
        <is>
          <t>COPELAND</t>
        </is>
      </c>
      <c r="B727" t="inlineStr">
        <is>
          <t>4DKG-2500-TSK</t>
        </is>
      </c>
      <c r="D727" t="inlineStr">
        <is>
          <t>Reciprocating Semi-hermetic</t>
        </is>
      </c>
      <c r="E727" s="2" t="n">
        <v>3</v>
      </c>
      <c r="F727" s="2" t="n">
        <v>60</v>
      </c>
      <c r="G727" s="2" t="n">
        <v>230</v>
      </c>
      <c r="H727" t="inlineStr">
        <is>
          <t>208/230</t>
        </is>
      </c>
      <c r="I727" s="2" t="n">
        <v>208</v>
      </c>
      <c r="J727" s="2" t="n">
        <v>230</v>
      </c>
      <c r="L727" s="3" t="n"/>
      <c r="M727" s="3" t="n"/>
      <c r="N727" s="3" t="n">
        <v>82.09999999999999</v>
      </c>
      <c r="O727" s="3" t="n"/>
      <c r="P727" s="3">
        <f>IF(L727&lt;&gt;"",L727/1.4,"")</f>
        <v/>
      </c>
      <c r="Q727" s="3">
        <f>IF(L727&lt;&gt;"",L727/1.56,"")</f>
        <v/>
      </c>
      <c r="R727" s="3">
        <f>IF(M727&lt;&gt;"",M727/1.4,"")</f>
        <v/>
      </c>
      <c r="S727" s="3">
        <f>IF(M727&lt;&gt;"",M727/1.56,"")</f>
        <v/>
      </c>
      <c r="T727" s="3">
        <f>IF(N727&lt;&gt;"",N727,IF(O727&lt;&gt;"",O727,IF(L727&lt;&gt;"",L727/1.56,IF(M727&lt;&gt;"",M727/1.56,""))))</f>
        <v/>
      </c>
      <c r="U727" s="3" t="n">
        <v>428</v>
      </c>
      <c r="V727" s="3" t="n">
        <v>250</v>
      </c>
      <c r="W727" s="3" t="n"/>
      <c r="X727" s="4" t="n"/>
      <c r="Y727" s="5" t="n">
        <v>0.132</v>
      </c>
      <c r="Z727" s="4">
        <f>IF(L727&lt;&gt;"",SQRT(3)*G727*L727/1000,"")</f>
        <v/>
      </c>
      <c r="AA727" t="inlineStr">
        <is>
          <t>Source=Copeland 2D/3D/4D/4R/6D/8D/9R compressors (pdf) p27; PWS_RLA=41.1</t>
        </is>
      </c>
      <c r="AB727" t="inlineStr">
        <is>
          <t>Copeland_RLA_230_460_3ph_60Hz.xlsx</t>
        </is>
      </c>
      <c r="AC727" t="inlineStr">
        <is>
          <t>Recip_2D-9R</t>
        </is>
      </c>
    </row>
    <row r="728">
      <c r="A728" t="inlineStr">
        <is>
          <t>COPELAND</t>
        </is>
      </c>
      <c r="B728" t="inlineStr">
        <is>
          <t>4DKG-2500-TSK</t>
        </is>
      </c>
      <c r="D728" t="inlineStr">
        <is>
          <t>Reciprocating Semi-hermetic</t>
        </is>
      </c>
      <c r="E728" s="2" t="n">
        <v>3</v>
      </c>
      <c r="F728" s="2" t="n">
        <v>60</v>
      </c>
      <c r="G728" s="2" t="n">
        <v>460</v>
      </c>
      <c r="H728" t="inlineStr">
        <is>
          <t>460</t>
        </is>
      </c>
      <c r="I728" s="2" t="n">
        <v>460</v>
      </c>
      <c r="J728" s="2" t="n">
        <v>460</v>
      </c>
      <c r="L728" s="3" t="n"/>
      <c r="M728" s="3" t="n"/>
      <c r="N728" s="3" t="n">
        <v>41.1</v>
      </c>
      <c r="O728" s="3" t="n"/>
      <c r="P728" s="3">
        <f>IF(L728&lt;&gt;"",L728/1.4,"")</f>
        <v/>
      </c>
      <c r="Q728" s="3">
        <f>IF(L728&lt;&gt;"",L728/1.56,"")</f>
        <v/>
      </c>
      <c r="R728" s="3">
        <f>IF(M728&lt;&gt;"",M728/1.4,"")</f>
        <v/>
      </c>
      <c r="S728" s="3">
        <f>IF(M728&lt;&gt;"",M728/1.56,"")</f>
        <v/>
      </c>
      <c r="T728" s="3">
        <f>IF(N728&lt;&gt;"",N728,IF(O728&lt;&gt;"",O728,IF(L728&lt;&gt;"",L728/1.56,IF(M728&lt;&gt;"",M728/1.56,""))))</f>
        <v/>
      </c>
      <c r="U728" s="3" t="n">
        <v>214</v>
      </c>
      <c r="V728" s="3" t="n"/>
      <c r="W728" s="3" t="n"/>
      <c r="X728" s="4" t="n"/>
      <c r="Y728" s="5" t="n">
        <v>0.528</v>
      </c>
      <c r="Z728" s="4">
        <f>IF(L728&lt;&gt;"",SQRT(3)*G728*L728/1000,"")</f>
        <v/>
      </c>
      <c r="AA728" t="inlineStr">
        <is>
          <t>Source=Copeland 2D/3D/4D/4R/6D/8D/9R compressors (pdf) p28</t>
        </is>
      </c>
      <c r="AB728" t="inlineStr">
        <is>
          <t>Copeland_RLA_230_460_3ph_60Hz.xlsx</t>
        </is>
      </c>
      <c r="AC728" t="inlineStr">
        <is>
          <t>Recip_2D-9R</t>
        </is>
      </c>
    </row>
    <row r="729">
      <c r="A729" t="inlineStr">
        <is>
          <t>COPELAND</t>
        </is>
      </c>
      <c r="B729" t="inlineStr">
        <is>
          <t>4DKG-250E-FSD</t>
        </is>
      </c>
      <c r="D729" t="inlineStr">
        <is>
          <t>Reciprocating Semi-hermetic</t>
        </is>
      </c>
      <c r="E729" s="2" t="n">
        <v>3</v>
      </c>
      <c r="F729" s="2" t="n">
        <v>60</v>
      </c>
      <c r="G729" s="2" t="n">
        <v>460</v>
      </c>
      <c r="H729" t="inlineStr">
        <is>
          <t>460</t>
        </is>
      </c>
      <c r="I729" s="2" t="n">
        <v>460</v>
      </c>
      <c r="J729" s="2" t="n">
        <v>460</v>
      </c>
      <c r="L729" s="3" t="n"/>
      <c r="M729" s="3" t="n"/>
      <c r="N729" s="3" t="n">
        <v>40.6</v>
      </c>
      <c r="O729" s="3" t="n"/>
      <c r="P729" s="3">
        <f>IF(L729&lt;&gt;"",L729/1.4,"")</f>
        <v/>
      </c>
      <c r="Q729" s="3">
        <f>IF(L729&lt;&gt;"",L729/1.56,"")</f>
        <v/>
      </c>
      <c r="R729" s="3">
        <f>IF(M729&lt;&gt;"",M729/1.4,"")</f>
        <v/>
      </c>
      <c r="S729" s="3">
        <f>IF(M729&lt;&gt;"",M729/1.56,"")</f>
        <v/>
      </c>
      <c r="T729" s="3">
        <f>IF(N729&lt;&gt;"",N729,IF(O729&lt;&gt;"",O729,IF(L729&lt;&gt;"",L729/1.56,IF(M729&lt;&gt;"",M729/1.56,""))))</f>
        <v/>
      </c>
      <c r="U729" s="3" t="n">
        <v>206</v>
      </c>
      <c r="V729" s="3" t="n">
        <v>132</v>
      </c>
      <c r="W729" s="3" t="n"/>
      <c r="X729" s="4" t="n"/>
      <c r="Y729" s="5" t="n">
        <v>0.524</v>
      </c>
      <c r="Z729" s="4">
        <f>IF(L729&lt;&gt;"",SQRT(3)*G729*L729/1000,"")</f>
        <v/>
      </c>
      <c r="AA729" t="inlineStr">
        <is>
          <t>Source=Copeland 2D/3D/4D/4R/6D/8D/9R compressors (pdf) p28; PWS_RLA=20.3</t>
        </is>
      </c>
      <c r="AB729" t="inlineStr">
        <is>
          <t>Copeland_RLA_230_460_3ph_60Hz.xlsx</t>
        </is>
      </c>
      <c r="AC729" t="inlineStr">
        <is>
          <t>Recip_2D-9R</t>
        </is>
      </c>
    </row>
    <row r="730">
      <c r="A730" t="inlineStr">
        <is>
          <t>COPELAND</t>
        </is>
      </c>
      <c r="B730" t="inlineStr">
        <is>
          <t>4DKG-250L-FSD</t>
        </is>
      </c>
      <c r="D730" t="inlineStr">
        <is>
          <t>Reciprocating Semi-hermetic</t>
        </is>
      </c>
      <c r="E730" s="2" t="n">
        <v>3</v>
      </c>
      <c r="F730" s="2" t="n">
        <v>60</v>
      </c>
      <c r="G730" s="2" t="n">
        <v>460</v>
      </c>
      <c r="H730" t="inlineStr">
        <is>
          <t>460</t>
        </is>
      </c>
      <c r="I730" s="2" t="n">
        <v>460</v>
      </c>
      <c r="J730" s="2" t="n">
        <v>460</v>
      </c>
      <c r="L730" s="3" t="n"/>
      <c r="M730" s="3" t="n"/>
      <c r="N730" s="3" t="n">
        <v>40.6</v>
      </c>
      <c r="O730" s="3" t="n"/>
      <c r="P730" s="3">
        <f>IF(L730&lt;&gt;"",L730/1.4,"")</f>
        <v/>
      </c>
      <c r="Q730" s="3">
        <f>IF(L730&lt;&gt;"",L730/1.56,"")</f>
        <v/>
      </c>
      <c r="R730" s="3">
        <f>IF(M730&lt;&gt;"",M730/1.4,"")</f>
        <v/>
      </c>
      <c r="S730" s="3">
        <f>IF(M730&lt;&gt;"",M730/1.56,"")</f>
        <v/>
      </c>
      <c r="T730" s="3">
        <f>IF(N730&lt;&gt;"",N730,IF(O730&lt;&gt;"",O730,IF(L730&lt;&gt;"",L730/1.56,IF(M730&lt;&gt;"",M730/1.56,""))))</f>
        <v/>
      </c>
      <c r="U730" s="3" t="n">
        <v>206</v>
      </c>
      <c r="V730" s="3" t="n">
        <v>132</v>
      </c>
      <c r="W730" s="3" t="n"/>
      <c r="X730" s="4" t="n"/>
      <c r="Y730" s="5" t="n">
        <v>0.524</v>
      </c>
      <c r="Z730" s="4">
        <f>IF(L730&lt;&gt;"",SQRT(3)*G730*L730/1000,"")</f>
        <v/>
      </c>
      <c r="AA730" t="inlineStr">
        <is>
          <t>Source=Copeland 2D/3D/4D/4R/6D/8D/9R compressors (pdf) p28; PWS_RLA=20.3</t>
        </is>
      </c>
      <c r="AB730" t="inlineStr">
        <is>
          <t>Copeland_RLA_230_460_3ph_60Hz.xlsx</t>
        </is>
      </c>
      <c r="AC730" t="inlineStr">
        <is>
          <t>Recip_2D-9R</t>
        </is>
      </c>
    </row>
    <row r="731">
      <c r="A731" t="inlineStr">
        <is>
          <t>COPELAND</t>
        </is>
      </c>
      <c r="B731" t="inlineStr">
        <is>
          <t>4DL1A1500-FSD</t>
        </is>
      </c>
      <c r="D731" t="inlineStr">
        <is>
          <t>Reciprocating Semi-hermetic</t>
        </is>
      </c>
      <c r="E731" s="2" t="n">
        <v>3</v>
      </c>
      <c r="F731" s="2" t="n">
        <v>60</v>
      </c>
      <c r="G731" s="2" t="n">
        <v>460</v>
      </c>
      <c r="H731" t="inlineStr">
        <is>
          <t>460</t>
        </is>
      </c>
      <c r="I731" s="2" t="n">
        <v>460</v>
      </c>
      <c r="J731" s="2" t="n">
        <v>460</v>
      </c>
      <c r="L731" s="3" t="n"/>
      <c r="M731" s="3" t="n"/>
      <c r="N731" s="3" t="n">
        <v>28.6</v>
      </c>
      <c r="O731" s="3" t="n"/>
      <c r="P731" s="3">
        <f>IF(L731&lt;&gt;"",L731/1.4,"")</f>
        <v/>
      </c>
      <c r="Q731" s="3">
        <f>IF(L731&lt;&gt;"",L731/1.56,"")</f>
        <v/>
      </c>
      <c r="R731" s="3">
        <f>IF(M731&lt;&gt;"",M731/1.4,"")</f>
        <v/>
      </c>
      <c r="S731" s="3">
        <f>IF(M731&lt;&gt;"",M731/1.56,"")</f>
        <v/>
      </c>
      <c r="T731" s="3">
        <f>IF(N731&lt;&gt;"",N731,IF(O731&lt;&gt;"",O731,IF(L731&lt;&gt;"",L731/1.56,IF(M731&lt;&gt;"",M731/1.56,""))))</f>
        <v/>
      </c>
      <c r="U731" s="3" t="n">
        <v>136</v>
      </c>
      <c r="V731" s="3" t="n">
        <v>81.59999999999999</v>
      </c>
      <c r="W731" s="3" t="n"/>
      <c r="X731" s="4" t="n"/>
      <c r="Y731" s="5" t="n">
        <v>0.84</v>
      </c>
      <c r="Z731" s="4">
        <f>IF(L731&lt;&gt;"",SQRT(3)*G731*L731/1000,"")</f>
        <v/>
      </c>
      <c r="AA731" t="inlineStr">
        <is>
          <t>Source=Copeland 2D/3D/4D/4R/6D/8D/9R compressors (pdf) p28; PWS_RLA=14.3</t>
        </is>
      </c>
      <c r="AB731" t="inlineStr">
        <is>
          <t>Copeland_RLA_230_460_3ph_60Hz.xlsx</t>
        </is>
      </c>
      <c r="AC731" t="inlineStr">
        <is>
          <t>Recip_2D-9R</t>
        </is>
      </c>
    </row>
    <row r="732">
      <c r="A732" t="inlineStr">
        <is>
          <t>COPELAND</t>
        </is>
      </c>
      <c r="B732" t="inlineStr">
        <is>
          <t>4DL1A1500-TSK</t>
        </is>
      </c>
      <c r="D732" t="inlineStr">
        <is>
          <t>Reciprocating Semi-hermetic</t>
        </is>
      </c>
      <c r="E732" s="2" t="n">
        <v>3</v>
      </c>
      <c r="F732" s="2" t="n">
        <v>60</v>
      </c>
      <c r="G732" s="2" t="n">
        <v>230</v>
      </c>
      <c r="H732" t="inlineStr">
        <is>
          <t>208/230</t>
        </is>
      </c>
      <c r="I732" s="2" t="n">
        <v>208</v>
      </c>
      <c r="J732" s="2" t="n">
        <v>230</v>
      </c>
      <c r="L732" s="3" t="n"/>
      <c r="M732" s="3" t="n"/>
      <c r="N732" s="3" t="n">
        <v>60</v>
      </c>
      <c r="O732" s="3" t="n"/>
      <c r="P732" s="3">
        <f>IF(L732&lt;&gt;"",L732/1.4,"")</f>
        <v/>
      </c>
      <c r="Q732" s="3">
        <f>IF(L732&lt;&gt;"",L732/1.56,"")</f>
        <v/>
      </c>
      <c r="R732" s="3">
        <f>IF(M732&lt;&gt;"",M732/1.4,"")</f>
        <v/>
      </c>
      <c r="S732" s="3">
        <f>IF(M732&lt;&gt;"",M732/1.56,"")</f>
        <v/>
      </c>
      <c r="T732" s="3">
        <f>IF(N732&lt;&gt;"",N732,IF(O732&lt;&gt;"",O732,IF(L732&lt;&gt;"",L732/1.56,IF(M732&lt;&gt;"",M732/1.56,""))))</f>
        <v/>
      </c>
      <c r="U732" s="3" t="n">
        <v>278</v>
      </c>
      <c r="V732" s="3" t="n">
        <v>170</v>
      </c>
      <c r="W732" s="3" t="n"/>
      <c r="X732" s="4" t="n"/>
      <c r="Y732" s="5" t="n">
        <v>0.208</v>
      </c>
      <c r="Z732" s="4">
        <f>IF(L732&lt;&gt;"",SQRT(3)*G732*L732/1000,"")</f>
        <v/>
      </c>
      <c r="AA732" t="inlineStr">
        <is>
          <t>Source=Copeland 2D/3D/4D/4R/6D/8D/9R compressors (pdf) p28; PWS_RLA=30.0</t>
        </is>
      </c>
      <c r="AB732" t="inlineStr">
        <is>
          <t>Copeland_RLA_230_460_3ph_60Hz.xlsx</t>
        </is>
      </c>
      <c r="AC732" t="inlineStr">
        <is>
          <t>Recip_2D-9R</t>
        </is>
      </c>
    </row>
    <row r="733">
      <c r="A733" t="inlineStr">
        <is>
          <t>COPELAND</t>
        </is>
      </c>
      <c r="B733" t="inlineStr">
        <is>
          <t>4DL1A1500-TSK</t>
        </is>
      </c>
      <c r="D733" t="inlineStr">
        <is>
          <t>Reciprocating Semi-hermetic</t>
        </is>
      </c>
      <c r="E733" s="2" t="n">
        <v>3</v>
      </c>
      <c r="F733" s="2" t="n">
        <v>60</v>
      </c>
      <c r="G733" s="2" t="n">
        <v>460</v>
      </c>
      <c r="H733" t="inlineStr">
        <is>
          <t>460</t>
        </is>
      </c>
      <c r="I733" s="2" t="n">
        <v>460</v>
      </c>
      <c r="J733" s="2" t="n">
        <v>460</v>
      </c>
      <c r="L733" s="3" t="n"/>
      <c r="M733" s="3" t="n"/>
      <c r="N733" s="3" t="n">
        <v>30</v>
      </c>
      <c r="O733" s="3" t="n"/>
      <c r="P733" s="3">
        <f>IF(L733&lt;&gt;"",L733/1.4,"")</f>
        <v/>
      </c>
      <c r="Q733" s="3">
        <f>IF(L733&lt;&gt;"",L733/1.56,"")</f>
        <v/>
      </c>
      <c r="R733" s="3">
        <f>IF(M733&lt;&gt;"",M733/1.4,"")</f>
        <v/>
      </c>
      <c r="S733" s="3">
        <f>IF(M733&lt;&gt;"",M733/1.56,"")</f>
        <v/>
      </c>
      <c r="T733" s="3">
        <f>IF(N733&lt;&gt;"",N733,IF(O733&lt;&gt;"",O733,IF(L733&lt;&gt;"",L733/1.56,IF(M733&lt;&gt;"",M733/1.56,""))))</f>
        <v/>
      </c>
      <c r="U733" s="3" t="n">
        <v>139</v>
      </c>
      <c r="V733" s="3" t="n"/>
      <c r="W733" s="3" t="n"/>
      <c r="X733" s="4" t="n"/>
      <c r="Y733" s="5" t="n">
        <v>0.832</v>
      </c>
      <c r="Z733" s="4">
        <f>IF(L733&lt;&gt;"",SQRT(3)*G733*L733/1000,"")</f>
        <v/>
      </c>
      <c r="AA733" t="inlineStr">
        <is>
          <t>Source=Copeland 2D/3D/4D/4R/6D/8D/9R compressors (pdf) p28</t>
        </is>
      </c>
      <c r="AB733" t="inlineStr">
        <is>
          <t>Copeland_RLA_230_460_3ph_60Hz.xlsx</t>
        </is>
      </c>
      <c r="AC733" t="inlineStr">
        <is>
          <t>Recip_2D-9R</t>
        </is>
      </c>
    </row>
    <row r="734">
      <c r="A734" t="inlineStr">
        <is>
          <t>COPELAND</t>
        </is>
      </c>
      <c r="B734" t="inlineStr">
        <is>
          <t>4DL1F63K0-FSD</t>
        </is>
      </c>
      <c r="D734" t="inlineStr">
        <is>
          <t>Reciprocating Semi-hermetic</t>
        </is>
      </c>
      <c r="E734" s="2" t="n">
        <v>3</v>
      </c>
      <c r="F734" s="2" t="n">
        <v>60</v>
      </c>
      <c r="G734" s="2" t="n">
        <v>460</v>
      </c>
      <c r="H734" t="inlineStr">
        <is>
          <t>460</t>
        </is>
      </c>
      <c r="I734" s="2" t="n">
        <v>460</v>
      </c>
      <c r="J734" s="2" t="n">
        <v>460</v>
      </c>
      <c r="L734" s="3" t="n"/>
      <c r="M734" s="3" t="n"/>
      <c r="N734" s="3" t="n">
        <v>28.6</v>
      </c>
      <c r="O734" s="3" t="n"/>
      <c r="P734" s="3">
        <f>IF(L734&lt;&gt;"",L734/1.4,"")</f>
        <v/>
      </c>
      <c r="Q734" s="3">
        <f>IF(L734&lt;&gt;"",L734/1.56,"")</f>
        <v/>
      </c>
      <c r="R734" s="3">
        <f>IF(M734&lt;&gt;"",M734/1.4,"")</f>
        <v/>
      </c>
      <c r="S734" s="3">
        <f>IF(M734&lt;&gt;"",M734/1.56,"")</f>
        <v/>
      </c>
      <c r="T734" s="3">
        <f>IF(N734&lt;&gt;"",N734,IF(O734&lt;&gt;"",O734,IF(L734&lt;&gt;"",L734/1.56,IF(M734&lt;&gt;"",M734/1.56,""))))</f>
        <v/>
      </c>
      <c r="U734" s="3" t="n">
        <v>136</v>
      </c>
      <c r="V734" s="3" t="n">
        <v>81.59999999999999</v>
      </c>
      <c r="W734" s="3" t="n"/>
      <c r="X734" s="4" t="n"/>
      <c r="Y734" s="5" t="n">
        <v>0.84</v>
      </c>
      <c r="Z734" s="4">
        <f>IF(L734&lt;&gt;"",SQRT(3)*G734*L734/1000,"")</f>
        <v/>
      </c>
      <c r="AA734" t="inlineStr">
        <is>
          <t>Source=Copeland 2D/3D/4D/4R/6D/8D/9R compressors (pdf) p28; PWS_RLA=14.3</t>
        </is>
      </c>
      <c r="AB734" t="inlineStr">
        <is>
          <t>Copeland_RLA_230_460_3ph_60Hz.xlsx</t>
        </is>
      </c>
      <c r="AC734" t="inlineStr">
        <is>
          <t>Recip_2D-9R</t>
        </is>
      </c>
    </row>
    <row r="735">
      <c r="A735" t="inlineStr">
        <is>
          <t>COPELAND</t>
        </is>
      </c>
      <c r="B735" t="inlineStr">
        <is>
          <t>4DL1F63K0-TSK</t>
        </is>
      </c>
      <c r="D735" t="inlineStr">
        <is>
          <t>Reciprocating Semi-hermetic</t>
        </is>
      </c>
      <c r="E735" s="2" t="n">
        <v>3</v>
      </c>
      <c r="F735" s="2" t="n">
        <v>60</v>
      </c>
      <c r="G735" s="2" t="n">
        <v>230</v>
      </c>
      <c r="H735" t="inlineStr">
        <is>
          <t>208/230</t>
        </is>
      </c>
      <c r="I735" s="2" t="n">
        <v>208</v>
      </c>
      <c r="J735" s="2" t="n">
        <v>230</v>
      </c>
      <c r="L735" s="3" t="n"/>
      <c r="M735" s="3" t="n"/>
      <c r="N735" s="3" t="n">
        <v>60</v>
      </c>
      <c r="O735" s="3" t="n"/>
      <c r="P735" s="3">
        <f>IF(L735&lt;&gt;"",L735/1.4,"")</f>
        <v/>
      </c>
      <c r="Q735" s="3">
        <f>IF(L735&lt;&gt;"",L735/1.56,"")</f>
        <v/>
      </c>
      <c r="R735" s="3">
        <f>IF(M735&lt;&gt;"",M735/1.4,"")</f>
        <v/>
      </c>
      <c r="S735" s="3">
        <f>IF(M735&lt;&gt;"",M735/1.56,"")</f>
        <v/>
      </c>
      <c r="T735" s="3">
        <f>IF(N735&lt;&gt;"",N735,IF(O735&lt;&gt;"",O735,IF(L735&lt;&gt;"",L735/1.56,IF(M735&lt;&gt;"",M735/1.56,""))))</f>
        <v/>
      </c>
      <c r="U735" s="3" t="n">
        <v>278</v>
      </c>
      <c r="V735" s="3" t="n">
        <v>170</v>
      </c>
      <c r="W735" s="3" t="n"/>
      <c r="X735" s="4" t="n"/>
      <c r="Y735" s="5" t="n">
        <v>0.208</v>
      </c>
      <c r="Z735" s="4">
        <f>IF(L735&lt;&gt;"",SQRT(3)*G735*L735/1000,"")</f>
        <v/>
      </c>
      <c r="AA735" t="inlineStr">
        <is>
          <t>Source=Copeland 2D/3D/4D/4R/6D/8D/9R compressors (pdf) p28; PWS_RLA=30.0</t>
        </is>
      </c>
      <c r="AB735" t="inlineStr">
        <is>
          <t>Copeland_RLA_230_460_3ph_60Hz.xlsx</t>
        </is>
      </c>
      <c r="AC735" t="inlineStr">
        <is>
          <t>Recip_2D-9R</t>
        </is>
      </c>
    </row>
    <row r="736">
      <c r="A736" t="inlineStr">
        <is>
          <t>COPELAND</t>
        </is>
      </c>
      <c r="B736" t="inlineStr">
        <is>
          <t>4DL1F63K0-TSK</t>
        </is>
      </c>
      <c r="D736" t="inlineStr">
        <is>
          <t>Reciprocating Semi-hermetic</t>
        </is>
      </c>
      <c r="E736" s="2" t="n">
        <v>3</v>
      </c>
      <c r="F736" s="2" t="n">
        <v>60</v>
      </c>
      <c r="G736" s="2" t="n">
        <v>460</v>
      </c>
      <c r="H736" t="inlineStr">
        <is>
          <t>460</t>
        </is>
      </c>
      <c r="I736" s="2" t="n">
        <v>460</v>
      </c>
      <c r="J736" s="2" t="n">
        <v>460</v>
      </c>
      <c r="L736" s="3" t="n"/>
      <c r="M736" s="3" t="n"/>
      <c r="N736" s="3" t="n">
        <v>30</v>
      </c>
      <c r="O736" s="3" t="n"/>
      <c r="P736" s="3">
        <f>IF(L736&lt;&gt;"",L736/1.4,"")</f>
        <v/>
      </c>
      <c r="Q736" s="3">
        <f>IF(L736&lt;&gt;"",L736/1.56,"")</f>
        <v/>
      </c>
      <c r="R736" s="3">
        <f>IF(M736&lt;&gt;"",M736/1.4,"")</f>
        <v/>
      </c>
      <c r="S736" s="3">
        <f>IF(M736&lt;&gt;"",M736/1.56,"")</f>
        <v/>
      </c>
      <c r="T736" s="3">
        <f>IF(N736&lt;&gt;"",N736,IF(O736&lt;&gt;"",O736,IF(L736&lt;&gt;"",L736/1.56,IF(M736&lt;&gt;"",M736/1.56,""))))</f>
        <v/>
      </c>
      <c r="U736" s="3" t="n">
        <v>139</v>
      </c>
      <c r="V736" s="3" t="n"/>
      <c r="W736" s="3" t="n"/>
      <c r="X736" s="4" t="n"/>
      <c r="Y736" s="5" t="n">
        <v>0.832</v>
      </c>
      <c r="Z736" s="4">
        <f>IF(L736&lt;&gt;"",SQRT(3)*G736*L736/1000,"")</f>
        <v/>
      </c>
      <c r="AA736" t="inlineStr">
        <is>
          <t>Source=Copeland 2D/3D/4D/4R/6D/8D/9R compressors (pdf) p28</t>
        </is>
      </c>
      <c r="AB736" t="inlineStr">
        <is>
          <t>Copeland_RLA_230_460_3ph_60Hz.xlsx</t>
        </is>
      </c>
      <c r="AC736" t="inlineStr">
        <is>
          <t>Recip_2D-9R</t>
        </is>
      </c>
    </row>
    <row r="737">
      <c r="A737" t="inlineStr">
        <is>
          <t>COPELAND</t>
        </is>
      </c>
      <c r="B737" t="inlineStr">
        <is>
          <t>4DL3-1500-FSD</t>
        </is>
      </c>
      <c r="D737" t="inlineStr">
        <is>
          <t>Reciprocating Semi-hermetic</t>
        </is>
      </c>
      <c r="E737" s="2" t="n">
        <v>3</v>
      </c>
      <c r="F737" s="2" t="n">
        <v>60</v>
      </c>
      <c r="G737" s="2" t="n">
        <v>460</v>
      </c>
      <c r="H737" t="inlineStr">
        <is>
          <t>460</t>
        </is>
      </c>
      <c r="I737" s="2" t="n">
        <v>460</v>
      </c>
      <c r="J737" s="2" t="n">
        <v>460</v>
      </c>
      <c r="L737" s="3" t="n"/>
      <c r="M737" s="3" t="n"/>
      <c r="N737" s="3" t="n">
        <v>24.5</v>
      </c>
      <c r="O737" s="3" t="n"/>
      <c r="P737" s="3">
        <f>IF(L737&lt;&gt;"",L737/1.4,"")</f>
        <v/>
      </c>
      <c r="Q737" s="3">
        <f>IF(L737&lt;&gt;"",L737/1.56,"")</f>
        <v/>
      </c>
      <c r="R737" s="3">
        <f>IF(M737&lt;&gt;"",M737/1.4,"")</f>
        <v/>
      </c>
      <c r="S737" s="3">
        <f>IF(M737&lt;&gt;"",M737/1.56,"")</f>
        <v/>
      </c>
      <c r="T737" s="3">
        <f>IF(N737&lt;&gt;"",N737,IF(O737&lt;&gt;"",O737,IF(L737&lt;&gt;"",L737/1.56,IF(M737&lt;&gt;"",M737/1.56,""))))</f>
        <v/>
      </c>
      <c r="U737" s="3" t="n">
        <v>136</v>
      </c>
      <c r="V737" s="3" t="n">
        <v>81.59999999999999</v>
      </c>
      <c r="W737" s="3" t="n"/>
      <c r="X737" s="4" t="n"/>
      <c r="Y737" s="5" t="n">
        <v>0.84</v>
      </c>
      <c r="Z737" s="4">
        <f>IF(L737&lt;&gt;"",SQRT(3)*G737*L737/1000,"")</f>
        <v/>
      </c>
      <c r="AA737" t="inlineStr">
        <is>
          <t>Source=Copeland 2D/3D/4D/4R/6D/8D/9R compressors (pdf) p28; PWS_RLA=12.3</t>
        </is>
      </c>
      <c r="AB737" t="inlineStr">
        <is>
          <t>Copeland_RLA_230_460_3ph_60Hz.xlsx</t>
        </is>
      </c>
      <c r="AC737" t="inlineStr">
        <is>
          <t>Recip_2D-9R</t>
        </is>
      </c>
    </row>
    <row r="738">
      <c r="A738" t="inlineStr">
        <is>
          <t>COPELAND</t>
        </is>
      </c>
      <c r="B738" t="inlineStr">
        <is>
          <t>4DL3-1500-TSK</t>
        </is>
      </c>
      <c r="D738" t="inlineStr">
        <is>
          <t>Reciprocating Semi-hermetic</t>
        </is>
      </c>
      <c r="E738" s="2" t="n">
        <v>3</v>
      </c>
      <c r="F738" s="2" t="n">
        <v>60</v>
      </c>
      <c r="G738" s="2" t="n">
        <v>230</v>
      </c>
      <c r="H738" t="inlineStr">
        <is>
          <t>208/230</t>
        </is>
      </c>
      <c r="I738" s="2" t="n">
        <v>208</v>
      </c>
      <c r="J738" s="2" t="n">
        <v>230</v>
      </c>
      <c r="L738" s="3" t="n"/>
      <c r="M738" s="3" t="n"/>
      <c r="N738" s="3" t="n">
        <v>52.6</v>
      </c>
      <c r="O738" s="3" t="n"/>
      <c r="P738" s="3">
        <f>IF(L738&lt;&gt;"",L738/1.4,"")</f>
        <v/>
      </c>
      <c r="Q738" s="3">
        <f>IF(L738&lt;&gt;"",L738/1.56,"")</f>
        <v/>
      </c>
      <c r="R738" s="3">
        <f>IF(M738&lt;&gt;"",M738/1.4,"")</f>
        <v/>
      </c>
      <c r="S738" s="3">
        <f>IF(M738&lt;&gt;"",M738/1.56,"")</f>
        <v/>
      </c>
      <c r="T738" s="3">
        <f>IF(N738&lt;&gt;"",N738,IF(O738&lt;&gt;"",O738,IF(L738&lt;&gt;"",L738/1.56,IF(M738&lt;&gt;"",M738/1.56,""))))</f>
        <v/>
      </c>
      <c r="U738" s="3" t="n">
        <v>278</v>
      </c>
      <c r="V738" s="3" t="n">
        <v>170</v>
      </c>
      <c r="W738" s="3" t="n"/>
      <c r="X738" s="4" t="n"/>
      <c r="Y738" s="5" t="n">
        <v>0.208</v>
      </c>
      <c r="Z738" s="4">
        <f>IF(L738&lt;&gt;"",SQRT(3)*G738*L738/1000,"")</f>
        <v/>
      </c>
      <c r="AA738" t="inlineStr">
        <is>
          <t>Source=Copeland 2D/3D/4D/4R/6D/8D/9R compressors (pdf) p28; PWS_RLA=26.3</t>
        </is>
      </c>
      <c r="AB738" t="inlineStr">
        <is>
          <t>Copeland_RLA_230_460_3ph_60Hz.xlsx</t>
        </is>
      </c>
      <c r="AC738" t="inlineStr">
        <is>
          <t>Recip_2D-9R</t>
        </is>
      </c>
    </row>
    <row r="739">
      <c r="A739" t="inlineStr">
        <is>
          <t>COPELAND</t>
        </is>
      </c>
      <c r="B739" t="inlineStr">
        <is>
          <t>4DL3-1500-TSK</t>
        </is>
      </c>
      <c r="D739" t="inlineStr">
        <is>
          <t>Reciprocating Semi-hermetic</t>
        </is>
      </c>
      <c r="E739" s="2" t="n">
        <v>3</v>
      </c>
      <c r="F739" s="2" t="n">
        <v>60</v>
      </c>
      <c r="G739" s="2" t="n">
        <v>460</v>
      </c>
      <c r="H739" t="inlineStr">
        <is>
          <t>460</t>
        </is>
      </c>
      <c r="I739" s="2" t="n">
        <v>460</v>
      </c>
      <c r="J739" s="2" t="n">
        <v>460</v>
      </c>
      <c r="L739" s="3" t="n"/>
      <c r="M739" s="3" t="n"/>
      <c r="N739" s="3" t="n">
        <v>26.3</v>
      </c>
      <c r="O739" s="3" t="n"/>
      <c r="P739" s="3">
        <f>IF(L739&lt;&gt;"",L739/1.4,"")</f>
        <v/>
      </c>
      <c r="Q739" s="3">
        <f>IF(L739&lt;&gt;"",L739/1.56,"")</f>
        <v/>
      </c>
      <c r="R739" s="3">
        <f>IF(M739&lt;&gt;"",M739/1.4,"")</f>
        <v/>
      </c>
      <c r="S739" s="3">
        <f>IF(M739&lt;&gt;"",M739/1.56,"")</f>
        <v/>
      </c>
      <c r="T739" s="3">
        <f>IF(N739&lt;&gt;"",N739,IF(O739&lt;&gt;"",O739,IF(L739&lt;&gt;"",L739/1.56,IF(M739&lt;&gt;"",M739/1.56,""))))</f>
        <v/>
      </c>
      <c r="U739" s="3" t="n">
        <v>139</v>
      </c>
      <c r="V739" s="3" t="n"/>
      <c r="W739" s="3" t="n"/>
      <c r="X739" s="4" t="n"/>
      <c r="Y739" s="5" t="n">
        <v>0.832</v>
      </c>
      <c r="Z739" s="4">
        <f>IF(L739&lt;&gt;"",SQRT(3)*G739*L739/1000,"")</f>
        <v/>
      </c>
      <c r="AA739" t="inlineStr">
        <is>
          <t>Source=Copeland 2D/3D/4D/4R/6D/8D/9R compressors (pdf) p28</t>
        </is>
      </c>
      <c r="AB739" t="inlineStr">
        <is>
          <t>Copeland_RLA_230_460_3ph_60Hz.xlsx</t>
        </is>
      </c>
      <c r="AC739" t="inlineStr">
        <is>
          <t>Recip_2D-9R</t>
        </is>
      </c>
    </row>
    <row r="740">
      <c r="A740" t="inlineStr">
        <is>
          <t>COPELAND</t>
        </is>
      </c>
      <c r="B740" t="inlineStr">
        <is>
          <t>4DL3-150E-FSD</t>
        </is>
      </c>
      <c r="D740" t="inlineStr">
        <is>
          <t>Reciprocating Semi-hermetic</t>
        </is>
      </c>
      <c r="E740" s="2" t="n">
        <v>3</v>
      </c>
      <c r="F740" s="2" t="n">
        <v>60</v>
      </c>
      <c r="G740" s="2" t="n">
        <v>460</v>
      </c>
      <c r="H740" t="inlineStr">
        <is>
          <t>460</t>
        </is>
      </c>
      <c r="I740" s="2" t="n">
        <v>460</v>
      </c>
      <c r="J740" s="2" t="n">
        <v>460</v>
      </c>
      <c r="L740" s="3" t="n"/>
      <c r="M740" s="3" t="n"/>
      <c r="N740" s="3" t="n">
        <v>24.5</v>
      </c>
      <c r="O740" s="3" t="n"/>
      <c r="P740" s="3">
        <f>IF(L740&lt;&gt;"",L740/1.4,"")</f>
        <v/>
      </c>
      <c r="Q740" s="3">
        <f>IF(L740&lt;&gt;"",L740/1.56,"")</f>
        <v/>
      </c>
      <c r="R740" s="3">
        <f>IF(M740&lt;&gt;"",M740/1.4,"")</f>
        <v/>
      </c>
      <c r="S740" s="3">
        <f>IF(M740&lt;&gt;"",M740/1.56,"")</f>
        <v/>
      </c>
      <c r="T740" s="3">
        <f>IF(N740&lt;&gt;"",N740,IF(O740&lt;&gt;"",O740,IF(L740&lt;&gt;"",L740/1.56,IF(M740&lt;&gt;"",M740/1.56,""))))</f>
        <v/>
      </c>
      <c r="U740" s="3" t="n">
        <v>136</v>
      </c>
      <c r="V740" s="3" t="n">
        <v>81.59999999999999</v>
      </c>
      <c r="W740" s="3" t="n"/>
      <c r="X740" s="4" t="n"/>
      <c r="Y740" s="5" t="n">
        <v>0.84</v>
      </c>
      <c r="Z740" s="4">
        <f>IF(L740&lt;&gt;"",SQRT(3)*G740*L740/1000,"")</f>
        <v/>
      </c>
      <c r="AA740" t="inlineStr">
        <is>
          <t>Source=Copeland 2D/3D/4D/4R/6D/8D/9R compressors (pdf) p28; PWS_RLA=12.3</t>
        </is>
      </c>
      <c r="AB740" t="inlineStr">
        <is>
          <t>Copeland_RLA_230_460_3ph_60Hz.xlsx</t>
        </is>
      </c>
      <c r="AC740" t="inlineStr">
        <is>
          <t>Recip_2D-9R</t>
        </is>
      </c>
    </row>
    <row r="741">
      <c r="A741" t="inlineStr">
        <is>
          <t>COPELAND</t>
        </is>
      </c>
      <c r="B741" t="inlineStr">
        <is>
          <t>4DL3-150E-TSK</t>
        </is>
      </c>
      <c r="D741" t="inlineStr">
        <is>
          <t>Reciprocating Semi-hermetic</t>
        </is>
      </c>
      <c r="E741" s="2" t="n">
        <v>3</v>
      </c>
      <c r="F741" s="2" t="n">
        <v>60</v>
      </c>
      <c r="G741" s="2" t="n">
        <v>230</v>
      </c>
      <c r="H741" t="inlineStr">
        <is>
          <t>208/230</t>
        </is>
      </c>
      <c r="I741" s="2" t="n">
        <v>208</v>
      </c>
      <c r="J741" s="2" t="n">
        <v>230</v>
      </c>
      <c r="L741" s="3" t="n"/>
      <c r="M741" s="3" t="n"/>
      <c r="N741" s="3" t="n">
        <v>52.6</v>
      </c>
      <c r="O741" s="3" t="n"/>
      <c r="P741" s="3">
        <f>IF(L741&lt;&gt;"",L741/1.4,"")</f>
        <v/>
      </c>
      <c r="Q741" s="3">
        <f>IF(L741&lt;&gt;"",L741/1.56,"")</f>
        <v/>
      </c>
      <c r="R741" s="3">
        <f>IF(M741&lt;&gt;"",M741/1.4,"")</f>
        <v/>
      </c>
      <c r="S741" s="3">
        <f>IF(M741&lt;&gt;"",M741/1.56,"")</f>
        <v/>
      </c>
      <c r="T741" s="3">
        <f>IF(N741&lt;&gt;"",N741,IF(O741&lt;&gt;"",O741,IF(L741&lt;&gt;"",L741/1.56,IF(M741&lt;&gt;"",M741/1.56,""))))</f>
        <v/>
      </c>
      <c r="U741" s="3" t="n">
        <v>278</v>
      </c>
      <c r="V741" s="3" t="n">
        <v>170</v>
      </c>
      <c r="W741" s="3" t="n"/>
      <c r="X741" s="4" t="n"/>
      <c r="Y741" s="5" t="n">
        <v>0.208</v>
      </c>
      <c r="Z741" s="4">
        <f>IF(L741&lt;&gt;"",SQRT(3)*G741*L741/1000,"")</f>
        <v/>
      </c>
      <c r="AA741" t="inlineStr">
        <is>
          <t>Source=Copeland 2D/3D/4D/4R/6D/8D/9R compressors (pdf) p28; PWS_RLA=26.3</t>
        </is>
      </c>
      <c r="AB741" t="inlineStr">
        <is>
          <t>Copeland_RLA_230_460_3ph_60Hz.xlsx</t>
        </is>
      </c>
      <c r="AC741" t="inlineStr">
        <is>
          <t>Recip_2D-9R</t>
        </is>
      </c>
    </row>
    <row r="742">
      <c r="A742" t="inlineStr">
        <is>
          <t>COPELAND</t>
        </is>
      </c>
      <c r="B742" t="inlineStr">
        <is>
          <t>4DL3-150E-TSK</t>
        </is>
      </c>
      <c r="D742" t="inlineStr">
        <is>
          <t>Reciprocating Semi-hermetic</t>
        </is>
      </c>
      <c r="E742" s="2" t="n">
        <v>3</v>
      </c>
      <c r="F742" s="2" t="n">
        <v>60</v>
      </c>
      <c r="G742" s="2" t="n">
        <v>460</v>
      </c>
      <c r="H742" t="inlineStr">
        <is>
          <t>460</t>
        </is>
      </c>
      <c r="I742" s="2" t="n">
        <v>460</v>
      </c>
      <c r="J742" s="2" t="n">
        <v>460</v>
      </c>
      <c r="L742" s="3" t="n"/>
      <c r="M742" s="3" t="n"/>
      <c r="N742" s="3" t="n">
        <v>26.3</v>
      </c>
      <c r="O742" s="3" t="n"/>
      <c r="P742" s="3">
        <f>IF(L742&lt;&gt;"",L742/1.4,"")</f>
        <v/>
      </c>
      <c r="Q742" s="3">
        <f>IF(L742&lt;&gt;"",L742/1.56,"")</f>
        <v/>
      </c>
      <c r="R742" s="3">
        <f>IF(M742&lt;&gt;"",M742/1.4,"")</f>
        <v/>
      </c>
      <c r="S742" s="3">
        <f>IF(M742&lt;&gt;"",M742/1.56,"")</f>
        <v/>
      </c>
      <c r="T742" s="3">
        <f>IF(N742&lt;&gt;"",N742,IF(O742&lt;&gt;"",O742,IF(L742&lt;&gt;"",L742/1.56,IF(M742&lt;&gt;"",M742/1.56,""))))</f>
        <v/>
      </c>
      <c r="U742" s="3" t="n">
        <v>139</v>
      </c>
      <c r="V742" s="3" t="n"/>
      <c r="W742" s="3" t="n"/>
      <c r="X742" s="4" t="n"/>
      <c r="Y742" s="5" t="n">
        <v>0.832</v>
      </c>
      <c r="Z742" s="4">
        <f>IF(L742&lt;&gt;"",SQRT(3)*G742*L742/1000,"")</f>
        <v/>
      </c>
      <c r="AA742" t="inlineStr">
        <is>
          <t>Source=Copeland 2D/3D/4D/4R/6D/8D/9R compressors (pdf) p28</t>
        </is>
      </c>
      <c r="AB742" t="inlineStr">
        <is>
          <t>Copeland_RLA_230_460_3ph_60Hz.xlsx</t>
        </is>
      </c>
      <c r="AC742" t="inlineStr">
        <is>
          <t>Recip_2D-9R</t>
        </is>
      </c>
    </row>
    <row r="743">
      <c r="A743" t="inlineStr">
        <is>
          <t>COPELAND</t>
        </is>
      </c>
      <c r="B743" t="inlineStr">
        <is>
          <t>4DL3-150L-FSD</t>
        </is>
      </c>
      <c r="D743" t="inlineStr">
        <is>
          <t>Reciprocating Semi-hermetic</t>
        </is>
      </c>
      <c r="E743" s="2" t="n">
        <v>3</v>
      </c>
      <c r="F743" s="2" t="n">
        <v>60</v>
      </c>
      <c r="G743" s="2" t="n">
        <v>460</v>
      </c>
      <c r="H743" t="inlineStr">
        <is>
          <t>460</t>
        </is>
      </c>
      <c r="I743" s="2" t="n">
        <v>460</v>
      </c>
      <c r="J743" s="2" t="n">
        <v>460</v>
      </c>
      <c r="L743" s="3" t="n"/>
      <c r="M743" s="3" t="n"/>
      <c r="N743" s="3" t="n">
        <v>24.5</v>
      </c>
      <c r="O743" s="3" t="n"/>
      <c r="P743" s="3">
        <f>IF(L743&lt;&gt;"",L743/1.4,"")</f>
        <v/>
      </c>
      <c r="Q743" s="3">
        <f>IF(L743&lt;&gt;"",L743/1.56,"")</f>
        <v/>
      </c>
      <c r="R743" s="3">
        <f>IF(M743&lt;&gt;"",M743/1.4,"")</f>
        <v/>
      </c>
      <c r="S743" s="3">
        <f>IF(M743&lt;&gt;"",M743/1.56,"")</f>
        <v/>
      </c>
      <c r="T743" s="3">
        <f>IF(N743&lt;&gt;"",N743,IF(O743&lt;&gt;"",O743,IF(L743&lt;&gt;"",L743/1.56,IF(M743&lt;&gt;"",M743/1.56,""))))</f>
        <v/>
      </c>
      <c r="U743" s="3" t="n">
        <v>136</v>
      </c>
      <c r="V743" s="3" t="n">
        <v>81.59999999999999</v>
      </c>
      <c r="W743" s="3" t="n"/>
      <c r="X743" s="4" t="n"/>
      <c r="Y743" s="5" t="n">
        <v>0.84</v>
      </c>
      <c r="Z743" s="4">
        <f>IF(L743&lt;&gt;"",SQRT(3)*G743*L743/1000,"")</f>
        <v/>
      </c>
      <c r="AA743" t="inlineStr">
        <is>
          <t>Source=Copeland 2D/3D/4D/4R/6D/8D/9R compressors (pdf) p28; PWS_RLA=12.3</t>
        </is>
      </c>
      <c r="AB743" t="inlineStr">
        <is>
          <t>Copeland_RLA_230_460_3ph_60Hz.xlsx</t>
        </is>
      </c>
      <c r="AC743" t="inlineStr">
        <is>
          <t>Recip_2D-9R</t>
        </is>
      </c>
    </row>
    <row r="744">
      <c r="A744" t="inlineStr">
        <is>
          <t>COPELAND</t>
        </is>
      </c>
      <c r="B744" t="inlineStr">
        <is>
          <t>4DL3-150L-TSK</t>
        </is>
      </c>
      <c r="D744" t="inlineStr">
        <is>
          <t>Reciprocating Semi-hermetic</t>
        </is>
      </c>
      <c r="E744" s="2" t="n">
        <v>3</v>
      </c>
      <c r="F744" s="2" t="n">
        <v>60</v>
      </c>
      <c r="G744" s="2" t="n">
        <v>230</v>
      </c>
      <c r="H744" t="inlineStr">
        <is>
          <t>208/230</t>
        </is>
      </c>
      <c r="I744" s="2" t="n">
        <v>208</v>
      </c>
      <c r="J744" s="2" t="n">
        <v>230</v>
      </c>
      <c r="L744" s="3" t="n"/>
      <c r="M744" s="3" t="n"/>
      <c r="N744" s="3" t="n">
        <v>52.6</v>
      </c>
      <c r="O744" s="3" t="n"/>
      <c r="P744" s="3">
        <f>IF(L744&lt;&gt;"",L744/1.4,"")</f>
        <v/>
      </c>
      <c r="Q744" s="3">
        <f>IF(L744&lt;&gt;"",L744/1.56,"")</f>
        <v/>
      </c>
      <c r="R744" s="3">
        <f>IF(M744&lt;&gt;"",M744/1.4,"")</f>
        <v/>
      </c>
      <c r="S744" s="3">
        <f>IF(M744&lt;&gt;"",M744/1.56,"")</f>
        <v/>
      </c>
      <c r="T744" s="3">
        <f>IF(N744&lt;&gt;"",N744,IF(O744&lt;&gt;"",O744,IF(L744&lt;&gt;"",L744/1.56,IF(M744&lt;&gt;"",M744/1.56,""))))</f>
        <v/>
      </c>
      <c r="U744" s="3" t="n">
        <v>278</v>
      </c>
      <c r="V744" s="3" t="n">
        <v>170</v>
      </c>
      <c r="W744" s="3" t="n"/>
      <c r="X744" s="4" t="n"/>
      <c r="Y744" s="5" t="n">
        <v>0.208</v>
      </c>
      <c r="Z744" s="4">
        <f>IF(L744&lt;&gt;"",SQRT(3)*G744*L744/1000,"")</f>
        <v/>
      </c>
      <c r="AA744" t="inlineStr">
        <is>
          <t>Source=Copeland 2D/3D/4D/4R/6D/8D/9R compressors (pdf) p29; PWS_RLA=26.3</t>
        </is>
      </c>
      <c r="AB744" t="inlineStr">
        <is>
          <t>Copeland_RLA_230_460_3ph_60Hz.xlsx</t>
        </is>
      </c>
      <c r="AC744" t="inlineStr">
        <is>
          <t>Recip_2D-9R</t>
        </is>
      </c>
    </row>
    <row r="745">
      <c r="A745" t="inlineStr">
        <is>
          <t>COPELAND</t>
        </is>
      </c>
      <c r="B745" t="inlineStr">
        <is>
          <t>4DL3-150L-TSK</t>
        </is>
      </c>
      <c r="D745" t="inlineStr">
        <is>
          <t>Reciprocating Semi-hermetic</t>
        </is>
      </c>
      <c r="E745" s="2" t="n">
        <v>3</v>
      </c>
      <c r="F745" s="2" t="n">
        <v>60</v>
      </c>
      <c r="G745" s="2" t="n">
        <v>460</v>
      </c>
      <c r="H745" t="inlineStr">
        <is>
          <t>460</t>
        </is>
      </c>
      <c r="I745" s="2" t="n">
        <v>460</v>
      </c>
      <c r="J745" s="2" t="n">
        <v>460</v>
      </c>
      <c r="L745" s="3" t="n"/>
      <c r="M745" s="3" t="n"/>
      <c r="N745" s="3" t="n">
        <v>26.3</v>
      </c>
      <c r="O745" s="3" t="n"/>
      <c r="P745" s="3">
        <f>IF(L745&lt;&gt;"",L745/1.4,"")</f>
        <v/>
      </c>
      <c r="Q745" s="3">
        <f>IF(L745&lt;&gt;"",L745/1.56,"")</f>
        <v/>
      </c>
      <c r="R745" s="3">
        <f>IF(M745&lt;&gt;"",M745/1.4,"")</f>
        <v/>
      </c>
      <c r="S745" s="3">
        <f>IF(M745&lt;&gt;"",M745/1.56,"")</f>
        <v/>
      </c>
      <c r="T745" s="3">
        <f>IF(N745&lt;&gt;"",N745,IF(O745&lt;&gt;"",O745,IF(L745&lt;&gt;"",L745/1.56,IF(M745&lt;&gt;"",M745/1.56,""))))</f>
        <v/>
      </c>
      <c r="U745" s="3" t="n">
        <v>139</v>
      </c>
      <c r="V745" s="3" t="n"/>
      <c r="W745" s="3" t="n"/>
      <c r="X745" s="4" t="n"/>
      <c r="Y745" s="5" t="n">
        <v>0.832</v>
      </c>
      <c r="Z745" s="4">
        <f>IF(L745&lt;&gt;"",SQRT(3)*G745*L745/1000,"")</f>
        <v/>
      </c>
      <c r="AA745" t="inlineStr">
        <is>
          <t>Source=Copeland 2D/3D/4D/4R/6D/8D/9R compressors (pdf) p29</t>
        </is>
      </c>
      <c r="AB745" t="inlineStr">
        <is>
          <t>Copeland_RLA_230_460_3ph_60Hz.xlsx</t>
        </is>
      </c>
      <c r="AC745" t="inlineStr">
        <is>
          <t>Recip_2D-9R</t>
        </is>
      </c>
    </row>
    <row r="746">
      <c r="A746" t="inlineStr">
        <is>
          <t>COPELAND</t>
        </is>
      </c>
      <c r="B746" t="inlineStr">
        <is>
          <t>4DL3A1500-FSD</t>
        </is>
      </c>
      <c r="D746" t="inlineStr">
        <is>
          <t>Reciprocating Semi-hermetic</t>
        </is>
      </c>
      <c r="E746" s="2" t="n">
        <v>3</v>
      </c>
      <c r="F746" s="2" t="n">
        <v>60</v>
      </c>
      <c r="G746" s="2" t="n">
        <v>460</v>
      </c>
      <c r="H746" t="inlineStr">
        <is>
          <t>460</t>
        </is>
      </c>
      <c r="I746" s="2" t="n">
        <v>460</v>
      </c>
      <c r="J746" s="2" t="n">
        <v>460</v>
      </c>
      <c r="L746" s="3" t="n"/>
      <c r="M746" s="3" t="n"/>
      <c r="N746" s="3" t="n">
        <v>24.5</v>
      </c>
      <c r="O746" s="3" t="n"/>
      <c r="P746" s="3">
        <f>IF(L746&lt;&gt;"",L746/1.4,"")</f>
        <v/>
      </c>
      <c r="Q746" s="3">
        <f>IF(L746&lt;&gt;"",L746/1.56,"")</f>
        <v/>
      </c>
      <c r="R746" s="3">
        <f>IF(M746&lt;&gt;"",M746/1.4,"")</f>
        <v/>
      </c>
      <c r="S746" s="3">
        <f>IF(M746&lt;&gt;"",M746/1.56,"")</f>
        <v/>
      </c>
      <c r="T746" s="3">
        <f>IF(N746&lt;&gt;"",N746,IF(O746&lt;&gt;"",O746,IF(L746&lt;&gt;"",L746/1.56,IF(M746&lt;&gt;"",M746/1.56,""))))</f>
        <v/>
      </c>
      <c r="U746" s="3" t="n">
        <v>136</v>
      </c>
      <c r="V746" s="3" t="n">
        <v>81.59999999999999</v>
      </c>
      <c r="W746" s="3" t="n"/>
      <c r="X746" s="4" t="n"/>
      <c r="Y746" s="5" t="n">
        <v>0.84</v>
      </c>
      <c r="Z746" s="4">
        <f>IF(L746&lt;&gt;"",SQRT(3)*G746*L746/1000,"")</f>
        <v/>
      </c>
      <c r="AA746" t="inlineStr">
        <is>
          <t>Source=Copeland 2D/3D/4D/4R/6D/8D/9R compressors (pdf) p29; PWS_RLA=12.3</t>
        </is>
      </c>
      <c r="AB746" t="inlineStr">
        <is>
          <t>Copeland_RLA_230_460_3ph_60Hz.xlsx</t>
        </is>
      </c>
      <c r="AC746" t="inlineStr">
        <is>
          <t>Recip_2D-9R</t>
        </is>
      </c>
    </row>
    <row r="747">
      <c r="A747" t="inlineStr">
        <is>
          <t>COPELAND</t>
        </is>
      </c>
      <c r="B747" t="inlineStr">
        <is>
          <t>4DL3A1500-TSK</t>
        </is>
      </c>
      <c r="D747" t="inlineStr">
        <is>
          <t>Reciprocating Semi-hermetic</t>
        </is>
      </c>
      <c r="E747" s="2" t="n">
        <v>3</v>
      </c>
      <c r="F747" s="2" t="n">
        <v>60</v>
      </c>
      <c r="G747" s="2" t="n">
        <v>230</v>
      </c>
      <c r="H747" t="inlineStr">
        <is>
          <t>208/230</t>
        </is>
      </c>
      <c r="I747" s="2" t="n">
        <v>208</v>
      </c>
      <c r="J747" s="2" t="n">
        <v>230</v>
      </c>
      <c r="L747" s="3" t="n"/>
      <c r="M747" s="3" t="n"/>
      <c r="N747" s="3" t="n">
        <v>52.6</v>
      </c>
      <c r="O747" s="3" t="n"/>
      <c r="P747" s="3">
        <f>IF(L747&lt;&gt;"",L747/1.4,"")</f>
        <v/>
      </c>
      <c r="Q747" s="3">
        <f>IF(L747&lt;&gt;"",L747/1.56,"")</f>
        <v/>
      </c>
      <c r="R747" s="3">
        <f>IF(M747&lt;&gt;"",M747/1.4,"")</f>
        <v/>
      </c>
      <c r="S747" s="3">
        <f>IF(M747&lt;&gt;"",M747/1.56,"")</f>
        <v/>
      </c>
      <c r="T747" s="3">
        <f>IF(N747&lt;&gt;"",N747,IF(O747&lt;&gt;"",O747,IF(L747&lt;&gt;"",L747/1.56,IF(M747&lt;&gt;"",M747/1.56,""))))</f>
        <v/>
      </c>
      <c r="U747" s="3" t="n">
        <v>278</v>
      </c>
      <c r="V747" s="3" t="n">
        <v>170</v>
      </c>
      <c r="W747" s="3" t="n"/>
      <c r="X747" s="4" t="n"/>
      <c r="Y747" s="5" t="n">
        <v>0.208</v>
      </c>
      <c r="Z747" s="4">
        <f>IF(L747&lt;&gt;"",SQRT(3)*G747*L747/1000,"")</f>
        <v/>
      </c>
      <c r="AA747" t="inlineStr">
        <is>
          <t>Source=Copeland 2D/3D/4D/4R/6D/8D/9R compressors (pdf) p29; PWS_RLA=26.3</t>
        </is>
      </c>
      <c r="AB747" t="inlineStr">
        <is>
          <t>Copeland_RLA_230_460_3ph_60Hz.xlsx</t>
        </is>
      </c>
      <c r="AC747" t="inlineStr">
        <is>
          <t>Recip_2D-9R</t>
        </is>
      </c>
    </row>
    <row r="748">
      <c r="A748" t="inlineStr">
        <is>
          <t>COPELAND</t>
        </is>
      </c>
      <c r="B748" t="inlineStr">
        <is>
          <t>4DL3A1500-TSK</t>
        </is>
      </c>
      <c r="D748" t="inlineStr">
        <is>
          <t>Reciprocating Semi-hermetic</t>
        </is>
      </c>
      <c r="E748" s="2" t="n">
        <v>3</v>
      </c>
      <c r="F748" s="2" t="n">
        <v>60</v>
      </c>
      <c r="G748" s="2" t="n">
        <v>460</v>
      </c>
      <c r="H748" t="inlineStr">
        <is>
          <t>460</t>
        </is>
      </c>
      <c r="I748" s="2" t="n">
        <v>460</v>
      </c>
      <c r="J748" s="2" t="n">
        <v>460</v>
      </c>
      <c r="L748" s="3" t="n"/>
      <c r="M748" s="3" t="n"/>
      <c r="N748" s="3" t="n">
        <v>26.3</v>
      </c>
      <c r="O748" s="3" t="n"/>
      <c r="P748" s="3">
        <f>IF(L748&lt;&gt;"",L748/1.4,"")</f>
        <v/>
      </c>
      <c r="Q748" s="3">
        <f>IF(L748&lt;&gt;"",L748/1.56,"")</f>
        <v/>
      </c>
      <c r="R748" s="3">
        <f>IF(M748&lt;&gt;"",M748/1.4,"")</f>
        <v/>
      </c>
      <c r="S748" s="3">
        <f>IF(M748&lt;&gt;"",M748/1.56,"")</f>
        <v/>
      </c>
      <c r="T748" s="3">
        <f>IF(N748&lt;&gt;"",N748,IF(O748&lt;&gt;"",O748,IF(L748&lt;&gt;"",L748/1.56,IF(M748&lt;&gt;"",M748/1.56,""))))</f>
        <v/>
      </c>
      <c r="U748" s="3" t="n">
        <v>139</v>
      </c>
      <c r="V748" s="3" t="n"/>
      <c r="W748" s="3" t="n"/>
      <c r="X748" s="4" t="n"/>
      <c r="Y748" s="5" t="n">
        <v>0.832</v>
      </c>
      <c r="Z748" s="4">
        <f>IF(L748&lt;&gt;"",SQRT(3)*G748*L748/1000,"")</f>
        <v/>
      </c>
      <c r="AA748" t="inlineStr">
        <is>
          <t>Source=Copeland 2D/3D/4D/4R/6D/8D/9R compressors (pdf) p29</t>
        </is>
      </c>
      <c r="AB748" t="inlineStr">
        <is>
          <t>Copeland_RLA_230_460_3ph_60Hz.xlsx</t>
        </is>
      </c>
      <c r="AC748" t="inlineStr">
        <is>
          <t>Recip_2D-9R</t>
        </is>
      </c>
    </row>
    <row r="749">
      <c r="A749" t="inlineStr">
        <is>
          <t>COPELAND</t>
        </is>
      </c>
      <c r="B749" t="inlineStr">
        <is>
          <t>4DL3A150E-FSD</t>
        </is>
      </c>
      <c r="D749" t="inlineStr">
        <is>
          <t>Reciprocating Semi-hermetic</t>
        </is>
      </c>
      <c r="E749" s="2" t="n">
        <v>3</v>
      </c>
      <c r="F749" s="2" t="n">
        <v>60</v>
      </c>
      <c r="G749" s="2" t="n">
        <v>460</v>
      </c>
      <c r="H749" t="inlineStr">
        <is>
          <t>460</t>
        </is>
      </c>
      <c r="I749" s="2" t="n">
        <v>460</v>
      </c>
      <c r="J749" s="2" t="n">
        <v>460</v>
      </c>
      <c r="L749" s="3" t="n"/>
      <c r="M749" s="3" t="n"/>
      <c r="N749" s="3" t="n">
        <v>24.5</v>
      </c>
      <c r="O749" s="3" t="n"/>
      <c r="P749" s="3">
        <f>IF(L749&lt;&gt;"",L749/1.4,"")</f>
        <v/>
      </c>
      <c r="Q749" s="3">
        <f>IF(L749&lt;&gt;"",L749/1.56,"")</f>
        <v/>
      </c>
      <c r="R749" s="3">
        <f>IF(M749&lt;&gt;"",M749/1.4,"")</f>
        <v/>
      </c>
      <c r="S749" s="3">
        <f>IF(M749&lt;&gt;"",M749/1.56,"")</f>
        <v/>
      </c>
      <c r="T749" s="3">
        <f>IF(N749&lt;&gt;"",N749,IF(O749&lt;&gt;"",O749,IF(L749&lt;&gt;"",L749/1.56,IF(M749&lt;&gt;"",M749/1.56,""))))</f>
        <v/>
      </c>
      <c r="U749" s="3" t="n">
        <v>136</v>
      </c>
      <c r="V749" s="3" t="n">
        <v>81.59999999999999</v>
      </c>
      <c r="W749" s="3" t="n"/>
      <c r="X749" s="4" t="n"/>
      <c r="Y749" s="5" t="n">
        <v>0.84</v>
      </c>
      <c r="Z749" s="4">
        <f>IF(L749&lt;&gt;"",SQRT(3)*G749*L749/1000,"")</f>
        <v/>
      </c>
      <c r="AA749" t="inlineStr">
        <is>
          <t>Source=Copeland 2D/3D/4D/4R/6D/8D/9R compressors (pdf) p29; PWS_RLA=12.3</t>
        </is>
      </c>
      <c r="AB749" t="inlineStr">
        <is>
          <t>Copeland_RLA_230_460_3ph_60Hz.xlsx</t>
        </is>
      </c>
      <c r="AC749" t="inlineStr">
        <is>
          <t>Recip_2D-9R</t>
        </is>
      </c>
    </row>
    <row r="750">
      <c r="A750" t="inlineStr">
        <is>
          <t>COPELAND</t>
        </is>
      </c>
      <c r="B750" t="inlineStr">
        <is>
          <t>4DL3A150E-TSK</t>
        </is>
      </c>
      <c r="D750" t="inlineStr">
        <is>
          <t>Reciprocating Semi-hermetic</t>
        </is>
      </c>
      <c r="E750" s="2" t="n">
        <v>3</v>
      </c>
      <c r="F750" s="2" t="n">
        <v>60</v>
      </c>
      <c r="G750" s="2" t="n">
        <v>230</v>
      </c>
      <c r="H750" t="inlineStr">
        <is>
          <t>208/230</t>
        </is>
      </c>
      <c r="I750" s="2" t="n">
        <v>208</v>
      </c>
      <c r="J750" s="2" t="n">
        <v>230</v>
      </c>
      <c r="L750" s="3" t="n"/>
      <c r="M750" s="3" t="n"/>
      <c r="N750" s="3" t="n">
        <v>52.6</v>
      </c>
      <c r="O750" s="3" t="n"/>
      <c r="P750" s="3">
        <f>IF(L750&lt;&gt;"",L750/1.4,"")</f>
        <v/>
      </c>
      <c r="Q750" s="3">
        <f>IF(L750&lt;&gt;"",L750/1.56,"")</f>
        <v/>
      </c>
      <c r="R750" s="3">
        <f>IF(M750&lt;&gt;"",M750/1.4,"")</f>
        <v/>
      </c>
      <c r="S750" s="3">
        <f>IF(M750&lt;&gt;"",M750/1.56,"")</f>
        <v/>
      </c>
      <c r="T750" s="3">
        <f>IF(N750&lt;&gt;"",N750,IF(O750&lt;&gt;"",O750,IF(L750&lt;&gt;"",L750/1.56,IF(M750&lt;&gt;"",M750/1.56,""))))</f>
        <v/>
      </c>
      <c r="U750" s="3" t="n">
        <v>278</v>
      </c>
      <c r="V750" s="3" t="n">
        <v>170</v>
      </c>
      <c r="W750" s="3" t="n"/>
      <c r="X750" s="4" t="n"/>
      <c r="Y750" s="5" t="n">
        <v>0.208</v>
      </c>
      <c r="Z750" s="4">
        <f>IF(L750&lt;&gt;"",SQRT(3)*G750*L750/1000,"")</f>
        <v/>
      </c>
      <c r="AA750" t="inlineStr">
        <is>
          <t>Source=Copeland 2D/3D/4D/4R/6D/8D/9R compressors (pdf) p29; PWS_RLA=26.3</t>
        </is>
      </c>
      <c r="AB750" t="inlineStr">
        <is>
          <t>Copeland_RLA_230_460_3ph_60Hz.xlsx</t>
        </is>
      </c>
      <c r="AC750" t="inlineStr">
        <is>
          <t>Recip_2D-9R</t>
        </is>
      </c>
    </row>
    <row r="751">
      <c r="A751" t="inlineStr">
        <is>
          <t>COPELAND</t>
        </is>
      </c>
      <c r="B751" t="inlineStr">
        <is>
          <t>4DL3A150E-TSK</t>
        </is>
      </c>
      <c r="D751" t="inlineStr">
        <is>
          <t>Reciprocating Semi-hermetic</t>
        </is>
      </c>
      <c r="E751" s="2" t="n">
        <v>3</v>
      </c>
      <c r="F751" s="2" t="n">
        <v>60</v>
      </c>
      <c r="G751" s="2" t="n">
        <v>460</v>
      </c>
      <c r="H751" t="inlineStr">
        <is>
          <t>460</t>
        </is>
      </c>
      <c r="I751" s="2" t="n">
        <v>460</v>
      </c>
      <c r="J751" s="2" t="n">
        <v>460</v>
      </c>
      <c r="L751" s="3" t="n"/>
      <c r="M751" s="3" t="n"/>
      <c r="N751" s="3" t="n">
        <v>26.3</v>
      </c>
      <c r="O751" s="3" t="n"/>
      <c r="P751" s="3">
        <f>IF(L751&lt;&gt;"",L751/1.4,"")</f>
        <v/>
      </c>
      <c r="Q751" s="3">
        <f>IF(L751&lt;&gt;"",L751/1.56,"")</f>
        <v/>
      </c>
      <c r="R751" s="3">
        <f>IF(M751&lt;&gt;"",M751/1.4,"")</f>
        <v/>
      </c>
      <c r="S751" s="3">
        <f>IF(M751&lt;&gt;"",M751/1.56,"")</f>
        <v/>
      </c>
      <c r="T751" s="3">
        <f>IF(N751&lt;&gt;"",N751,IF(O751&lt;&gt;"",O751,IF(L751&lt;&gt;"",L751/1.56,IF(M751&lt;&gt;"",M751/1.56,""))))</f>
        <v/>
      </c>
      <c r="U751" s="3" t="n">
        <v>139</v>
      </c>
      <c r="V751" s="3" t="n"/>
      <c r="W751" s="3" t="n"/>
      <c r="X751" s="4" t="n"/>
      <c r="Y751" s="5" t="n">
        <v>0.832</v>
      </c>
      <c r="Z751" s="4">
        <f>IF(L751&lt;&gt;"",SQRT(3)*G751*L751/1000,"")</f>
        <v/>
      </c>
      <c r="AA751" t="inlineStr">
        <is>
          <t>Source=Copeland 2D/3D/4D/4R/6D/8D/9R compressors (pdf) p29</t>
        </is>
      </c>
      <c r="AB751" t="inlineStr">
        <is>
          <t>Copeland_RLA_230_460_3ph_60Hz.xlsx</t>
        </is>
      </c>
      <c r="AC751" t="inlineStr">
        <is>
          <t>Recip_2D-9R</t>
        </is>
      </c>
    </row>
    <row r="752">
      <c r="A752" t="inlineStr">
        <is>
          <t>COPELAND</t>
        </is>
      </c>
      <c r="B752" t="inlineStr">
        <is>
          <t>4DL3A150L-FSD</t>
        </is>
      </c>
      <c r="D752" t="inlineStr">
        <is>
          <t>Reciprocating Semi-hermetic</t>
        </is>
      </c>
      <c r="E752" s="2" t="n">
        <v>3</v>
      </c>
      <c r="F752" s="2" t="n">
        <v>60</v>
      </c>
      <c r="G752" s="2" t="n">
        <v>460</v>
      </c>
      <c r="H752" t="inlineStr">
        <is>
          <t>460</t>
        </is>
      </c>
      <c r="I752" s="2" t="n">
        <v>460</v>
      </c>
      <c r="J752" s="2" t="n">
        <v>460</v>
      </c>
      <c r="L752" s="3" t="n"/>
      <c r="M752" s="3" t="n"/>
      <c r="N752" s="3" t="n">
        <v>24.5</v>
      </c>
      <c r="O752" s="3" t="n"/>
      <c r="P752" s="3">
        <f>IF(L752&lt;&gt;"",L752/1.4,"")</f>
        <v/>
      </c>
      <c r="Q752" s="3">
        <f>IF(L752&lt;&gt;"",L752/1.56,"")</f>
        <v/>
      </c>
      <c r="R752" s="3">
        <f>IF(M752&lt;&gt;"",M752/1.4,"")</f>
        <v/>
      </c>
      <c r="S752" s="3">
        <f>IF(M752&lt;&gt;"",M752/1.56,"")</f>
        <v/>
      </c>
      <c r="T752" s="3">
        <f>IF(N752&lt;&gt;"",N752,IF(O752&lt;&gt;"",O752,IF(L752&lt;&gt;"",L752/1.56,IF(M752&lt;&gt;"",M752/1.56,""))))</f>
        <v/>
      </c>
      <c r="U752" s="3" t="n">
        <v>136</v>
      </c>
      <c r="V752" s="3" t="n">
        <v>81.59999999999999</v>
      </c>
      <c r="W752" s="3" t="n"/>
      <c r="X752" s="4" t="n"/>
      <c r="Y752" s="5" t="n">
        <v>0.84</v>
      </c>
      <c r="Z752" s="4">
        <f>IF(L752&lt;&gt;"",SQRT(3)*G752*L752/1000,"")</f>
        <v/>
      </c>
      <c r="AA752" t="inlineStr">
        <is>
          <t>Source=Copeland 2D/3D/4D/4R/6D/8D/9R compressors (pdf) p29; PWS_RLA=12.3</t>
        </is>
      </c>
      <c r="AB752" t="inlineStr">
        <is>
          <t>Copeland_RLA_230_460_3ph_60Hz.xlsx</t>
        </is>
      </c>
      <c r="AC752" t="inlineStr">
        <is>
          <t>Recip_2D-9R</t>
        </is>
      </c>
    </row>
    <row r="753">
      <c r="A753" t="inlineStr">
        <is>
          <t>COPELAND</t>
        </is>
      </c>
      <c r="B753" t="inlineStr">
        <is>
          <t>4DL3A150L-TSK</t>
        </is>
      </c>
      <c r="D753" t="inlineStr">
        <is>
          <t>Reciprocating Semi-hermetic</t>
        </is>
      </c>
      <c r="E753" s="2" t="n">
        <v>3</v>
      </c>
      <c r="F753" s="2" t="n">
        <v>60</v>
      </c>
      <c r="G753" s="2" t="n">
        <v>230</v>
      </c>
      <c r="H753" t="inlineStr">
        <is>
          <t>208/230</t>
        </is>
      </c>
      <c r="I753" s="2" t="n">
        <v>208</v>
      </c>
      <c r="J753" s="2" t="n">
        <v>230</v>
      </c>
      <c r="L753" s="3" t="n"/>
      <c r="M753" s="3" t="n"/>
      <c r="N753" s="3" t="n">
        <v>52.6</v>
      </c>
      <c r="O753" s="3" t="n"/>
      <c r="P753" s="3">
        <f>IF(L753&lt;&gt;"",L753/1.4,"")</f>
        <v/>
      </c>
      <c r="Q753" s="3">
        <f>IF(L753&lt;&gt;"",L753/1.56,"")</f>
        <v/>
      </c>
      <c r="R753" s="3">
        <f>IF(M753&lt;&gt;"",M753/1.4,"")</f>
        <v/>
      </c>
      <c r="S753" s="3">
        <f>IF(M753&lt;&gt;"",M753/1.56,"")</f>
        <v/>
      </c>
      <c r="T753" s="3">
        <f>IF(N753&lt;&gt;"",N753,IF(O753&lt;&gt;"",O753,IF(L753&lt;&gt;"",L753/1.56,IF(M753&lt;&gt;"",M753/1.56,""))))</f>
        <v/>
      </c>
      <c r="U753" s="3" t="n">
        <v>278</v>
      </c>
      <c r="V753" s="3" t="n">
        <v>170</v>
      </c>
      <c r="W753" s="3" t="n"/>
      <c r="X753" s="4" t="n"/>
      <c r="Y753" s="5" t="n">
        <v>0.208</v>
      </c>
      <c r="Z753" s="4">
        <f>IF(L753&lt;&gt;"",SQRT(3)*G753*L753/1000,"")</f>
        <v/>
      </c>
      <c r="AA753" t="inlineStr">
        <is>
          <t>Source=Copeland 2D/3D/4D/4R/6D/8D/9R compressors (pdf) p29; PWS_RLA=26.3</t>
        </is>
      </c>
      <c r="AB753" t="inlineStr">
        <is>
          <t>Copeland_RLA_230_460_3ph_60Hz.xlsx</t>
        </is>
      </c>
      <c r="AC753" t="inlineStr">
        <is>
          <t>Recip_2D-9R</t>
        </is>
      </c>
    </row>
    <row r="754">
      <c r="A754" t="inlineStr">
        <is>
          <t>COPELAND</t>
        </is>
      </c>
      <c r="B754" t="inlineStr">
        <is>
          <t>4DL3A150L-TSK</t>
        </is>
      </c>
      <c r="D754" t="inlineStr">
        <is>
          <t>Reciprocating Semi-hermetic</t>
        </is>
      </c>
      <c r="E754" s="2" t="n">
        <v>3</v>
      </c>
      <c r="F754" s="2" t="n">
        <v>60</v>
      </c>
      <c r="G754" s="2" t="n">
        <v>460</v>
      </c>
      <c r="H754" t="inlineStr">
        <is>
          <t>460</t>
        </is>
      </c>
      <c r="I754" s="2" t="n">
        <v>460</v>
      </c>
      <c r="J754" s="2" t="n">
        <v>460</v>
      </c>
      <c r="L754" s="3" t="n"/>
      <c r="M754" s="3" t="n"/>
      <c r="N754" s="3" t="n">
        <v>26.3</v>
      </c>
      <c r="O754" s="3" t="n"/>
      <c r="P754" s="3">
        <f>IF(L754&lt;&gt;"",L754/1.4,"")</f>
        <v/>
      </c>
      <c r="Q754" s="3">
        <f>IF(L754&lt;&gt;"",L754/1.56,"")</f>
        <v/>
      </c>
      <c r="R754" s="3">
        <f>IF(M754&lt;&gt;"",M754/1.4,"")</f>
        <v/>
      </c>
      <c r="S754" s="3">
        <f>IF(M754&lt;&gt;"",M754/1.56,"")</f>
        <v/>
      </c>
      <c r="T754" s="3">
        <f>IF(N754&lt;&gt;"",N754,IF(O754&lt;&gt;"",O754,IF(L754&lt;&gt;"",L754/1.56,IF(M754&lt;&gt;"",M754/1.56,""))))</f>
        <v/>
      </c>
      <c r="U754" s="3" t="n">
        <v>139</v>
      </c>
      <c r="V754" s="3" t="n"/>
      <c r="W754" s="3" t="n"/>
      <c r="X754" s="4" t="n"/>
      <c r="Y754" s="5" t="n">
        <v>0.832</v>
      </c>
      <c r="Z754" s="4">
        <f>IF(L754&lt;&gt;"",SQRT(3)*G754*L754/1000,"")</f>
        <v/>
      </c>
      <c r="AA754" t="inlineStr">
        <is>
          <t>Source=Copeland 2D/3D/4D/4R/6D/8D/9R compressors (pdf) p29</t>
        </is>
      </c>
      <c r="AB754" t="inlineStr">
        <is>
          <t>Copeland_RLA_230_460_3ph_60Hz.xlsx</t>
        </is>
      </c>
      <c r="AC754" t="inlineStr">
        <is>
          <t>Recip_2D-9R</t>
        </is>
      </c>
    </row>
    <row r="755">
      <c r="A755" t="inlineStr">
        <is>
          <t>COPELAND</t>
        </is>
      </c>
      <c r="B755" t="inlineStr">
        <is>
          <t>4DL3F63K0-FSD</t>
        </is>
      </c>
      <c r="D755" t="inlineStr">
        <is>
          <t>Reciprocating Semi-hermetic</t>
        </is>
      </c>
      <c r="E755" s="2" t="n">
        <v>3</v>
      </c>
      <c r="F755" s="2" t="n">
        <v>60</v>
      </c>
      <c r="G755" s="2" t="n">
        <v>460</v>
      </c>
      <c r="H755" t="inlineStr">
        <is>
          <t>460</t>
        </is>
      </c>
      <c r="I755" s="2" t="n">
        <v>460</v>
      </c>
      <c r="J755" s="2" t="n">
        <v>460</v>
      </c>
      <c r="L755" s="3" t="n"/>
      <c r="M755" s="3" t="n"/>
      <c r="N755" s="3" t="n">
        <v>24.5</v>
      </c>
      <c r="O755" s="3" t="n"/>
      <c r="P755" s="3">
        <f>IF(L755&lt;&gt;"",L755/1.4,"")</f>
        <v/>
      </c>
      <c r="Q755" s="3">
        <f>IF(L755&lt;&gt;"",L755/1.56,"")</f>
        <v/>
      </c>
      <c r="R755" s="3">
        <f>IF(M755&lt;&gt;"",M755/1.4,"")</f>
        <v/>
      </c>
      <c r="S755" s="3">
        <f>IF(M755&lt;&gt;"",M755/1.56,"")</f>
        <v/>
      </c>
      <c r="T755" s="3">
        <f>IF(N755&lt;&gt;"",N755,IF(O755&lt;&gt;"",O755,IF(L755&lt;&gt;"",L755/1.56,IF(M755&lt;&gt;"",M755/1.56,""))))</f>
        <v/>
      </c>
      <c r="U755" s="3" t="n">
        <v>136</v>
      </c>
      <c r="V755" s="3" t="n">
        <v>81.59999999999999</v>
      </c>
      <c r="W755" s="3" t="n"/>
      <c r="X755" s="4" t="n"/>
      <c r="Y755" s="5" t="n">
        <v>0.84</v>
      </c>
      <c r="Z755" s="4">
        <f>IF(L755&lt;&gt;"",SQRT(3)*G755*L755/1000,"")</f>
        <v/>
      </c>
      <c r="AA755" t="inlineStr">
        <is>
          <t>Source=Copeland 2D/3D/4D/4R/6D/8D/9R compressors (pdf) p29; PWS_RLA=12.3</t>
        </is>
      </c>
      <c r="AB755" t="inlineStr">
        <is>
          <t>Copeland_RLA_230_460_3ph_60Hz.xlsx</t>
        </is>
      </c>
      <c r="AC755" t="inlineStr">
        <is>
          <t>Recip_2D-9R</t>
        </is>
      </c>
    </row>
    <row r="756">
      <c r="A756" t="inlineStr">
        <is>
          <t>COPELAND</t>
        </is>
      </c>
      <c r="B756" t="inlineStr">
        <is>
          <t>4DL3F63K0-TSK</t>
        </is>
      </c>
      <c r="D756" t="inlineStr">
        <is>
          <t>Reciprocating Semi-hermetic</t>
        </is>
      </c>
      <c r="E756" s="2" t="n">
        <v>3</v>
      </c>
      <c r="F756" s="2" t="n">
        <v>60</v>
      </c>
      <c r="G756" s="2" t="n">
        <v>230</v>
      </c>
      <c r="H756" t="inlineStr">
        <is>
          <t>208/230</t>
        </is>
      </c>
      <c r="I756" s="2" t="n">
        <v>208</v>
      </c>
      <c r="J756" s="2" t="n">
        <v>230</v>
      </c>
      <c r="L756" s="3" t="n"/>
      <c r="M756" s="3" t="n"/>
      <c r="N756" s="3" t="n">
        <v>52.6</v>
      </c>
      <c r="O756" s="3" t="n"/>
      <c r="P756" s="3">
        <f>IF(L756&lt;&gt;"",L756/1.4,"")</f>
        <v/>
      </c>
      <c r="Q756" s="3">
        <f>IF(L756&lt;&gt;"",L756/1.56,"")</f>
        <v/>
      </c>
      <c r="R756" s="3">
        <f>IF(M756&lt;&gt;"",M756/1.4,"")</f>
        <v/>
      </c>
      <c r="S756" s="3">
        <f>IF(M756&lt;&gt;"",M756/1.56,"")</f>
        <v/>
      </c>
      <c r="T756" s="3">
        <f>IF(N756&lt;&gt;"",N756,IF(O756&lt;&gt;"",O756,IF(L756&lt;&gt;"",L756/1.56,IF(M756&lt;&gt;"",M756/1.56,""))))</f>
        <v/>
      </c>
      <c r="U756" s="3" t="n">
        <v>278</v>
      </c>
      <c r="V756" s="3" t="n">
        <v>170</v>
      </c>
      <c r="W756" s="3" t="n"/>
      <c r="X756" s="4" t="n"/>
      <c r="Y756" s="5" t="n">
        <v>0.208</v>
      </c>
      <c r="Z756" s="4">
        <f>IF(L756&lt;&gt;"",SQRT(3)*G756*L756/1000,"")</f>
        <v/>
      </c>
      <c r="AA756" t="inlineStr">
        <is>
          <t>Source=Copeland 2D/3D/4D/4R/6D/8D/9R compressors (pdf) p29; PWS_RLA=26.3</t>
        </is>
      </c>
      <c r="AB756" t="inlineStr">
        <is>
          <t>Copeland_RLA_230_460_3ph_60Hz.xlsx</t>
        </is>
      </c>
      <c r="AC756" t="inlineStr">
        <is>
          <t>Recip_2D-9R</t>
        </is>
      </c>
    </row>
    <row r="757">
      <c r="A757" t="inlineStr">
        <is>
          <t>COPELAND</t>
        </is>
      </c>
      <c r="B757" t="inlineStr">
        <is>
          <t>4DL3F63K0-TSK</t>
        </is>
      </c>
      <c r="D757" t="inlineStr">
        <is>
          <t>Reciprocating Semi-hermetic</t>
        </is>
      </c>
      <c r="E757" s="2" t="n">
        <v>3</v>
      </c>
      <c r="F757" s="2" t="n">
        <v>60</v>
      </c>
      <c r="G757" s="2" t="n">
        <v>460</v>
      </c>
      <c r="H757" t="inlineStr">
        <is>
          <t>460</t>
        </is>
      </c>
      <c r="I757" s="2" t="n">
        <v>460</v>
      </c>
      <c r="J757" s="2" t="n">
        <v>460</v>
      </c>
      <c r="L757" s="3" t="n"/>
      <c r="M757" s="3" t="n"/>
      <c r="N757" s="3" t="n">
        <v>26.3</v>
      </c>
      <c r="O757" s="3" t="n"/>
      <c r="P757" s="3">
        <f>IF(L757&lt;&gt;"",L757/1.4,"")</f>
        <v/>
      </c>
      <c r="Q757" s="3">
        <f>IF(L757&lt;&gt;"",L757/1.56,"")</f>
        <v/>
      </c>
      <c r="R757" s="3">
        <f>IF(M757&lt;&gt;"",M757/1.4,"")</f>
        <v/>
      </c>
      <c r="S757" s="3">
        <f>IF(M757&lt;&gt;"",M757/1.56,"")</f>
        <v/>
      </c>
      <c r="T757" s="3">
        <f>IF(N757&lt;&gt;"",N757,IF(O757&lt;&gt;"",O757,IF(L757&lt;&gt;"",L757/1.56,IF(M757&lt;&gt;"",M757/1.56,""))))</f>
        <v/>
      </c>
      <c r="U757" s="3" t="n">
        <v>139</v>
      </c>
      <c r="V757" s="3" t="n"/>
      <c r="W757" s="3" t="n"/>
      <c r="X757" s="4" t="n"/>
      <c r="Y757" s="5" t="n">
        <v>0.832</v>
      </c>
      <c r="Z757" s="4">
        <f>IF(L757&lt;&gt;"",SQRT(3)*G757*L757/1000,"")</f>
        <v/>
      </c>
      <c r="AA757" t="inlineStr">
        <is>
          <t>Source=Copeland 2D/3D/4D/4R/6D/8D/9R compressors (pdf) p29</t>
        </is>
      </c>
      <c r="AB757" t="inlineStr">
        <is>
          <t>Copeland_RLA_230_460_3ph_60Hz.xlsx</t>
        </is>
      </c>
      <c r="AC757" t="inlineStr">
        <is>
          <t>Recip_2D-9R</t>
        </is>
      </c>
    </row>
    <row r="758">
      <c r="A758" t="inlineStr">
        <is>
          <t>COPELAND</t>
        </is>
      </c>
      <c r="B758" t="inlineStr">
        <is>
          <t>4DL3F63KE-FSD</t>
        </is>
      </c>
      <c r="D758" t="inlineStr">
        <is>
          <t>Reciprocating Semi-hermetic</t>
        </is>
      </c>
      <c r="E758" s="2" t="n">
        <v>3</v>
      </c>
      <c r="F758" s="2" t="n">
        <v>60</v>
      </c>
      <c r="G758" s="2" t="n">
        <v>460</v>
      </c>
      <c r="H758" t="inlineStr">
        <is>
          <t>460</t>
        </is>
      </c>
      <c r="I758" s="2" t="n">
        <v>460</v>
      </c>
      <c r="J758" s="2" t="n">
        <v>460</v>
      </c>
      <c r="L758" s="3" t="n"/>
      <c r="M758" s="3" t="n"/>
      <c r="N758" s="3" t="n">
        <v>24.5</v>
      </c>
      <c r="O758" s="3" t="n"/>
      <c r="P758" s="3">
        <f>IF(L758&lt;&gt;"",L758/1.4,"")</f>
        <v/>
      </c>
      <c r="Q758" s="3">
        <f>IF(L758&lt;&gt;"",L758/1.56,"")</f>
        <v/>
      </c>
      <c r="R758" s="3">
        <f>IF(M758&lt;&gt;"",M758/1.4,"")</f>
        <v/>
      </c>
      <c r="S758" s="3">
        <f>IF(M758&lt;&gt;"",M758/1.56,"")</f>
        <v/>
      </c>
      <c r="T758" s="3">
        <f>IF(N758&lt;&gt;"",N758,IF(O758&lt;&gt;"",O758,IF(L758&lt;&gt;"",L758/1.56,IF(M758&lt;&gt;"",M758/1.56,""))))</f>
        <v/>
      </c>
      <c r="U758" s="3" t="n">
        <v>136</v>
      </c>
      <c r="V758" s="3" t="n">
        <v>81.59999999999999</v>
      </c>
      <c r="W758" s="3" t="n"/>
      <c r="X758" s="4" t="n"/>
      <c r="Y758" s="5" t="n">
        <v>0.84</v>
      </c>
      <c r="Z758" s="4">
        <f>IF(L758&lt;&gt;"",SQRT(3)*G758*L758/1000,"")</f>
        <v/>
      </c>
      <c r="AA758" t="inlineStr">
        <is>
          <t>Source=Copeland 2D/3D/4D/4R/6D/8D/9R compressors (pdf) p29; PWS_RLA=12.3</t>
        </is>
      </c>
      <c r="AB758" t="inlineStr">
        <is>
          <t>Copeland_RLA_230_460_3ph_60Hz.xlsx</t>
        </is>
      </c>
      <c r="AC758" t="inlineStr">
        <is>
          <t>Recip_2D-9R</t>
        </is>
      </c>
    </row>
    <row r="759">
      <c r="A759" t="inlineStr">
        <is>
          <t>COPELAND</t>
        </is>
      </c>
      <c r="B759" t="inlineStr">
        <is>
          <t>4DL3F63KE-TSK</t>
        </is>
      </c>
      <c r="D759" t="inlineStr">
        <is>
          <t>Reciprocating Semi-hermetic</t>
        </is>
      </c>
      <c r="E759" s="2" t="n">
        <v>3</v>
      </c>
      <c r="F759" s="2" t="n">
        <v>60</v>
      </c>
      <c r="G759" s="2" t="n">
        <v>230</v>
      </c>
      <c r="H759" t="inlineStr">
        <is>
          <t>208/230</t>
        </is>
      </c>
      <c r="I759" s="2" t="n">
        <v>208</v>
      </c>
      <c r="J759" s="2" t="n">
        <v>230</v>
      </c>
      <c r="L759" s="3" t="n"/>
      <c r="M759" s="3" t="n"/>
      <c r="N759" s="3" t="n">
        <v>52.6</v>
      </c>
      <c r="O759" s="3" t="n"/>
      <c r="P759" s="3">
        <f>IF(L759&lt;&gt;"",L759/1.4,"")</f>
        <v/>
      </c>
      <c r="Q759" s="3">
        <f>IF(L759&lt;&gt;"",L759/1.56,"")</f>
        <v/>
      </c>
      <c r="R759" s="3">
        <f>IF(M759&lt;&gt;"",M759/1.4,"")</f>
        <v/>
      </c>
      <c r="S759" s="3">
        <f>IF(M759&lt;&gt;"",M759/1.56,"")</f>
        <v/>
      </c>
      <c r="T759" s="3">
        <f>IF(N759&lt;&gt;"",N759,IF(O759&lt;&gt;"",O759,IF(L759&lt;&gt;"",L759/1.56,IF(M759&lt;&gt;"",M759/1.56,""))))</f>
        <v/>
      </c>
      <c r="U759" s="3" t="n">
        <v>278</v>
      </c>
      <c r="V759" s="3" t="n">
        <v>170</v>
      </c>
      <c r="W759" s="3" t="n"/>
      <c r="X759" s="4" t="n"/>
      <c r="Y759" s="5" t="n">
        <v>0.208</v>
      </c>
      <c r="Z759" s="4">
        <f>IF(L759&lt;&gt;"",SQRT(3)*G759*L759/1000,"")</f>
        <v/>
      </c>
      <c r="AA759" t="inlineStr">
        <is>
          <t>Source=Copeland 2D/3D/4D/4R/6D/8D/9R compressors (pdf) p30; PWS_RLA=26.3</t>
        </is>
      </c>
      <c r="AB759" t="inlineStr">
        <is>
          <t>Copeland_RLA_230_460_3ph_60Hz.xlsx</t>
        </is>
      </c>
      <c r="AC759" t="inlineStr">
        <is>
          <t>Recip_2D-9R</t>
        </is>
      </c>
    </row>
    <row r="760">
      <c r="A760" t="inlineStr">
        <is>
          <t>COPELAND</t>
        </is>
      </c>
      <c r="B760" t="inlineStr">
        <is>
          <t>4DL3F63KE-TSK</t>
        </is>
      </c>
      <c r="D760" t="inlineStr">
        <is>
          <t>Reciprocating Semi-hermetic</t>
        </is>
      </c>
      <c r="E760" s="2" t="n">
        <v>3</v>
      </c>
      <c r="F760" s="2" t="n">
        <v>60</v>
      </c>
      <c r="G760" s="2" t="n">
        <v>460</v>
      </c>
      <c r="H760" t="inlineStr">
        <is>
          <t>460</t>
        </is>
      </c>
      <c r="I760" s="2" t="n">
        <v>460</v>
      </c>
      <c r="J760" s="2" t="n">
        <v>460</v>
      </c>
      <c r="L760" s="3" t="n"/>
      <c r="M760" s="3" t="n"/>
      <c r="N760" s="3" t="n">
        <v>26.3</v>
      </c>
      <c r="O760" s="3" t="n"/>
      <c r="P760" s="3">
        <f>IF(L760&lt;&gt;"",L760/1.4,"")</f>
        <v/>
      </c>
      <c r="Q760" s="3">
        <f>IF(L760&lt;&gt;"",L760/1.56,"")</f>
        <v/>
      </c>
      <c r="R760" s="3">
        <f>IF(M760&lt;&gt;"",M760/1.4,"")</f>
        <v/>
      </c>
      <c r="S760" s="3">
        <f>IF(M760&lt;&gt;"",M760/1.56,"")</f>
        <v/>
      </c>
      <c r="T760" s="3">
        <f>IF(N760&lt;&gt;"",N760,IF(O760&lt;&gt;"",O760,IF(L760&lt;&gt;"",L760/1.56,IF(M760&lt;&gt;"",M760/1.56,""))))</f>
        <v/>
      </c>
      <c r="U760" s="3" t="n">
        <v>139</v>
      </c>
      <c r="V760" s="3" t="n"/>
      <c r="W760" s="3" t="n"/>
      <c r="X760" s="4" t="n"/>
      <c r="Y760" s="5" t="n">
        <v>0.832</v>
      </c>
      <c r="Z760" s="4">
        <f>IF(L760&lt;&gt;"",SQRT(3)*G760*L760/1000,"")</f>
        <v/>
      </c>
      <c r="AA760" t="inlineStr">
        <is>
          <t>Source=Copeland 2D/3D/4D/4R/6D/8D/9R compressors (pdf) p30</t>
        </is>
      </c>
      <c r="AB760" t="inlineStr">
        <is>
          <t>Copeland_RLA_230_460_3ph_60Hz.xlsx</t>
        </is>
      </c>
      <c r="AC760" t="inlineStr">
        <is>
          <t>Recip_2D-9R</t>
        </is>
      </c>
    </row>
    <row r="761">
      <c r="A761" t="inlineStr">
        <is>
          <t>COPELAND</t>
        </is>
      </c>
      <c r="B761" t="inlineStr">
        <is>
          <t>4DL3F63KL-FSD</t>
        </is>
      </c>
      <c r="D761" t="inlineStr">
        <is>
          <t>Reciprocating Semi-hermetic</t>
        </is>
      </c>
      <c r="E761" s="2" t="n">
        <v>3</v>
      </c>
      <c r="F761" s="2" t="n">
        <v>60</v>
      </c>
      <c r="G761" s="2" t="n">
        <v>460</v>
      </c>
      <c r="H761" t="inlineStr">
        <is>
          <t>460</t>
        </is>
      </c>
      <c r="I761" s="2" t="n">
        <v>460</v>
      </c>
      <c r="J761" s="2" t="n">
        <v>460</v>
      </c>
      <c r="L761" s="3" t="n"/>
      <c r="M761" s="3" t="n"/>
      <c r="N761" s="3" t="n">
        <v>24.5</v>
      </c>
      <c r="O761" s="3" t="n"/>
      <c r="P761" s="3">
        <f>IF(L761&lt;&gt;"",L761/1.4,"")</f>
        <v/>
      </c>
      <c r="Q761" s="3">
        <f>IF(L761&lt;&gt;"",L761/1.56,"")</f>
        <v/>
      </c>
      <c r="R761" s="3">
        <f>IF(M761&lt;&gt;"",M761/1.4,"")</f>
        <v/>
      </c>
      <c r="S761" s="3">
        <f>IF(M761&lt;&gt;"",M761/1.56,"")</f>
        <v/>
      </c>
      <c r="T761" s="3">
        <f>IF(N761&lt;&gt;"",N761,IF(O761&lt;&gt;"",O761,IF(L761&lt;&gt;"",L761/1.56,IF(M761&lt;&gt;"",M761/1.56,""))))</f>
        <v/>
      </c>
      <c r="U761" s="3" t="n">
        <v>136</v>
      </c>
      <c r="V761" s="3" t="n">
        <v>81.59999999999999</v>
      </c>
      <c r="W761" s="3" t="n"/>
      <c r="X761" s="4" t="n"/>
      <c r="Y761" s="5" t="n">
        <v>0.84</v>
      </c>
      <c r="Z761" s="4">
        <f>IF(L761&lt;&gt;"",SQRT(3)*G761*L761/1000,"")</f>
        <v/>
      </c>
      <c r="AA761" t="inlineStr">
        <is>
          <t>Source=Copeland 2D/3D/4D/4R/6D/8D/9R compressors (pdf) p30; PWS_RLA=12.3</t>
        </is>
      </c>
      <c r="AB761" t="inlineStr">
        <is>
          <t>Copeland_RLA_230_460_3ph_60Hz.xlsx</t>
        </is>
      </c>
      <c r="AC761" t="inlineStr">
        <is>
          <t>Recip_2D-9R</t>
        </is>
      </c>
    </row>
    <row r="762">
      <c r="A762" t="inlineStr">
        <is>
          <t>COPELAND</t>
        </is>
      </c>
      <c r="B762" t="inlineStr">
        <is>
          <t>4DL3F63KL-TSK</t>
        </is>
      </c>
      <c r="D762" t="inlineStr">
        <is>
          <t>Reciprocating Semi-hermetic</t>
        </is>
      </c>
      <c r="E762" s="2" t="n">
        <v>3</v>
      </c>
      <c r="F762" s="2" t="n">
        <v>60</v>
      </c>
      <c r="G762" s="2" t="n">
        <v>230</v>
      </c>
      <c r="H762" t="inlineStr">
        <is>
          <t>208/230</t>
        </is>
      </c>
      <c r="I762" s="2" t="n">
        <v>208</v>
      </c>
      <c r="J762" s="2" t="n">
        <v>230</v>
      </c>
      <c r="L762" s="3" t="n"/>
      <c r="M762" s="3" t="n"/>
      <c r="N762" s="3" t="n">
        <v>52.6</v>
      </c>
      <c r="O762" s="3" t="n"/>
      <c r="P762" s="3">
        <f>IF(L762&lt;&gt;"",L762/1.4,"")</f>
        <v/>
      </c>
      <c r="Q762" s="3">
        <f>IF(L762&lt;&gt;"",L762/1.56,"")</f>
        <v/>
      </c>
      <c r="R762" s="3">
        <f>IF(M762&lt;&gt;"",M762/1.4,"")</f>
        <v/>
      </c>
      <c r="S762" s="3">
        <f>IF(M762&lt;&gt;"",M762/1.56,"")</f>
        <v/>
      </c>
      <c r="T762" s="3">
        <f>IF(N762&lt;&gt;"",N762,IF(O762&lt;&gt;"",O762,IF(L762&lt;&gt;"",L762/1.56,IF(M762&lt;&gt;"",M762/1.56,""))))</f>
        <v/>
      </c>
      <c r="U762" s="3" t="n">
        <v>278</v>
      </c>
      <c r="V762" s="3" t="n">
        <v>170</v>
      </c>
      <c r="W762" s="3" t="n"/>
      <c r="X762" s="4" t="n"/>
      <c r="Y762" s="5" t="n">
        <v>0.208</v>
      </c>
      <c r="Z762" s="4">
        <f>IF(L762&lt;&gt;"",SQRT(3)*G762*L762/1000,"")</f>
        <v/>
      </c>
      <c r="AA762" t="inlineStr">
        <is>
          <t>Source=Copeland 2D/3D/4D/4R/6D/8D/9R compressors (pdf) p30; PWS_RLA=26.3</t>
        </is>
      </c>
      <c r="AB762" t="inlineStr">
        <is>
          <t>Copeland_RLA_230_460_3ph_60Hz.xlsx</t>
        </is>
      </c>
      <c r="AC762" t="inlineStr">
        <is>
          <t>Recip_2D-9R</t>
        </is>
      </c>
    </row>
    <row r="763">
      <c r="A763" t="inlineStr">
        <is>
          <t>COPELAND</t>
        </is>
      </c>
      <c r="B763" t="inlineStr">
        <is>
          <t>4DL3F63KL-TSK</t>
        </is>
      </c>
      <c r="D763" t="inlineStr">
        <is>
          <t>Reciprocating Semi-hermetic</t>
        </is>
      </c>
      <c r="E763" s="2" t="n">
        <v>3</v>
      </c>
      <c r="F763" s="2" t="n">
        <v>60</v>
      </c>
      <c r="G763" s="2" t="n">
        <v>460</v>
      </c>
      <c r="H763" t="inlineStr">
        <is>
          <t>460</t>
        </is>
      </c>
      <c r="I763" s="2" t="n">
        <v>460</v>
      </c>
      <c r="J763" s="2" t="n">
        <v>460</v>
      </c>
      <c r="L763" s="3" t="n"/>
      <c r="M763" s="3" t="n"/>
      <c r="N763" s="3" t="n">
        <v>26.3</v>
      </c>
      <c r="O763" s="3" t="n"/>
      <c r="P763" s="3">
        <f>IF(L763&lt;&gt;"",L763/1.4,"")</f>
        <v/>
      </c>
      <c r="Q763" s="3">
        <f>IF(L763&lt;&gt;"",L763/1.56,"")</f>
        <v/>
      </c>
      <c r="R763" s="3">
        <f>IF(M763&lt;&gt;"",M763/1.4,"")</f>
        <v/>
      </c>
      <c r="S763" s="3">
        <f>IF(M763&lt;&gt;"",M763/1.56,"")</f>
        <v/>
      </c>
      <c r="T763" s="3">
        <f>IF(N763&lt;&gt;"",N763,IF(O763&lt;&gt;"",O763,IF(L763&lt;&gt;"",L763/1.56,IF(M763&lt;&gt;"",M763/1.56,""))))</f>
        <v/>
      </c>
      <c r="U763" s="3" t="n">
        <v>139</v>
      </c>
      <c r="V763" s="3" t="n"/>
      <c r="W763" s="3" t="n"/>
      <c r="X763" s="4" t="n"/>
      <c r="Y763" s="5" t="n">
        <v>0.832</v>
      </c>
      <c r="Z763" s="4">
        <f>IF(L763&lt;&gt;"",SQRT(3)*G763*L763/1000,"")</f>
        <v/>
      </c>
      <c r="AA763" t="inlineStr">
        <is>
          <t>Source=Copeland 2D/3D/4D/4R/6D/8D/9R compressors (pdf) p30</t>
        </is>
      </c>
      <c r="AB763" t="inlineStr">
        <is>
          <t>Copeland_RLA_230_460_3ph_60Hz.xlsx</t>
        </is>
      </c>
      <c r="AC763" t="inlineStr">
        <is>
          <t>Recip_2D-9R</t>
        </is>
      </c>
    </row>
    <row r="764">
      <c r="A764" t="inlineStr">
        <is>
          <t>COPELAND</t>
        </is>
      </c>
      <c r="B764" t="inlineStr">
        <is>
          <t>4DL8A1500-TSK</t>
        </is>
      </c>
      <c r="D764" t="inlineStr">
        <is>
          <t>Reciprocating Semi-hermetic</t>
        </is>
      </c>
      <c r="E764" s="2" t="n">
        <v>3</v>
      </c>
      <c r="F764" s="2" t="n">
        <v>60</v>
      </c>
      <c r="G764" s="2" t="n">
        <v>230</v>
      </c>
      <c r="H764" t="inlineStr">
        <is>
          <t>208/230</t>
        </is>
      </c>
      <c r="I764" s="2" t="n">
        <v>208</v>
      </c>
      <c r="J764" s="2" t="n">
        <v>230</v>
      </c>
      <c r="L764" s="3" t="n"/>
      <c r="M764" s="3" t="n"/>
      <c r="N764" s="3" t="n">
        <v>52.6</v>
      </c>
      <c r="O764" s="3" t="n"/>
      <c r="P764" s="3">
        <f>IF(L764&lt;&gt;"",L764/1.4,"")</f>
        <v/>
      </c>
      <c r="Q764" s="3">
        <f>IF(L764&lt;&gt;"",L764/1.56,"")</f>
        <v/>
      </c>
      <c r="R764" s="3">
        <f>IF(M764&lt;&gt;"",M764/1.4,"")</f>
        <v/>
      </c>
      <c r="S764" s="3">
        <f>IF(M764&lt;&gt;"",M764/1.56,"")</f>
        <v/>
      </c>
      <c r="T764" s="3">
        <f>IF(N764&lt;&gt;"",N764,IF(O764&lt;&gt;"",O764,IF(L764&lt;&gt;"",L764/1.56,IF(M764&lt;&gt;"",M764/1.56,""))))</f>
        <v/>
      </c>
      <c r="U764" s="3" t="n">
        <v>278</v>
      </c>
      <c r="V764" s="3" t="n">
        <v>170</v>
      </c>
      <c r="W764" s="3" t="n"/>
      <c r="X764" s="4" t="n"/>
      <c r="Y764" s="5" t="n">
        <v>0.208</v>
      </c>
      <c r="Z764" s="4">
        <f>IF(L764&lt;&gt;"",SQRT(3)*G764*L764/1000,"")</f>
        <v/>
      </c>
      <c r="AA764" t="inlineStr">
        <is>
          <t>Source=Copeland 2D/3D/4D/4R/6D/8D/9R compressors (pdf) p30; PWS_RLA=26.3</t>
        </is>
      </c>
      <c r="AB764" t="inlineStr">
        <is>
          <t>Copeland_RLA_230_460_3ph_60Hz.xlsx</t>
        </is>
      </c>
      <c r="AC764" t="inlineStr">
        <is>
          <t>Recip_2D-9R</t>
        </is>
      </c>
    </row>
    <row r="765">
      <c r="A765" t="inlineStr">
        <is>
          <t>COPELAND</t>
        </is>
      </c>
      <c r="B765" t="inlineStr">
        <is>
          <t>4DL8A1500-TSK</t>
        </is>
      </c>
      <c r="D765" t="inlineStr">
        <is>
          <t>Reciprocating Semi-hermetic</t>
        </is>
      </c>
      <c r="E765" s="2" t="n">
        <v>3</v>
      </c>
      <c r="F765" s="2" t="n">
        <v>60</v>
      </c>
      <c r="G765" s="2" t="n">
        <v>460</v>
      </c>
      <c r="H765" t="inlineStr">
        <is>
          <t>460</t>
        </is>
      </c>
      <c r="I765" s="2" t="n">
        <v>460</v>
      </c>
      <c r="J765" s="2" t="n">
        <v>460</v>
      </c>
      <c r="L765" s="3" t="n"/>
      <c r="M765" s="3" t="n"/>
      <c r="N765" s="3" t="n">
        <v>26.3</v>
      </c>
      <c r="O765" s="3" t="n"/>
      <c r="P765" s="3">
        <f>IF(L765&lt;&gt;"",L765/1.4,"")</f>
        <v/>
      </c>
      <c r="Q765" s="3">
        <f>IF(L765&lt;&gt;"",L765/1.56,"")</f>
        <v/>
      </c>
      <c r="R765" s="3">
        <f>IF(M765&lt;&gt;"",M765/1.4,"")</f>
        <v/>
      </c>
      <c r="S765" s="3">
        <f>IF(M765&lt;&gt;"",M765/1.56,"")</f>
        <v/>
      </c>
      <c r="T765" s="3">
        <f>IF(N765&lt;&gt;"",N765,IF(O765&lt;&gt;"",O765,IF(L765&lt;&gt;"",L765/1.56,IF(M765&lt;&gt;"",M765/1.56,""))))</f>
        <v/>
      </c>
      <c r="U765" s="3" t="n">
        <v>139</v>
      </c>
      <c r="V765" s="3" t="n"/>
      <c r="W765" s="3" t="n"/>
      <c r="X765" s="4" t="n"/>
      <c r="Y765" s="5" t="n">
        <v>0.832</v>
      </c>
      <c r="Z765" s="4">
        <f>IF(L765&lt;&gt;"",SQRT(3)*G765*L765/1000,"")</f>
        <v/>
      </c>
      <c r="AA765" t="inlineStr">
        <is>
          <t>Source=Copeland 2D/3D/4D/4R/6D/8D/9R compressors (pdf) p30</t>
        </is>
      </c>
      <c r="AB765" t="inlineStr">
        <is>
          <t>Copeland_RLA_230_460_3ph_60Hz.xlsx</t>
        </is>
      </c>
      <c r="AC765" t="inlineStr">
        <is>
          <t>Recip_2D-9R</t>
        </is>
      </c>
    </row>
    <row r="766">
      <c r="A766" t="inlineStr">
        <is>
          <t>COPELAND</t>
        </is>
      </c>
      <c r="B766" t="inlineStr">
        <is>
          <t>4DLDF63KL-TSK</t>
        </is>
      </c>
      <c r="D766" t="inlineStr">
        <is>
          <t>Reciprocating Semi-hermetic</t>
        </is>
      </c>
      <c r="E766" s="2" t="n">
        <v>3</v>
      </c>
      <c r="F766" s="2" t="n">
        <v>60</v>
      </c>
      <c r="G766" s="2" t="n">
        <v>230</v>
      </c>
      <c r="H766" t="inlineStr">
        <is>
          <t>208/230</t>
        </is>
      </c>
      <c r="I766" s="2" t="n">
        <v>208</v>
      </c>
      <c r="J766" s="2" t="n">
        <v>230</v>
      </c>
      <c r="L766" s="3" t="n"/>
      <c r="M766" s="3" t="n"/>
      <c r="N766" s="3" t="n">
        <v>52.6</v>
      </c>
      <c r="O766" s="3" t="n"/>
      <c r="P766" s="3">
        <f>IF(L766&lt;&gt;"",L766/1.4,"")</f>
        <v/>
      </c>
      <c r="Q766" s="3">
        <f>IF(L766&lt;&gt;"",L766/1.56,"")</f>
        <v/>
      </c>
      <c r="R766" s="3">
        <f>IF(M766&lt;&gt;"",M766/1.4,"")</f>
        <v/>
      </c>
      <c r="S766" s="3">
        <f>IF(M766&lt;&gt;"",M766/1.56,"")</f>
        <v/>
      </c>
      <c r="T766" s="3">
        <f>IF(N766&lt;&gt;"",N766,IF(O766&lt;&gt;"",O766,IF(L766&lt;&gt;"",L766/1.56,IF(M766&lt;&gt;"",M766/1.56,""))))</f>
        <v/>
      </c>
      <c r="U766" s="3" t="n">
        <v>278</v>
      </c>
      <c r="V766" s="3" t="n">
        <v>170</v>
      </c>
      <c r="W766" s="3" t="n"/>
      <c r="X766" s="4" t="n"/>
      <c r="Y766" s="5" t="n">
        <v>0.208</v>
      </c>
      <c r="Z766" s="4">
        <f>IF(L766&lt;&gt;"",SQRT(3)*G766*L766/1000,"")</f>
        <v/>
      </c>
      <c r="AA766" t="inlineStr">
        <is>
          <t>Source=Copeland 2D/3D/4D/4R/6D/8D/9R compressors (pdf) p30; PWS_RLA=26.3</t>
        </is>
      </c>
      <c r="AB766" t="inlineStr">
        <is>
          <t>Copeland_RLA_230_460_3ph_60Hz.xlsx</t>
        </is>
      </c>
      <c r="AC766" t="inlineStr">
        <is>
          <t>Recip_2D-9R</t>
        </is>
      </c>
    </row>
    <row r="767">
      <c r="A767" t="inlineStr">
        <is>
          <t>COPELAND</t>
        </is>
      </c>
      <c r="B767" t="inlineStr">
        <is>
          <t>4DLDF63KL-TSK</t>
        </is>
      </c>
      <c r="D767" t="inlineStr">
        <is>
          <t>Reciprocating Semi-hermetic</t>
        </is>
      </c>
      <c r="E767" s="2" t="n">
        <v>3</v>
      </c>
      <c r="F767" s="2" t="n">
        <v>60</v>
      </c>
      <c r="G767" s="2" t="n">
        <v>460</v>
      </c>
      <c r="H767" t="inlineStr">
        <is>
          <t>460</t>
        </is>
      </c>
      <c r="I767" s="2" t="n">
        <v>460</v>
      </c>
      <c r="J767" s="2" t="n">
        <v>460</v>
      </c>
      <c r="L767" s="3" t="n"/>
      <c r="M767" s="3" t="n"/>
      <c r="N767" s="3" t="n">
        <v>26.3</v>
      </c>
      <c r="O767" s="3" t="n"/>
      <c r="P767" s="3">
        <f>IF(L767&lt;&gt;"",L767/1.4,"")</f>
        <v/>
      </c>
      <c r="Q767" s="3">
        <f>IF(L767&lt;&gt;"",L767/1.56,"")</f>
        <v/>
      </c>
      <c r="R767" s="3">
        <f>IF(M767&lt;&gt;"",M767/1.4,"")</f>
        <v/>
      </c>
      <c r="S767" s="3">
        <f>IF(M767&lt;&gt;"",M767/1.56,"")</f>
        <v/>
      </c>
      <c r="T767" s="3">
        <f>IF(N767&lt;&gt;"",N767,IF(O767&lt;&gt;"",O767,IF(L767&lt;&gt;"",L767/1.56,IF(M767&lt;&gt;"",M767/1.56,""))))</f>
        <v/>
      </c>
      <c r="U767" s="3" t="n">
        <v>139</v>
      </c>
      <c r="V767" s="3" t="n"/>
      <c r="W767" s="3" t="n"/>
      <c r="X767" s="4" t="n"/>
      <c r="Y767" s="5" t="n">
        <v>0.832</v>
      </c>
      <c r="Z767" s="4">
        <f>IF(L767&lt;&gt;"",SQRT(3)*G767*L767/1000,"")</f>
        <v/>
      </c>
      <c r="AA767" t="inlineStr">
        <is>
          <t>Source=Copeland 2D/3D/4D/4R/6D/8D/9R compressors (pdf) p30</t>
        </is>
      </c>
      <c r="AB767" t="inlineStr">
        <is>
          <t>Copeland_RLA_230_460_3ph_60Hz.xlsx</t>
        </is>
      </c>
      <c r="AC767" t="inlineStr">
        <is>
          <t>Recip_2D-9R</t>
        </is>
      </c>
    </row>
    <row r="768">
      <c r="A768" t="inlineStr">
        <is>
          <t>COPELAND</t>
        </is>
      </c>
      <c r="B768" t="inlineStr">
        <is>
          <t>4DLG-1500-FSD</t>
        </is>
      </c>
      <c r="D768" t="inlineStr">
        <is>
          <t>Reciprocating Semi-hermetic</t>
        </is>
      </c>
      <c r="E768" s="2" t="n">
        <v>3</v>
      </c>
      <c r="F768" s="2" t="n">
        <v>60</v>
      </c>
      <c r="G768" s="2" t="n">
        <v>460</v>
      </c>
      <c r="H768" t="inlineStr">
        <is>
          <t>460</t>
        </is>
      </c>
      <c r="I768" s="2" t="n">
        <v>460</v>
      </c>
      <c r="J768" s="2" t="n">
        <v>460</v>
      </c>
      <c r="L768" s="3" t="n"/>
      <c r="M768" s="3" t="n"/>
      <c r="N768" s="3" t="n">
        <v>24.5</v>
      </c>
      <c r="O768" s="3" t="n"/>
      <c r="P768" s="3">
        <f>IF(L768&lt;&gt;"",L768/1.4,"")</f>
        <v/>
      </c>
      <c r="Q768" s="3">
        <f>IF(L768&lt;&gt;"",L768/1.56,"")</f>
        <v/>
      </c>
      <c r="R768" s="3">
        <f>IF(M768&lt;&gt;"",M768/1.4,"")</f>
        <v/>
      </c>
      <c r="S768" s="3">
        <f>IF(M768&lt;&gt;"",M768/1.56,"")</f>
        <v/>
      </c>
      <c r="T768" s="3">
        <f>IF(N768&lt;&gt;"",N768,IF(O768&lt;&gt;"",O768,IF(L768&lt;&gt;"",L768/1.56,IF(M768&lt;&gt;"",M768/1.56,""))))</f>
        <v/>
      </c>
      <c r="U768" s="3" t="n">
        <v>136</v>
      </c>
      <c r="V768" s="3" t="n">
        <v>81.59999999999999</v>
      </c>
      <c r="W768" s="3" t="n"/>
      <c r="X768" s="4" t="n"/>
      <c r="Y768" s="5" t="n">
        <v>0.84</v>
      </c>
      <c r="Z768" s="4">
        <f>IF(L768&lt;&gt;"",SQRT(3)*G768*L768/1000,"")</f>
        <v/>
      </c>
      <c r="AA768" t="inlineStr">
        <is>
          <t>Source=Copeland 2D/3D/4D/4R/6D/8D/9R compressors (pdf) p30; PWS_RLA=12.3</t>
        </is>
      </c>
      <c r="AB768" t="inlineStr">
        <is>
          <t>Copeland_RLA_230_460_3ph_60Hz.xlsx</t>
        </is>
      </c>
      <c r="AC768" t="inlineStr">
        <is>
          <t>Recip_2D-9R</t>
        </is>
      </c>
    </row>
    <row r="769">
      <c r="A769" t="inlineStr">
        <is>
          <t>COPELAND</t>
        </is>
      </c>
      <c r="B769" t="inlineStr">
        <is>
          <t>4DLG-1500-TSK</t>
        </is>
      </c>
      <c r="D769" t="inlineStr">
        <is>
          <t>Reciprocating Semi-hermetic</t>
        </is>
      </c>
      <c r="E769" s="2" t="n">
        <v>3</v>
      </c>
      <c r="F769" s="2" t="n">
        <v>60</v>
      </c>
      <c r="G769" s="2" t="n">
        <v>230</v>
      </c>
      <c r="H769" t="inlineStr">
        <is>
          <t>208/230</t>
        </is>
      </c>
      <c r="I769" s="2" t="n">
        <v>208</v>
      </c>
      <c r="J769" s="2" t="n">
        <v>230</v>
      </c>
      <c r="L769" s="3" t="n"/>
      <c r="M769" s="3" t="n"/>
      <c r="N769" s="3" t="n">
        <v>52.6</v>
      </c>
      <c r="O769" s="3" t="n"/>
      <c r="P769" s="3">
        <f>IF(L769&lt;&gt;"",L769/1.4,"")</f>
        <v/>
      </c>
      <c r="Q769" s="3">
        <f>IF(L769&lt;&gt;"",L769/1.56,"")</f>
        <v/>
      </c>
      <c r="R769" s="3">
        <f>IF(M769&lt;&gt;"",M769/1.4,"")</f>
        <v/>
      </c>
      <c r="S769" s="3">
        <f>IF(M769&lt;&gt;"",M769/1.56,"")</f>
        <v/>
      </c>
      <c r="T769" s="3">
        <f>IF(N769&lt;&gt;"",N769,IF(O769&lt;&gt;"",O769,IF(L769&lt;&gt;"",L769/1.56,IF(M769&lt;&gt;"",M769/1.56,""))))</f>
        <v/>
      </c>
      <c r="U769" s="3" t="n">
        <v>278</v>
      </c>
      <c r="V769" s="3" t="n">
        <v>170</v>
      </c>
      <c r="W769" s="3" t="n"/>
      <c r="X769" s="4" t="n"/>
      <c r="Y769" s="5" t="n">
        <v>0.208</v>
      </c>
      <c r="Z769" s="4">
        <f>IF(L769&lt;&gt;"",SQRT(3)*G769*L769/1000,"")</f>
        <v/>
      </c>
      <c r="AA769" t="inlineStr">
        <is>
          <t>Source=Copeland 2D/3D/4D/4R/6D/8D/9R compressors (pdf) p30; PWS_RLA=26.3</t>
        </is>
      </c>
      <c r="AB769" t="inlineStr">
        <is>
          <t>Copeland_RLA_230_460_3ph_60Hz.xlsx</t>
        </is>
      </c>
      <c r="AC769" t="inlineStr">
        <is>
          <t>Recip_2D-9R</t>
        </is>
      </c>
    </row>
    <row r="770">
      <c r="A770" t="inlineStr">
        <is>
          <t>COPELAND</t>
        </is>
      </c>
      <c r="B770" t="inlineStr">
        <is>
          <t>4DLG-1500-TSK</t>
        </is>
      </c>
      <c r="D770" t="inlineStr">
        <is>
          <t>Reciprocating Semi-hermetic</t>
        </is>
      </c>
      <c r="E770" s="2" t="n">
        <v>3</v>
      </c>
      <c r="F770" s="2" t="n">
        <v>60</v>
      </c>
      <c r="G770" s="2" t="n">
        <v>460</v>
      </c>
      <c r="H770" t="inlineStr">
        <is>
          <t>460</t>
        </is>
      </c>
      <c r="I770" s="2" t="n">
        <v>460</v>
      </c>
      <c r="J770" s="2" t="n">
        <v>460</v>
      </c>
      <c r="L770" s="3" t="n"/>
      <c r="M770" s="3" t="n"/>
      <c r="N770" s="3" t="n">
        <v>26.3</v>
      </c>
      <c r="O770" s="3" t="n"/>
      <c r="P770" s="3">
        <f>IF(L770&lt;&gt;"",L770/1.4,"")</f>
        <v/>
      </c>
      <c r="Q770" s="3">
        <f>IF(L770&lt;&gt;"",L770/1.56,"")</f>
        <v/>
      </c>
      <c r="R770" s="3">
        <f>IF(M770&lt;&gt;"",M770/1.4,"")</f>
        <v/>
      </c>
      <c r="S770" s="3">
        <f>IF(M770&lt;&gt;"",M770/1.56,"")</f>
        <v/>
      </c>
      <c r="T770" s="3">
        <f>IF(N770&lt;&gt;"",N770,IF(O770&lt;&gt;"",O770,IF(L770&lt;&gt;"",L770/1.56,IF(M770&lt;&gt;"",M770/1.56,""))))</f>
        <v/>
      </c>
      <c r="U770" s="3" t="n">
        <v>139</v>
      </c>
      <c r="V770" s="3" t="n"/>
      <c r="W770" s="3" t="n"/>
      <c r="X770" s="4" t="n"/>
      <c r="Y770" s="5" t="n">
        <v>0.832</v>
      </c>
      <c r="Z770" s="4">
        <f>IF(L770&lt;&gt;"",SQRT(3)*G770*L770/1000,"")</f>
        <v/>
      </c>
      <c r="AA770" t="inlineStr">
        <is>
          <t>Source=Copeland 2D/3D/4D/4R/6D/8D/9R compressors (pdf) p30</t>
        </is>
      </c>
      <c r="AB770" t="inlineStr">
        <is>
          <t>Copeland_RLA_230_460_3ph_60Hz.xlsx</t>
        </is>
      </c>
      <c r="AC770" t="inlineStr">
        <is>
          <t>Recip_2D-9R</t>
        </is>
      </c>
    </row>
    <row r="771">
      <c r="A771" t="inlineStr">
        <is>
          <t>COPELAND</t>
        </is>
      </c>
      <c r="B771" t="inlineStr">
        <is>
          <t>4DLG-150E-FSD</t>
        </is>
      </c>
      <c r="D771" t="inlineStr">
        <is>
          <t>Reciprocating Semi-hermetic</t>
        </is>
      </c>
      <c r="E771" s="2" t="n">
        <v>3</v>
      </c>
      <c r="F771" s="2" t="n">
        <v>60</v>
      </c>
      <c r="G771" s="2" t="n">
        <v>460</v>
      </c>
      <c r="H771" t="inlineStr">
        <is>
          <t>460</t>
        </is>
      </c>
      <c r="I771" s="2" t="n">
        <v>460</v>
      </c>
      <c r="J771" s="2" t="n">
        <v>460</v>
      </c>
      <c r="L771" s="3" t="n"/>
      <c r="M771" s="3" t="n"/>
      <c r="N771" s="3" t="n">
        <v>24.5</v>
      </c>
      <c r="O771" s="3" t="n"/>
      <c r="P771" s="3">
        <f>IF(L771&lt;&gt;"",L771/1.4,"")</f>
        <v/>
      </c>
      <c r="Q771" s="3">
        <f>IF(L771&lt;&gt;"",L771/1.56,"")</f>
        <v/>
      </c>
      <c r="R771" s="3">
        <f>IF(M771&lt;&gt;"",M771/1.4,"")</f>
        <v/>
      </c>
      <c r="S771" s="3">
        <f>IF(M771&lt;&gt;"",M771/1.56,"")</f>
        <v/>
      </c>
      <c r="T771" s="3">
        <f>IF(N771&lt;&gt;"",N771,IF(O771&lt;&gt;"",O771,IF(L771&lt;&gt;"",L771/1.56,IF(M771&lt;&gt;"",M771/1.56,""))))</f>
        <v/>
      </c>
      <c r="U771" s="3" t="n">
        <v>136</v>
      </c>
      <c r="V771" s="3" t="n">
        <v>81.59999999999999</v>
      </c>
      <c r="W771" s="3" t="n"/>
      <c r="X771" s="4" t="n"/>
      <c r="Y771" s="5" t="n">
        <v>0.84</v>
      </c>
      <c r="Z771" s="4">
        <f>IF(L771&lt;&gt;"",SQRT(3)*G771*L771/1000,"")</f>
        <v/>
      </c>
      <c r="AA771" t="inlineStr">
        <is>
          <t>Source=Copeland 2D/3D/4D/4R/6D/8D/9R compressors (pdf) p30; PWS_RLA=12.3</t>
        </is>
      </c>
      <c r="AB771" t="inlineStr">
        <is>
          <t>Copeland_RLA_230_460_3ph_60Hz.xlsx</t>
        </is>
      </c>
      <c r="AC771" t="inlineStr">
        <is>
          <t>Recip_2D-9R</t>
        </is>
      </c>
    </row>
    <row r="772">
      <c r="A772" t="inlineStr">
        <is>
          <t>COPELAND</t>
        </is>
      </c>
      <c r="B772" t="inlineStr">
        <is>
          <t>4DLG-150E-TSK</t>
        </is>
      </c>
      <c r="D772" t="inlineStr">
        <is>
          <t>Reciprocating Semi-hermetic</t>
        </is>
      </c>
      <c r="E772" s="2" t="n">
        <v>3</v>
      </c>
      <c r="F772" s="2" t="n">
        <v>60</v>
      </c>
      <c r="G772" s="2" t="n">
        <v>230</v>
      </c>
      <c r="H772" t="inlineStr">
        <is>
          <t>208/230</t>
        </is>
      </c>
      <c r="I772" s="2" t="n">
        <v>208</v>
      </c>
      <c r="J772" s="2" t="n">
        <v>230</v>
      </c>
      <c r="L772" s="3" t="n"/>
      <c r="M772" s="3" t="n"/>
      <c r="N772" s="3" t="n">
        <v>52.6</v>
      </c>
      <c r="O772" s="3" t="n"/>
      <c r="P772" s="3">
        <f>IF(L772&lt;&gt;"",L772/1.4,"")</f>
        <v/>
      </c>
      <c r="Q772" s="3">
        <f>IF(L772&lt;&gt;"",L772/1.56,"")</f>
        <v/>
      </c>
      <c r="R772" s="3">
        <f>IF(M772&lt;&gt;"",M772/1.4,"")</f>
        <v/>
      </c>
      <c r="S772" s="3">
        <f>IF(M772&lt;&gt;"",M772/1.56,"")</f>
        <v/>
      </c>
      <c r="T772" s="3">
        <f>IF(N772&lt;&gt;"",N772,IF(O772&lt;&gt;"",O772,IF(L772&lt;&gt;"",L772/1.56,IF(M772&lt;&gt;"",M772/1.56,""))))</f>
        <v/>
      </c>
      <c r="U772" s="3" t="n">
        <v>278</v>
      </c>
      <c r="V772" s="3" t="n">
        <v>170</v>
      </c>
      <c r="W772" s="3" t="n"/>
      <c r="X772" s="4" t="n"/>
      <c r="Y772" s="5" t="n">
        <v>0.208</v>
      </c>
      <c r="Z772" s="4">
        <f>IF(L772&lt;&gt;"",SQRT(3)*G772*L772/1000,"")</f>
        <v/>
      </c>
      <c r="AA772" t="inlineStr">
        <is>
          <t>Source=Copeland 2D/3D/4D/4R/6D/8D/9R compressors (pdf) p30; PWS_RLA=26.3</t>
        </is>
      </c>
      <c r="AB772" t="inlineStr">
        <is>
          <t>Copeland_RLA_230_460_3ph_60Hz.xlsx</t>
        </is>
      </c>
      <c r="AC772" t="inlineStr">
        <is>
          <t>Recip_2D-9R</t>
        </is>
      </c>
    </row>
    <row r="773">
      <c r="A773" t="inlineStr">
        <is>
          <t>COPELAND</t>
        </is>
      </c>
      <c r="B773" t="inlineStr">
        <is>
          <t>4DLG-150E-TSK</t>
        </is>
      </c>
      <c r="D773" t="inlineStr">
        <is>
          <t>Reciprocating Semi-hermetic</t>
        </is>
      </c>
      <c r="E773" s="2" t="n">
        <v>3</v>
      </c>
      <c r="F773" s="2" t="n">
        <v>60</v>
      </c>
      <c r="G773" s="2" t="n">
        <v>460</v>
      </c>
      <c r="H773" t="inlineStr">
        <is>
          <t>460</t>
        </is>
      </c>
      <c r="I773" s="2" t="n">
        <v>460</v>
      </c>
      <c r="J773" s="2" t="n">
        <v>460</v>
      </c>
      <c r="L773" s="3" t="n"/>
      <c r="M773" s="3" t="n"/>
      <c r="N773" s="3" t="n">
        <v>26.3</v>
      </c>
      <c r="O773" s="3" t="n"/>
      <c r="P773" s="3">
        <f>IF(L773&lt;&gt;"",L773/1.4,"")</f>
        <v/>
      </c>
      <c r="Q773" s="3">
        <f>IF(L773&lt;&gt;"",L773/1.56,"")</f>
        <v/>
      </c>
      <c r="R773" s="3">
        <f>IF(M773&lt;&gt;"",M773/1.4,"")</f>
        <v/>
      </c>
      <c r="S773" s="3">
        <f>IF(M773&lt;&gt;"",M773/1.56,"")</f>
        <v/>
      </c>
      <c r="T773" s="3">
        <f>IF(N773&lt;&gt;"",N773,IF(O773&lt;&gt;"",O773,IF(L773&lt;&gt;"",L773/1.56,IF(M773&lt;&gt;"",M773/1.56,""))))</f>
        <v/>
      </c>
      <c r="U773" s="3" t="n">
        <v>139</v>
      </c>
      <c r="V773" s="3" t="n"/>
      <c r="W773" s="3" t="n"/>
      <c r="X773" s="4" t="n"/>
      <c r="Y773" s="5" t="n">
        <v>0.832</v>
      </c>
      <c r="Z773" s="4">
        <f>IF(L773&lt;&gt;"",SQRT(3)*G773*L773/1000,"")</f>
        <v/>
      </c>
      <c r="AA773" t="inlineStr">
        <is>
          <t>Source=Copeland 2D/3D/4D/4R/6D/8D/9R compressors (pdf) p30</t>
        </is>
      </c>
      <c r="AB773" t="inlineStr">
        <is>
          <t>Copeland_RLA_230_460_3ph_60Hz.xlsx</t>
        </is>
      </c>
      <c r="AC773" t="inlineStr">
        <is>
          <t>Recip_2D-9R</t>
        </is>
      </c>
    </row>
    <row r="774">
      <c r="A774" t="inlineStr">
        <is>
          <t>COPELAND</t>
        </is>
      </c>
      <c r="B774" t="inlineStr">
        <is>
          <t>4DLGA1500-TSK</t>
        </is>
      </c>
      <c r="D774" t="inlineStr">
        <is>
          <t>Reciprocating Semi-hermetic</t>
        </is>
      </c>
      <c r="E774" s="2" t="n">
        <v>3</v>
      </c>
      <c r="F774" s="2" t="n">
        <v>60</v>
      </c>
      <c r="G774" s="2" t="n">
        <v>230</v>
      </c>
      <c r="H774" t="inlineStr">
        <is>
          <t>208/230</t>
        </is>
      </c>
      <c r="I774" s="2" t="n">
        <v>208</v>
      </c>
      <c r="J774" s="2" t="n">
        <v>230</v>
      </c>
      <c r="L774" s="3" t="n"/>
      <c r="M774" s="3" t="n"/>
      <c r="N774" s="3" t="n">
        <v>52.6</v>
      </c>
      <c r="O774" s="3" t="n"/>
      <c r="P774" s="3">
        <f>IF(L774&lt;&gt;"",L774/1.4,"")</f>
        <v/>
      </c>
      <c r="Q774" s="3">
        <f>IF(L774&lt;&gt;"",L774/1.56,"")</f>
        <v/>
      </c>
      <c r="R774" s="3">
        <f>IF(M774&lt;&gt;"",M774/1.4,"")</f>
        <v/>
      </c>
      <c r="S774" s="3">
        <f>IF(M774&lt;&gt;"",M774/1.56,"")</f>
        <v/>
      </c>
      <c r="T774" s="3">
        <f>IF(N774&lt;&gt;"",N774,IF(O774&lt;&gt;"",O774,IF(L774&lt;&gt;"",L774/1.56,IF(M774&lt;&gt;"",M774/1.56,""))))</f>
        <v/>
      </c>
      <c r="U774" s="3" t="n">
        <v>278</v>
      </c>
      <c r="V774" s="3" t="n">
        <v>170</v>
      </c>
      <c r="W774" s="3" t="n"/>
      <c r="X774" s="4" t="n"/>
      <c r="Y774" s="5" t="n">
        <v>0.208</v>
      </c>
      <c r="Z774" s="4">
        <f>IF(L774&lt;&gt;"",SQRT(3)*G774*L774/1000,"")</f>
        <v/>
      </c>
      <c r="AA774" t="inlineStr">
        <is>
          <t>Source=Copeland 2D/3D/4D/4R/6D/8D/9R compressors (pdf) p30; PWS_RLA=26.3</t>
        </is>
      </c>
      <c r="AB774" t="inlineStr">
        <is>
          <t>Copeland_RLA_230_460_3ph_60Hz.xlsx</t>
        </is>
      </c>
      <c r="AC774" t="inlineStr">
        <is>
          <t>Recip_2D-9R</t>
        </is>
      </c>
    </row>
    <row r="775">
      <c r="A775" t="inlineStr">
        <is>
          <t>COPELAND</t>
        </is>
      </c>
      <c r="B775" t="inlineStr">
        <is>
          <t>4DLGA1500-TSK</t>
        </is>
      </c>
      <c r="D775" t="inlineStr">
        <is>
          <t>Reciprocating Semi-hermetic</t>
        </is>
      </c>
      <c r="E775" s="2" t="n">
        <v>3</v>
      </c>
      <c r="F775" s="2" t="n">
        <v>60</v>
      </c>
      <c r="G775" s="2" t="n">
        <v>460</v>
      </c>
      <c r="H775" t="inlineStr">
        <is>
          <t>460</t>
        </is>
      </c>
      <c r="I775" s="2" t="n">
        <v>460</v>
      </c>
      <c r="J775" s="2" t="n">
        <v>460</v>
      </c>
      <c r="L775" s="3" t="n"/>
      <c r="M775" s="3" t="n"/>
      <c r="N775" s="3" t="n">
        <v>26.3</v>
      </c>
      <c r="O775" s="3" t="n"/>
      <c r="P775" s="3">
        <f>IF(L775&lt;&gt;"",L775/1.4,"")</f>
        <v/>
      </c>
      <c r="Q775" s="3">
        <f>IF(L775&lt;&gt;"",L775/1.56,"")</f>
        <v/>
      </c>
      <c r="R775" s="3">
        <f>IF(M775&lt;&gt;"",M775/1.4,"")</f>
        <v/>
      </c>
      <c r="S775" s="3">
        <f>IF(M775&lt;&gt;"",M775/1.56,"")</f>
        <v/>
      </c>
      <c r="T775" s="3">
        <f>IF(N775&lt;&gt;"",N775,IF(O775&lt;&gt;"",O775,IF(L775&lt;&gt;"",L775/1.56,IF(M775&lt;&gt;"",M775/1.56,""))))</f>
        <v/>
      </c>
      <c r="U775" s="3" t="n">
        <v>139</v>
      </c>
      <c r="V775" s="3" t="n"/>
      <c r="W775" s="3" t="n"/>
      <c r="X775" s="4" t="n"/>
      <c r="Y775" s="5" t="n">
        <v>0.832</v>
      </c>
      <c r="Z775" s="4">
        <f>IF(L775&lt;&gt;"",SQRT(3)*G775*L775/1000,"")</f>
        <v/>
      </c>
      <c r="AA775" t="inlineStr">
        <is>
          <t>Source=Copeland 2D/3D/4D/4R/6D/8D/9R compressors (pdf) p30</t>
        </is>
      </c>
      <c r="AB775" t="inlineStr">
        <is>
          <t>Copeland_RLA_230_460_3ph_60Hz.xlsx</t>
        </is>
      </c>
      <c r="AC775" t="inlineStr">
        <is>
          <t>Recip_2D-9R</t>
        </is>
      </c>
    </row>
    <row r="776">
      <c r="A776" t="inlineStr">
        <is>
          <t>COPELAND</t>
        </is>
      </c>
      <c r="B776" t="inlineStr">
        <is>
          <t>4DLGA150E-TSK</t>
        </is>
      </c>
      <c r="D776" t="inlineStr">
        <is>
          <t>Reciprocating Semi-hermetic</t>
        </is>
      </c>
      <c r="E776" s="2" t="n">
        <v>3</v>
      </c>
      <c r="F776" s="2" t="n">
        <v>60</v>
      </c>
      <c r="G776" s="2" t="n">
        <v>230</v>
      </c>
      <c r="H776" t="inlineStr">
        <is>
          <t>208/230</t>
        </is>
      </c>
      <c r="I776" s="2" t="n">
        <v>208</v>
      </c>
      <c r="J776" s="2" t="n">
        <v>230</v>
      </c>
      <c r="L776" s="3" t="n"/>
      <c r="M776" s="3" t="n"/>
      <c r="N776" s="3" t="n">
        <v>52.6</v>
      </c>
      <c r="O776" s="3" t="n"/>
      <c r="P776" s="3">
        <f>IF(L776&lt;&gt;"",L776/1.4,"")</f>
        <v/>
      </c>
      <c r="Q776" s="3">
        <f>IF(L776&lt;&gt;"",L776/1.56,"")</f>
        <v/>
      </c>
      <c r="R776" s="3">
        <f>IF(M776&lt;&gt;"",M776/1.4,"")</f>
        <v/>
      </c>
      <c r="S776" s="3">
        <f>IF(M776&lt;&gt;"",M776/1.56,"")</f>
        <v/>
      </c>
      <c r="T776" s="3">
        <f>IF(N776&lt;&gt;"",N776,IF(O776&lt;&gt;"",O776,IF(L776&lt;&gt;"",L776/1.56,IF(M776&lt;&gt;"",M776/1.56,""))))</f>
        <v/>
      </c>
      <c r="U776" s="3" t="n">
        <v>278</v>
      </c>
      <c r="V776" s="3" t="n">
        <v>170</v>
      </c>
      <c r="W776" s="3" t="n"/>
      <c r="X776" s="4" t="n"/>
      <c r="Y776" s="5" t="n">
        <v>0.208</v>
      </c>
      <c r="Z776" s="4">
        <f>IF(L776&lt;&gt;"",SQRT(3)*G776*L776/1000,"")</f>
        <v/>
      </c>
      <c r="AA776" t="inlineStr">
        <is>
          <t>Source=Copeland 2D/3D/4D/4R/6D/8D/9R compressors (pdf) p30; PWS_RLA=26.3</t>
        </is>
      </c>
      <c r="AB776" t="inlineStr">
        <is>
          <t>Copeland_RLA_230_460_3ph_60Hz.xlsx</t>
        </is>
      </c>
      <c r="AC776" t="inlineStr">
        <is>
          <t>Recip_2D-9R</t>
        </is>
      </c>
    </row>
    <row r="777">
      <c r="A777" t="inlineStr">
        <is>
          <t>COPELAND</t>
        </is>
      </c>
      <c r="B777" t="inlineStr">
        <is>
          <t>4DLGA150E-TSK</t>
        </is>
      </c>
      <c r="D777" t="inlineStr">
        <is>
          <t>Reciprocating Semi-hermetic</t>
        </is>
      </c>
      <c r="E777" s="2" t="n">
        <v>3</v>
      </c>
      <c r="F777" s="2" t="n">
        <v>60</v>
      </c>
      <c r="G777" s="2" t="n">
        <v>460</v>
      </c>
      <c r="H777" t="inlineStr">
        <is>
          <t>460</t>
        </is>
      </c>
      <c r="I777" s="2" t="n">
        <v>460</v>
      </c>
      <c r="J777" s="2" t="n">
        <v>460</v>
      </c>
      <c r="L777" s="3" t="n"/>
      <c r="M777" s="3" t="n"/>
      <c r="N777" s="3" t="n">
        <v>26.3</v>
      </c>
      <c r="O777" s="3" t="n"/>
      <c r="P777" s="3">
        <f>IF(L777&lt;&gt;"",L777/1.4,"")</f>
        <v/>
      </c>
      <c r="Q777" s="3">
        <f>IF(L777&lt;&gt;"",L777/1.56,"")</f>
        <v/>
      </c>
      <c r="R777" s="3">
        <f>IF(M777&lt;&gt;"",M777/1.4,"")</f>
        <v/>
      </c>
      <c r="S777" s="3">
        <f>IF(M777&lt;&gt;"",M777/1.56,"")</f>
        <v/>
      </c>
      <c r="T777" s="3">
        <f>IF(N777&lt;&gt;"",N777,IF(O777&lt;&gt;"",O777,IF(L777&lt;&gt;"",L777/1.56,IF(M777&lt;&gt;"",M777/1.56,""))))</f>
        <v/>
      </c>
      <c r="U777" s="3" t="n">
        <v>139</v>
      </c>
      <c r="V777" s="3" t="n"/>
      <c r="W777" s="3" t="n"/>
      <c r="X777" s="4" t="n"/>
      <c r="Y777" s="5" t="n">
        <v>0.832</v>
      </c>
      <c r="Z777" s="4">
        <f>IF(L777&lt;&gt;"",SQRT(3)*G777*L777/1000,"")</f>
        <v/>
      </c>
      <c r="AA777" t="inlineStr">
        <is>
          <t>Source=Copeland 2D/3D/4D/4R/6D/8D/9R compressors (pdf) p30</t>
        </is>
      </c>
      <c r="AB777" t="inlineStr">
        <is>
          <t>Copeland_RLA_230_460_3ph_60Hz.xlsx</t>
        </is>
      </c>
      <c r="AC777" t="inlineStr">
        <is>
          <t>Recip_2D-9R</t>
        </is>
      </c>
    </row>
    <row r="778">
      <c r="A778" t="inlineStr">
        <is>
          <t>COPELAND</t>
        </is>
      </c>
      <c r="B778" t="inlineStr">
        <is>
          <t>4DN1A1000-FSD</t>
        </is>
      </c>
      <c r="D778" t="inlineStr">
        <is>
          <t>Reciprocating Semi-hermetic</t>
        </is>
      </c>
      <c r="E778" s="2" t="n">
        <v>3</v>
      </c>
      <c r="F778" s="2" t="n">
        <v>60</v>
      </c>
      <c r="G778" s="2" t="n">
        <v>460</v>
      </c>
      <c r="H778" t="inlineStr">
        <is>
          <t>460</t>
        </is>
      </c>
      <c r="I778" s="2" t="n">
        <v>460</v>
      </c>
      <c r="J778" s="2" t="n">
        <v>460</v>
      </c>
      <c r="L778" s="3" t="n"/>
      <c r="M778" s="3" t="n"/>
      <c r="N778" s="3" t="n">
        <v>25.7</v>
      </c>
      <c r="O778" s="3" t="n"/>
      <c r="P778" s="3">
        <f>IF(L778&lt;&gt;"",L778/1.4,"")</f>
        <v/>
      </c>
      <c r="Q778" s="3">
        <f>IF(L778&lt;&gt;"",L778/1.56,"")</f>
        <v/>
      </c>
      <c r="R778" s="3">
        <f>IF(M778&lt;&gt;"",M778/1.4,"")</f>
        <v/>
      </c>
      <c r="S778" s="3">
        <f>IF(M778&lt;&gt;"",M778/1.56,"")</f>
        <v/>
      </c>
      <c r="T778" s="3">
        <f>IF(N778&lt;&gt;"",N778,IF(O778&lt;&gt;"",O778,IF(L778&lt;&gt;"",L778/1.56,IF(M778&lt;&gt;"",M778/1.56,""))))</f>
        <v/>
      </c>
      <c r="U778" s="3" t="n">
        <v>110</v>
      </c>
      <c r="V778" s="3" t="n">
        <v>66</v>
      </c>
      <c r="W778" s="3" t="n"/>
      <c r="X778" s="4" t="n"/>
      <c r="Y778" s="5" t="n">
        <v>1.02</v>
      </c>
      <c r="Z778" s="4">
        <f>IF(L778&lt;&gt;"",SQRT(3)*G778*L778/1000,"")</f>
        <v/>
      </c>
      <c r="AA778" t="inlineStr">
        <is>
          <t>Source=Copeland 2D/3D/4D/4R/6D/8D/9R compressors (pdf) p30; PWS_RLA=12.9</t>
        </is>
      </c>
      <c r="AB778" t="inlineStr">
        <is>
          <t>Copeland_RLA_230_460_3ph_60Hz.xlsx</t>
        </is>
      </c>
      <c r="AC778" t="inlineStr">
        <is>
          <t>Recip_2D-9R</t>
        </is>
      </c>
    </row>
    <row r="779">
      <c r="A779" t="inlineStr">
        <is>
          <t>COPELAND</t>
        </is>
      </c>
      <c r="B779" t="inlineStr">
        <is>
          <t>4DN1A1000-TSK</t>
        </is>
      </c>
      <c r="D779" t="inlineStr">
        <is>
          <t>Reciprocating Semi-hermetic</t>
        </is>
      </c>
      <c r="E779" s="2" t="n">
        <v>3</v>
      </c>
      <c r="F779" s="2" t="n">
        <v>60</v>
      </c>
      <c r="G779" s="2" t="n">
        <v>230</v>
      </c>
      <c r="H779" t="inlineStr">
        <is>
          <t>208/230</t>
        </is>
      </c>
      <c r="I779" s="2" t="n">
        <v>208</v>
      </c>
      <c r="J779" s="2" t="n">
        <v>230</v>
      </c>
      <c r="L779" s="3" t="n"/>
      <c r="M779" s="3" t="n"/>
      <c r="N779" s="3" t="n">
        <v>53.6</v>
      </c>
      <c r="O779" s="3" t="n"/>
      <c r="P779" s="3">
        <f>IF(L779&lt;&gt;"",L779/1.4,"")</f>
        <v/>
      </c>
      <c r="Q779" s="3">
        <f>IF(L779&lt;&gt;"",L779/1.56,"")</f>
        <v/>
      </c>
      <c r="R779" s="3">
        <f>IF(M779&lt;&gt;"",M779/1.4,"")</f>
        <v/>
      </c>
      <c r="S779" s="3">
        <f>IF(M779&lt;&gt;"",M779/1.56,"")</f>
        <v/>
      </c>
      <c r="T779" s="3">
        <f>IF(N779&lt;&gt;"",N779,IF(O779&lt;&gt;"",O779,IF(L779&lt;&gt;"",L779/1.56,IF(M779&lt;&gt;"",M779/1.56,""))))</f>
        <v/>
      </c>
      <c r="U779" s="3" t="n">
        <v>240</v>
      </c>
      <c r="V779" s="3" t="n">
        <v>140</v>
      </c>
      <c r="W779" s="3" t="n"/>
      <c r="X779" s="4" t="n"/>
      <c r="Y779" s="5" t="n">
        <v>0.259</v>
      </c>
      <c r="Z779" s="4">
        <f>IF(L779&lt;&gt;"",SQRT(3)*G779*L779/1000,"")</f>
        <v/>
      </c>
      <c r="AA779" t="inlineStr">
        <is>
          <t>Source=Copeland 2D/3D/4D/4R/6D/8D/9R compressors (pdf) p31; PWS_RLA=26.8</t>
        </is>
      </c>
      <c r="AB779" t="inlineStr">
        <is>
          <t>Copeland_RLA_230_460_3ph_60Hz.xlsx</t>
        </is>
      </c>
      <c r="AC779" t="inlineStr">
        <is>
          <t>Recip_2D-9R</t>
        </is>
      </c>
    </row>
    <row r="780">
      <c r="A780" t="inlineStr">
        <is>
          <t>COPELAND</t>
        </is>
      </c>
      <c r="B780" t="inlineStr">
        <is>
          <t>4DN1A1000-TSK</t>
        </is>
      </c>
      <c r="D780" t="inlineStr">
        <is>
          <t>Reciprocating Semi-hermetic</t>
        </is>
      </c>
      <c r="E780" s="2" t="n">
        <v>3</v>
      </c>
      <c r="F780" s="2" t="n">
        <v>60</v>
      </c>
      <c r="G780" s="2" t="n">
        <v>460</v>
      </c>
      <c r="H780" t="inlineStr">
        <is>
          <t>460</t>
        </is>
      </c>
      <c r="I780" s="2" t="n">
        <v>460</v>
      </c>
      <c r="J780" s="2" t="n">
        <v>460</v>
      </c>
      <c r="L780" s="3" t="n"/>
      <c r="M780" s="3" t="n"/>
      <c r="N780" s="3" t="n">
        <v>26.8</v>
      </c>
      <c r="O780" s="3" t="n"/>
      <c r="P780" s="3">
        <f>IF(L780&lt;&gt;"",L780/1.4,"")</f>
        <v/>
      </c>
      <c r="Q780" s="3">
        <f>IF(L780&lt;&gt;"",L780/1.56,"")</f>
        <v/>
      </c>
      <c r="R780" s="3">
        <f>IF(M780&lt;&gt;"",M780/1.4,"")</f>
        <v/>
      </c>
      <c r="S780" s="3">
        <f>IF(M780&lt;&gt;"",M780/1.56,"")</f>
        <v/>
      </c>
      <c r="T780" s="3">
        <f>IF(N780&lt;&gt;"",N780,IF(O780&lt;&gt;"",O780,IF(L780&lt;&gt;"",L780/1.56,IF(M780&lt;&gt;"",M780/1.56,""))))</f>
        <v/>
      </c>
      <c r="U780" s="3" t="n">
        <v>120</v>
      </c>
      <c r="V780" s="3" t="n"/>
      <c r="W780" s="3" t="n"/>
      <c r="X780" s="4" t="n"/>
      <c r="Y780" s="5" t="n">
        <v>1.036</v>
      </c>
      <c r="Z780" s="4">
        <f>IF(L780&lt;&gt;"",SQRT(3)*G780*L780/1000,"")</f>
        <v/>
      </c>
      <c r="AA780" t="inlineStr">
        <is>
          <t>Source=Copeland 2D/3D/4D/4R/6D/8D/9R compressors (pdf) p31</t>
        </is>
      </c>
      <c r="AB780" t="inlineStr">
        <is>
          <t>Copeland_RLA_230_460_3ph_60Hz.xlsx</t>
        </is>
      </c>
      <c r="AC780" t="inlineStr">
        <is>
          <t>Recip_2D-9R</t>
        </is>
      </c>
    </row>
    <row r="781">
      <c r="A781" t="inlineStr">
        <is>
          <t>COPELAND</t>
        </is>
      </c>
      <c r="B781" t="inlineStr">
        <is>
          <t>4DN3-1000-FSD</t>
        </is>
      </c>
      <c r="D781" t="inlineStr">
        <is>
          <t>Reciprocating Semi-hermetic</t>
        </is>
      </c>
      <c r="E781" s="2" t="n">
        <v>3</v>
      </c>
      <c r="F781" s="2" t="n">
        <v>60</v>
      </c>
      <c r="G781" s="2" t="n">
        <v>460</v>
      </c>
      <c r="H781" t="inlineStr">
        <is>
          <t>460</t>
        </is>
      </c>
      <c r="I781" s="2" t="n">
        <v>460</v>
      </c>
      <c r="J781" s="2" t="n">
        <v>460</v>
      </c>
      <c r="L781" s="3" t="n"/>
      <c r="M781" s="3" t="n"/>
      <c r="N781" s="3" t="n">
        <v>20</v>
      </c>
      <c r="O781" s="3" t="n"/>
      <c r="P781" s="3">
        <f>IF(L781&lt;&gt;"",L781/1.4,"")</f>
        <v/>
      </c>
      <c r="Q781" s="3">
        <f>IF(L781&lt;&gt;"",L781/1.56,"")</f>
        <v/>
      </c>
      <c r="R781" s="3">
        <f>IF(M781&lt;&gt;"",M781/1.4,"")</f>
        <v/>
      </c>
      <c r="S781" s="3">
        <f>IF(M781&lt;&gt;"",M781/1.56,"")</f>
        <v/>
      </c>
      <c r="T781" s="3">
        <f>IF(N781&lt;&gt;"",N781,IF(O781&lt;&gt;"",O781,IF(L781&lt;&gt;"",L781/1.56,IF(M781&lt;&gt;"",M781/1.56,""))))</f>
        <v/>
      </c>
      <c r="U781" s="3" t="n">
        <v>115</v>
      </c>
      <c r="V781" s="3" t="n">
        <v>70</v>
      </c>
      <c r="W781" s="3" t="n"/>
      <c r="X781" s="4" t="n"/>
      <c r="Y781" s="5" t="n">
        <v>1.012</v>
      </c>
      <c r="Z781" s="4">
        <f>IF(L781&lt;&gt;"",SQRT(3)*G781*L781/1000,"")</f>
        <v/>
      </c>
      <c r="AA781" t="inlineStr">
        <is>
          <t>Source=Copeland 2D/3D/4D/4R/6D/8D/9R compressors (pdf) p31; PWS_RLA=10.0</t>
        </is>
      </c>
      <c r="AB781" t="inlineStr">
        <is>
          <t>Copeland_RLA_230_460_3ph_60Hz.xlsx</t>
        </is>
      </c>
      <c r="AC781" t="inlineStr">
        <is>
          <t>Recip_2D-9R</t>
        </is>
      </c>
    </row>
    <row r="782">
      <c r="A782" t="inlineStr">
        <is>
          <t>COPELAND</t>
        </is>
      </c>
      <c r="B782" t="inlineStr">
        <is>
          <t>4DN3-1000-TSK</t>
        </is>
      </c>
      <c r="D782" t="inlineStr">
        <is>
          <t>Reciprocating Semi-hermetic</t>
        </is>
      </c>
      <c r="E782" s="2" t="n">
        <v>3</v>
      </c>
      <c r="F782" s="2" t="n">
        <v>60</v>
      </c>
      <c r="G782" s="2" t="n">
        <v>230</v>
      </c>
      <c r="H782" t="inlineStr">
        <is>
          <t>208/230</t>
        </is>
      </c>
      <c r="I782" s="2" t="n">
        <v>208</v>
      </c>
      <c r="J782" s="2" t="n">
        <v>230</v>
      </c>
      <c r="L782" s="3" t="n"/>
      <c r="M782" s="3" t="n"/>
      <c r="N782" s="3" t="n">
        <v>42</v>
      </c>
      <c r="O782" s="3" t="n"/>
      <c r="P782" s="3">
        <f>IF(L782&lt;&gt;"",L782/1.4,"")</f>
        <v/>
      </c>
      <c r="Q782" s="3">
        <f>IF(L782&lt;&gt;"",L782/1.56,"")</f>
        <v/>
      </c>
      <c r="R782" s="3">
        <f>IF(M782&lt;&gt;"",M782/1.4,"")</f>
        <v/>
      </c>
      <c r="S782" s="3">
        <f>IF(M782&lt;&gt;"",M782/1.56,"")</f>
        <v/>
      </c>
      <c r="T782" s="3">
        <f>IF(N782&lt;&gt;"",N782,IF(O782&lt;&gt;"",O782,IF(L782&lt;&gt;"",L782/1.56,IF(M782&lt;&gt;"",M782/1.56,""))))</f>
        <v/>
      </c>
      <c r="U782" s="3" t="n">
        <v>240</v>
      </c>
      <c r="V782" s="3" t="n">
        <v>140</v>
      </c>
      <c r="W782" s="3" t="n"/>
      <c r="X782" s="4" t="n"/>
      <c r="Y782" s="5" t="n">
        <v>0.259</v>
      </c>
      <c r="Z782" s="4">
        <f>IF(L782&lt;&gt;"",SQRT(3)*G782*L782/1000,"")</f>
        <v/>
      </c>
      <c r="AA782" t="inlineStr">
        <is>
          <t>Source=Copeland 2D/3D/4D/4R/6D/8D/9R compressors (pdf) p31; PWS_RLA=21.0</t>
        </is>
      </c>
      <c r="AB782" t="inlineStr">
        <is>
          <t>Copeland_RLA_230_460_3ph_60Hz.xlsx</t>
        </is>
      </c>
      <c r="AC782" t="inlineStr">
        <is>
          <t>Recip_2D-9R</t>
        </is>
      </c>
    </row>
    <row r="783">
      <c r="A783" t="inlineStr">
        <is>
          <t>COPELAND</t>
        </is>
      </c>
      <c r="B783" t="inlineStr">
        <is>
          <t>4DN3-1000-TSK</t>
        </is>
      </c>
      <c r="D783" t="inlineStr">
        <is>
          <t>Reciprocating Semi-hermetic</t>
        </is>
      </c>
      <c r="E783" s="2" t="n">
        <v>3</v>
      </c>
      <c r="F783" s="2" t="n">
        <v>60</v>
      </c>
      <c r="G783" s="2" t="n">
        <v>460</v>
      </c>
      <c r="H783" t="inlineStr">
        <is>
          <t>460</t>
        </is>
      </c>
      <c r="I783" s="2" t="n">
        <v>460</v>
      </c>
      <c r="J783" s="2" t="n">
        <v>460</v>
      </c>
      <c r="L783" s="3" t="n"/>
      <c r="M783" s="3" t="n"/>
      <c r="N783" s="3" t="n">
        <v>21</v>
      </c>
      <c r="O783" s="3" t="n"/>
      <c r="P783" s="3">
        <f>IF(L783&lt;&gt;"",L783/1.4,"")</f>
        <v/>
      </c>
      <c r="Q783" s="3">
        <f>IF(L783&lt;&gt;"",L783/1.56,"")</f>
        <v/>
      </c>
      <c r="R783" s="3">
        <f>IF(M783&lt;&gt;"",M783/1.4,"")</f>
        <v/>
      </c>
      <c r="S783" s="3">
        <f>IF(M783&lt;&gt;"",M783/1.56,"")</f>
        <v/>
      </c>
      <c r="T783" s="3">
        <f>IF(N783&lt;&gt;"",N783,IF(O783&lt;&gt;"",O783,IF(L783&lt;&gt;"",L783/1.56,IF(M783&lt;&gt;"",M783/1.56,""))))</f>
        <v/>
      </c>
      <c r="U783" s="3" t="n">
        <v>120</v>
      </c>
      <c r="V783" s="3" t="n"/>
      <c r="W783" s="3" t="n"/>
      <c r="X783" s="4" t="n"/>
      <c r="Y783" s="5" t="n">
        <v>1.036</v>
      </c>
      <c r="Z783" s="4">
        <f>IF(L783&lt;&gt;"",SQRT(3)*G783*L783/1000,"")</f>
        <v/>
      </c>
      <c r="AA783" t="inlineStr">
        <is>
          <t>Source=Copeland 2D/3D/4D/4R/6D/8D/9R compressors (pdf) p31</t>
        </is>
      </c>
      <c r="AB783" t="inlineStr">
        <is>
          <t>Copeland_RLA_230_460_3ph_60Hz.xlsx</t>
        </is>
      </c>
      <c r="AC783" t="inlineStr">
        <is>
          <t>Recip_2D-9R</t>
        </is>
      </c>
    </row>
    <row r="784">
      <c r="A784" t="inlineStr">
        <is>
          <t>COPELAND</t>
        </is>
      </c>
      <c r="B784" t="inlineStr">
        <is>
          <t>4DN3-100E-FSD</t>
        </is>
      </c>
      <c r="D784" t="inlineStr">
        <is>
          <t>Reciprocating Semi-hermetic</t>
        </is>
      </c>
      <c r="E784" s="2" t="n">
        <v>3</v>
      </c>
      <c r="F784" s="2" t="n">
        <v>60</v>
      </c>
      <c r="G784" s="2" t="n">
        <v>460</v>
      </c>
      <c r="H784" t="inlineStr">
        <is>
          <t>460</t>
        </is>
      </c>
      <c r="I784" s="2" t="n">
        <v>460</v>
      </c>
      <c r="J784" s="2" t="n">
        <v>460</v>
      </c>
      <c r="L784" s="3" t="n"/>
      <c r="M784" s="3" t="n"/>
      <c r="N784" s="3" t="n">
        <v>20</v>
      </c>
      <c r="O784" s="3" t="n"/>
      <c r="P784" s="3">
        <f>IF(L784&lt;&gt;"",L784/1.4,"")</f>
        <v/>
      </c>
      <c r="Q784" s="3">
        <f>IF(L784&lt;&gt;"",L784/1.56,"")</f>
        <v/>
      </c>
      <c r="R784" s="3">
        <f>IF(M784&lt;&gt;"",M784/1.4,"")</f>
        <v/>
      </c>
      <c r="S784" s="3">
        <f>IF(M784&lt;&gt;"",M784/1.56,"")</f>
        <v/>
      </c>
      <c r="T784" s="3">
        <f>IF(N784&lt;&gt;"",N784,IF(O784&lt;&gt;"",O784,IF(L784&lt;&gt;"",L784/1.56,IF(M784&lt;&gt;"",M784/1.56,""))))</f>
        <v/>
      </c>
      <c r="U784" s="3" t="n">
        <v>115</v>
      </c>
      <c r="V784" s="3" t="n">
        <v>70</v>
      </c>
      <c r="W784" s="3" t="n"/>
      <c r="X784" s="4" t="n"/>
      <c r="Y784" s="5" t="n">
        <v>1.012</v>
      </c>
      <c r="Z784" s="4">
        <f>IF(L784&lt;&gt;"",SQRT(3)*G784*L784/1000,"")</f>
        <v/>
      </c>
      <c r="AA784" t="inlineStr">
        <is>
          <t>Source=Copeland 2D/3D/4D/4R/6D/8D/9R compressors (pdf) p31; PWS_RLA=10.0</t>
        </is>
      </c>
      <c r="AB784" t="inlineStr">
        <is>
          <t>Copeland_RLA_230_460_3ph_60Hz.xlsx</t>
        </is>
      </c>
      <c r="AC784" t="inlineStr">
        <is>
          <t>Recip_2D-9R</t>
        </is>
      </c>
    </row>
    <row r="785">
      <c r="A785" t="inlineStr">
        <is>
          <t>COPELAND</t>
        </is>
      </c>
      <c r="B785" t="inlineStr">
        <is>
          <t>4DN3-100L-FSD</t>
        </is>
      </c>
      <c r="D785" t="inlineStr">
        <is>
          <t>Reciprocating Semi-hermetic</t>
        </is>
      </c>
      <c r="E785" s="2" t="n">
        <v>3</v>
      </c>
      <c r="F785" s="2" t="n">
        <v>60</v>
      </c>
      <c r="G785" s="2" t="n">
        <v>460</v>
      </c>
      <c r="H785" t="inlineStr">
        <is>
          <t>460</t>
        </is>
      </c>
      <c r="I785" s="2" t="n">
        <v>460</v>
      </c>
      <c r="J785" s="2" t="n">
        <v>460</v>
      </c>
      <c r="L785" s="3" t="n"/>
      <c r="M785" s="3" t="n"/>
      <c r="N785" s="3" t="n">
        <v>20</v>
      </c>
      <c r="O785" s="3" t="n"/>
      <c r="P785" s="3">
        <f>IF(L785&lt;&gt;"",L785/1.4,"")</f>
        <v/>
      </c>
      <c r="Q785" s="3">
        <f>IF(L785&lt;&gt;"",L785/1.56,"")</f>
        <v/>
      </c>
      <c r="R785" s="3">
        <f>IF(M785&lt;&gt;"",M785/1.4,"")</f>
        <v/>
      </c>
      <c r="S785" s="3">
        <f>IF(M785&lt;&gt;"",M785/1.56,"")</f>
        <v/>
      </c>
      <c r="T785" s="3">
        <f>IF(N785&lt;&gt;"",N785,IF(O785&lt;&gt;"",O785,IF(L785&lt;&gt;"",L785/1.56,IF(M785&lt;&gt;"",M785/1.56,""))))</f>
        <v/>
      </c>
      <c r="U785" s="3" t="n">
        <v>115</v>
      </c>
      <c r="V785" s="3" t="n">
        <v>70</v>
      </c>
      <c r="W785" s="3" t="n"/>
      <c r="X785" s="4" t="n"/>
      <c r="Y785" s="5" t="n">
        <v>1.012</v>
      </c>
      <c r="Z785" s="4">
        <f>IF(L785&lt;&gt;"",SQRT(3)*G785*L785/1000,"")</f>
        <v/>
      </c>
      <c r="AA785" t="inlineStr">
        <is>
          <t>Source=Copeland 2D/3D/4D/4R/6D/8D/9R compressors (pdf) p31; PWS_RLA=10.0</t>
        </is>
      </c>
      <c r="AB785" t="inlineStr">
        <is>
          <t>Copeland_RLA_230_460_3ph_60Hz.xlsx</t>
        </is>
      </c>
      <c r="AC785" t="inlineStr">
        <is>
          <t>Recip_2D-9R</t>
        </is>
      </c>
    </row>
    <row r="786">
      <c r="A786" t="inlineStr">
        <is>
          <t>COPELAND</t>
        </is>
      </c>
      <c r="B786" t="inlineStr">
        <is>
          <t>4DN3-1010-TSK</t>
        </is>
      </c>
      <c r="D786" t="inlineStr">
        <is>
          <t>Reciprocating Semi-hermetic</t>
        </is>
      </c>
      <c r="E786" s="2" t="n">
        <v>3</v>
      </c>
      <c r="F786" s="2" t="n">
        <v>60</v>
      </c>
      <c r="G786" s="2" t="n">
        <v>230</v>
      </c>
      <c r="H786" t="inlineStr">
        <is>
          <t>208/230</t>
        </is>
      </c>
      <c r="I786" s="2" t="n">
        <v>208</v>
      </c>
      <c r="J786" s="2" t="n">
        <v>230</v>
      </c>
      <c r="L786" s="3" t="n"/>
      <c r="M786" s="3" t="n"/>
      <c r="N786" s="3" t="n">
        <v>42</v>
      </c>
      <c r="O786" s="3" t="n"/>
      <c r="P786" s="3">
        <f>IF(L786&lt;&gt;"",L786/1.4,"")</f>
        <v/>
      </c>
      <c r="Q786" s="3">
        <f>IF(L786&lt;&gt;"",L786/1.56,"")</f>
        <v/>
      </c>
      <c r="R786" s="3">
        <f>IF(M786&lt;&gt;"",M786/1.4,"")</f>
        <v/>
      </c>
      <c r="S786" s="3">
        <f>IF(M786&lt;&gt;"",M786/1.56,"")</f>
        <v/>
      </c>
      <c r="T786" s="3">
        <f>IF(N786&lt;&gt;"",N786,IF(O786&lt;&gt;"",O786,IF(L786&lt;&gt;"",L786/1.56,IF(M786&lt;&gt;"",M786/1.56,""))))</f>
        <v/>
      </c>
      <c r="U786" s="3" t="n">
        <v>220</v>
      </c>
      <c r="V786" s="3" t="n">
        <v>134</v>
      </c>
      <c r="W786" s="3" t="n"/>
      <c r="X786" s="4" t="n"/>
      <c r="Y786" s="5" t="n">
        <v>0.244</v>
      </c>
      <c r="Z786" s="4">
        <f>IF(L786&lt;&gt;"",SQRT(3)*G786*L786/1000,"")</f>
        <v/>
      </c>
      <c r="AA786" t="inlineStr">
        <is>
          <t>Source=Copeland 2D/3D/4D/4R/6D/8D/9R compressors (pdf) p31; PWS_RLA=22.6</t>
        </is>
      </c>
      <c r="AB786" t="inlineStr">
        <is>
          <t>Copeland_RLA_230_460_3ph_60Hz.xlsx</t>
        </is>
      </c>
      <c r="AC786" t="inlineStr">
        <is>
          <t>Recip_2D-9R</t>
        </is>
      </c>
    </row>
    <row r="787">
      <c r="A787" t="inlineStr">
        <is>
          <t>COPELAND</t>
        </is>
      </c>
      <c r="B787" t="inlineStr">
        <is>
          <t>4DN3-1010-TSK</t>
        </is>
      </c>
      <c r="D787" t="inlineStr">
        <is>
          <t>Reciprocating Semi-hermetic</t>
        </is>
      </c>
      <c r="E787" s="2" t="n">
        <v>3</v>
      </c>
      <c r="F787" s="2" t="n">
        <v>60</v>
      </c>
      <c r="G787" s="2" t="n">
        <v>460</v>
      </c>
      <c r="H787" t="inlineStr">
        <is>
          <t>460</t>
        </is>
      </c>
      <c r="I787" s="2" t="n">
        <v>460</v>
      </c>
      <c r="J787" s="2" t="n">
        <v>460</v>
      </c>
      <c r="L787" s="3" t="n"/>
      <c r="M787" s="3" t="n"/>
      <c r="N787" s="3" t="n">
        <v>21</v>
      </c>
      <c r="O787" s="3" t="n"/>
      <c r="P787" s="3">
        <f>IF(L787&lt;&gt;"",L787/1.4,"")</f>
        <v/>
      </c>
      <c r="Q787" s="3">
        <f>IF(L787&lt;&gt;"",L787/1.56,"")</f>
        <v/>
      </c>
      <c r="R787" s="3">
        <f>IF(M787&lt;&gt;"",M787/1.4,"")</f>
        <v/>
      </c>
      <c r="S787" s="3">
        <f>IF(M787&lt;&gt;"",M787/1.56,"")</f>
        <v/>
      </c>
      <c r="T787" s="3">
        <f>IF(N787&lt;&gt;"",N787,IF(O787&lt;&gt;"",O787,IF(L787&lt;&gt;"",L787/1.56,IF(M787&lt;&gt;"",M787/1.56,""))))</f>
        <v/>
      </c>
      <c r="U787" s="3" t="n">
        <v>110</v>
      </c>
      <c r="V787" s="3" t="n"/>
      <c r="W787" s="3" t="n"/>
      <c r="X787" s="4" t="n"/>
      <c r="Y787" s="5" t="n">
        <v>0.976</v>
      </c>
      <c r="Z787" s="4">
        <f>IF(L787&lt;&gt;"",SQRT(3)*G787*L787/1000,"")</f>
        <v/>
      </c>
      <c r="AA787" t="inlineStr">
        <is>
          <t>Source=Copeland 2D/3D/4D/4R/6D/8D/9R compressors (pdf) p31</t>
        </is>
      </c>
      <c r="AB787" t="inlineStr">
        <is>
          <t>Copeland_RLA_230_460_3ph_60Hz.xlsx</t>
        </is>
      </c>
      <c r="AC787" t="inlineStr">
        <is>
          <t>Recip_2D-9R</t>
        </is>
      </c>
    </row>
    <row r="788">
      <c r="A788" t="inlineStr">
        <is>
          <t>COPELAND</t>
        </is>
      </c>
      <c r="B788" t="inlineStr">
        <is>
          <t>4DN3-101E-TSK</t>
        </is>
      </c>
      <c r="D788" t="inlineStr">
        <is>
          <t>Reciprocating Semi-hermetic</t>
        </is>
      </c>
      <c r="E788" s="2" t="n">
        <v>3</v>
      </c>
      <c r="F788" s="2" t="n">
        <v>60</v>
      </c>
      <c r="G788" s="2" t="n">
        <v>230</v>
      </c>
      <c r="H788" t="inlineStr">
        <is>
          <t>208/230</t>
        </is>
      </c>
      <c r="I788" s="2" t="n">
        <v>208</v>
      </c>
      <c r="J788" s="2" t="n">
        <v>230</v>
      </c>
      <c r="L788" s="3" t="n"/>
      <c r="M788" s="3" t="n"/>
      <c r="N788" s="3" t="n">
        <v>45.6</v>
      </c>
      <c r="O788" s="3" t="n"/>
      <c r="P788" s="3">
        <f>IF(L788&lt;&gt;"",L788/1.4,"")</f>
        <v/>
      </c>
      <c r="Q788" s="3">
        <f>IF(L788&lt;&gt;"",L788/1.56,"")</f>
        <v/>
      </c>
      <c r="R788" s="3">
        <f>IF(M788&lt;&gt;"",M788/1.4,"")</f>
        <v/>
      </c>
      <c r="S788" s="3">
        <f>IF(M788&lt;&gt;"",M788/1.56,"")</f>
        <v/>
      </c>
      <c r="T788" s="3">
        <f>IF(N788&lt;&gt;"",N788,IF(O788&lt;&gt;"",O788,IF(L788&lt;&gt;"",L788/1.56,IF(M788&lt;&gt;"",M788/1.56,""))))</f>
        <v/>
      </c>
      <c r="U788" s="3" t="n">
        <v>220</v>
      </c>
      <c r="V788" s="3" t="n">
        <v>134</v>
      </c>
      <c r="W788" s="3" t="n"/>
      <c r="X788" s="4" t="n"/>
      <c r="Y788" s="5" t="n">
        <v>0.244</v>
      </c>
      <c r="Z788" s="4">
        <f>IF(L788&lt;&gt;"",SQRT(3)*G788*L788/1000,"")</f>
        <v/>
      </c>
      <c r="AA788" t="inlineStr">
        <is>
          <t>Source=Copeland 2D/3D/4D/4R/6D/8D/9R compressors (pdf) p31; PWS_RLA=22.6</t>
        </is>
      </c>
      <c r="AB788" t="inlineStr">
        <is>
          <t>Copeland_RLA_230_460_3ph_60Hz.xlsx</t>
        </is>
      </c>
      <c r="AC788" t="inlineStr">
        <is>
          <t>Recip_2D-9R</t>
        </is>
      </c>
    </row>
    <row r="789">
      <c r="A789" t="inlineStr">
        <is>
          <t>COPELAND</t>
        </is>
      </c>
      <c r="B789" t="inlineStr">
        <is>
          <t>4DN3-101E-TSK</t>
        </is>
      </c>
      <c r="D789" t="inlineStr">
        <is>
          <t>Reciprocating Semi-hermetic</t>
        </is>
      </c>
      <c r="E789" s="2" t="n">
        <v>3</v>
      </c>
      <c r="F789" s="2" t="n">
        <v>60</v>
      </c>
      <c r="G789" s="2" t="n">
        <v>460</v>
      </c>
      <c r="H789" t="inlineStr">
        <is>
          <t>460</t>
        </is>
      </c>
      <c r="I789" s="2" t="n">
        <v>460</v>
      </c>
      <c r="J789" s="2" t="n">
        <v>460</v>
      </c>
      <c r="L789" s="3" t="n"/>
      <c r="M789" s="3" t="n"/>
      <c r="N789" s="3" t="n">
        <v>22.8</v>
      </c>
      <c r="O789" s="3" t="n"/>
      <c r="P789" s="3">
        <f>IF(L789&lt;&gt;"",L789/1.4,"")</f>
        <v/>
      </c>
      <c r="Q789" s="3">
        <f>IF(L789&lt;&gt;"",L789/1.56,"")</f>
        <v/>
      </c>
      <c r="R789" s="3">
        <f>IF(M789&lt;&gt;"",M789/1.4,"")</f>
        <v/>
      </c>
      <c r="S789" s="3">
        <f>IF(M789&lt;&gt;"",M789/1.56,"")</f>
        <v/>
      </c>
      <c r="T789" s="3">
        <f>IF(N789&lt;&gt;"",N789,IF(O789&lt;&gt;"",O789,IF(L789&lt;&gt;"",L789/1.56,IF(M789&lt;&gt;"",M789/1.56,""))))</f>
        <v/>
      </c>
      <c r="U789" s="3" t="n">
        <v>110</v>
      </c>
      <c r="V789" s="3" t="n"/>
      <c r="W789" s="3" t="n"/>
      <c r="X789" s="4" t="n"/>
      <c r="Y789" s="5" t="n">
        <v>0.976</v>
      </c>
      <c r="Z789" s="4">
        <f>IF(L789&lt;&gt;"",SQRT(3)*G789*L789/1000,"")</f>
        <v/>
      </c>
      <c r="AA789" t="inlineStr">
        <is>
          <t>Source=Copeland 2D/3D/4D/4R/6D/8D/9R compressors (pdf) p31</t>
        </is>
      </c>
      <c r="AB789" t="inlineStr">
        <is>
          <t>Copeland_RLA_230_460_3ph_60Hz.xlsx</t>
        </is>
      </c>
      <c r="AC789" t="inlineStr">
        <is>
          <t>Recip_2D-9R</t>
        </is>
      </c>
    </row>
    <row r="790">
      <c r="A790" t="inlineStr">
        <is>
          <t>COPELAND</t>
        </is>
      </c>
      <c r="B790" t="inlineStr">
        <is>
          <t>4DN3-101L-TSK</t>
        </is>
      </c>
      <c r="D790" t="inlineStr">
        <is>
          <t>Reciprocating Semi-hermetic</t>
        </is>
      </c>
      <c r="E790" s="2" t="n">
        <v>3</v>
      </c>
      <c r="F790" s="2" t="n">
        <v>60</v>
      </c>
      <c r="G790" s="2" t="n">
        <v>230</v>
      </c>
      <c r="H790" t="inlineStr">
        <is>
          <t>208/230</t>
        </is>
      </c>
      <c r="I790" s="2" t="n">
        <v>208</v>
      </c>
      <c r="J790" s="2" t="n">
        <v>230</v>
      </c>
      <c r="L790" s="3" t="n"/>
      <c r="M790" s="3" t="n"/>
      <c r="N790" s="3" t="n">
        <v>45.6</v>
      </c>
      <c r="O790" s="3" t="n"/>
      <c r="P790" s="3">
        <f>IF(L790&lt;&gt;"",L790/1.4,"")</f>
        <v/>
      </c>
      <c r="Q790" s="3">
        <f>IF(L790&lt;&gt;"",L790/1.56,"")</f>
        <v/>
      </c>
      <c r="R790" s="3">
        <f>IF(M790&lt;&gt;"",M790/1.4,"")</f>
        <v/>
      </c>
      <c r="S790" s="3">
        <f>IF(M790&lt;&gt;"",M790/1.56,"")</f>
        <v/>
      </c>
      <c r="T790" s="3">
        <f>IF(N790&lt;&gt;"",N790,IF(O790&lt;&gt;"",O790,IF(L790&lt;&gt;"",L790/1.56,IF(M790&lt;&gt;"",M790/1.56,""))))</f>
        <v/>
      </c>
      <c r="U790" s="3" t="n">
        <v>220</v>
      </c>
      <c r="V790" s="3" t="n">
        <v>134</v>
      </c>
      <c r="W790" s="3" t="n"/>
      <c r="X790" s="4" t="n"/>
      <c r="Y790" s="5" t="n">
        <v>0.244</v>
      </c>
      <c r="Z790" s="4">
        <f>IF(L790&lt;&gt;"",SQRT(3)*G790*L790/1000,"")</f>
        <v/>
      </c>
      <c r="AA790" t="inlineStr">
        <is>
          <t>Source=Copeland 2D/3D/4D/4R/6D/8D/9R compressors (pdf) p31; PWS_RLA=22.6</t>
        </is>
      </c>
      <c r="AB790" t="inlineStr">
        <is>
          <t>Copeland_RLA_230_460_3ph_60Hz.xlsx</t>
        </is>
      </c>
      <c r="AC790" t="inlineStr">
        <is>
          <t>Recip_2D-9R</t>
        </is>
      </c>
    </row>
    <row r="791">
      <c r="A791" t="inlineStr">
        <is>
          <t>COPELAND</t>
        </is>
      </c>
      <c r="B791" t="inlineStr">
        <is>
          <t>4DN3-101L-TSK</t>
        </is>
      </c>
      <c r="D791" t="inlineStr">
        <is>
          <t>Reciprocating Semi-hermetic</t>
        </is>
      </c>
      <c r="E791" s="2" t="n">
        <v>3</v>
      </c>
      <c r="F791" s="2" t="n">
        <v>60</v>
      </c>
      <c r="G791" s="2" t="n">
        <v>460</v>
      </c>
      <c r="H791" t="inlineStr">
        <is>
          <t>460</t>
        </is>
      </c>
      <c r="I791" s="2" t="n">
        <v>460</v>
      </c>
      <c r="J791" s="2" t="n">
        <v>460</v>
      </c>
      <c r="L791" s="3" t="n"/>
      <c r="M791" s="3" t="n"/>
      <c r="N791" s="3" t="n">
        <v>22.8</v>
      </c>
      <c r="O791" s="3" t="n"/>
      <c r="P791" s="3">
        <f>IF(L791&lt;&gt;"",L791/1.4,"")</f>
        <v/>
      </c>
      <c r="Q791" s="3">
        <f>IF(L791&lt;&gt;"",L791/1.56,"")</f>
        <v/>
      </c>
      <c r="R791" s="3">
        <f>IF(M791&lt;&gt;"",M791/1.4,"")</f>
        <v/>
      </c>
      <c r="S791" s="3">
        <f>IF(M791&lt;&gt;"",M791/1.56,"")</f>
        <v/>
      </c>
      <c r="T791" s="3">
        <f>IF(N791&lt;&gt;"",N791,IF(O791&lt;&gt;"",O791,IF(L791&lt;&gt;"",L791/1.56,IF(M791&lt;&gt;"",M791/1.56,""))))</f>
        <v/>
      </c>
      <c r="U791" s="3" t="n">
        <v>110</v>
      </c>
      <c r="V791" s="3" t="n"/>
      <c r="W791" s="3" t="n"/>
      <c r="X791" s="4" t="n"/>
      <c r="Y791" s="5" t="n">
        <v>0.976</v>
      </c>
      <c r="Z791" s="4">
        <f>IF(L791&lt;&gt;"",SQRT(3)*G791*L791/1000,"")</f>
        <v/>
      </c>
      <c r="AA791" t="inlineStr">
        <is>
          <t>Source=Copeland 2D/3D/4D/4R/6D/8D/9R compressors (pdf) p31</t>
        </is>
      </c>
      <c r="AB791" t="inlineStr">
        <is>
          <t>Copeland_RLA_230_460_3ph_60Hz.xlsx</t>
        </is>
      </c>
      <c r="AC791" t="inlineStr">
        <is>
          <t>Recip_2D-9R</t>
        </is>
      </c>
    </row>
    <row r="792">
      <c r="A792" t="inlineStr">
        <is>
          <t>COPELAND</t>
        </is>
      </c>
      <c r="B792" t="inlineStr">
        <is>
          <t>4DN3A1000-FSD</t>
        </is>
      </c>
      <c r="D792" t="inlineStr">
        <is>
          <t>Reciprocating Semi-hermetic</t>
        </is>
      </c>
      <c r="E792" s="2" t="n">
        <v>3</v>
      </c>
      <c r="F792" s="2" t="n">
        <v>60</v>
      </c>
      <c r="G792" s="2" t="n">
        <v>460</v>
      </c>
      <c r="H792" t="inlineStr">
        <is>
          <t>460</t>
        </is>
      </c>
      <c r="I792" s="2" t="n">
        <v>460</v>
      </c>
      <c r="J792" s="2" t="n">
        <v>460</v>
      </c>
      <c r="L792" s="3" t="n"/>
      <c r="M792" s="3" t="n"/>
      <c r="N792" s="3" t="n">
        <v>20</v>
      </c>
      <c r="O792" s="3" t="n"/>
      <c r="P792" s="3">
        <f>IF(L792&lt;&gt;"",L792/1.4,"")</f>
        <v/>
      </c>
      <c r="Q792" s="3">
        <f>IF(L792&lt;&gt;"",L792/1.56,"")</f>
        <v/>
      </c>
      <c r="R792" s="3">
        <f>IF(M792&lt;&gt;"",M792/1.4,"")</f>
        <v/>
      </c>
      <c r="S792" s="3">
        <f>IF(M792&lt;&gt;"",M792/1.56,"")</f>
        <v/>
      </c>
      <c r="T792" s="3">
        <f>IF(N792&lt;&gt;"",N792,IF(O792&lt;&gt;"",O792,IF(L792&lt;&gt;"",L792/1.56,IF(M792&lt;&gt;"",M792/1.56,""))))</f>
        <v/>
      </c>
      <c r="U792" s="3" t="n">
        <v>115</v>
      </c>
      <c r="V792" s="3" t="n">
        <v>70</v>
      </c>
      <c r="W792" s="3" t="n"/>
      <c r="X792" s="4" t="n"/>
      <c r="Y792" s="5" t="n">
        <v>1.012</v>
      </c>
      <c r="Z792" s="4">
        <f>IF(L792&lt;&gt;"",SQRT(3)*G792*L792/1000,"")</f>
        <v/>
      </c>
      <c r="AA792" t="inlineStr">
        <is>
          <t>Source=Copeland 2D/3D/4D/4R/6D/8D/9R compressors (pdf) p31; PWS_RLA=10.0</t>
        </is>
      </c>
      <c r="AB792" t="inlineStr">
        <is>
          <t>Copeland_RLA_230_460_3ph_60Hz.xlsx</t>
        </is>
      </c>
      <c r="AC792" t="inlineStr">
        <is>
          <t>Recip_2D-9R</t>
        </is>
      </c>
    </row>
    <row r="793">
      <c r="A793" t="inlineStr">
        <is>
          <t>COPELAND</t>
        </is>
      </c>
      <c r="B793" t="inlineStr">
        <is>
          <t>4DN3A1000-TSK</t>
        </is>
      </c>
      <c r="D793" t="inlineStr">
        <is>
          <t>Reciprocating Semi-hermetic</t>
        </is>
      </c>
      <c r="E793" s="2" t="n">
        <v>3</v>
      </c>
      <c r="F793" s="2" t="n">
        <v>60</v>
      </c>
      <c r="G793" s="2" t="n">
        <v>230</v>
      </c>
      <c r="H793" t="inlineStr">
        <is>
          <t>208/230</t>
        </is>
      </c>
      <c r="I793" s="2" t="n">
        <v>208</v>
      </c>
      <c r="J793" s="2" t="n">
        <v>230</v>
      </c>
      <c r="L793" s="3" t="n"/>
      <c r="M793" s="3" t="n"/>
      <c r="N793" s="3" t="n">
        <v>42</v>
      </c>
      <c r="O793" s="3" t="n"/>
      <c r="P793" s="3">
        <f>IF(L793&lt;&gt;"",L793/1.4,"")</f>
        <v/>
      </c>
      <c r="Q793" s="3">
        <f>IF(L793&lt;&gt;"",L793/1.56,"")</f>
        <v/>
      </c>
      <c r="R793" s="3">
        <f>IF(M793&lt;&gt;"",M793/1.4,"")</f>
        <v/>
      </c>
      <c r="S793" s="3">
        <f>IF(M793&lt;&gt;"",M793/1.56,"")</f>
        <v/>
      </c>
      <c r="T793" s="3">
        <f>IF(N793&lt;&gt;"",N793,IF(O793&lt;&gt;"",O793,IF(L793&lt;&gt;"",L793/1.56,IF(M793&lt;&gt;"",M793/1.56,""))))</f>
        <v/>
      </c>
      <c r="U793" s="3" t="n">
        <v>240</v>
      </c>
      <c r="V793" s="3" t="n">
        <v>140</v>
      </c>
      <c r="W793" s="3" t="n"/>
      <c r="X793" s="4" t="n"/>
      <c r="Y793" s="5" t="n">
        <v>0.259</v>
      </c>
      <c r="Z793" s="4">
        <f>IF(L793&lt;&gt;"",SQRT(3)*G793*L793/1000,"")</f>
        <v/>
      </c>
      <c r="AA793" t="inlineStr">
        <is>
          <t>Source=Copeland 2D/3D/4D/4R/6D/8D/9R compressors (pdf) p31; PWS_RLA=21.0</t>
        </is>
      </c>
      <c r="AB793" t="inlineStr">
        <is>
          <t>Copeland_RLA_230_460_3ph_60Hz.xlsx</t>
        </is>
      </c>
      <c r="AC793" t="inlineStr">
        <is>
          <t>Recip_2D-9R</t>
        </is>
      </c>
    </row>
    <row r="794">
      <c r="A794" t="inlineStr">
        <is>
          <t>COPELAND</t>
        </is>
      </c>
      <c r="B794" t="inlineStr">
        <is>
          <t>4DN3A1000-TSK</t>
        </is>
      </c>
      <c r="D794" t="inlineStr">
        <is>
          <t>Reciprocating Semi-hermetic</t>
        </is>
      </c>
      <c r="E794" s="2" t="n">
        <v>3</v>
      </c>
      <c r="F794" s="2" t="n">
        <v>60</v>
      </c>
      <c r="G794" s="2" t="n">
        <v>460</v>
      </c>
      <c r="H794" t="inlineStr">
        <is>
          <t>460</t>
        </is>
      </c>
      <c r="I794" s="2" t="n">
        <v>460</v>
      </c>
      <c r="J794" s="2" t="n">
        <v>460</v>
      </c>
      <c r="L794" s="3" t="n"/>
      <c r="M794" s="3" t="n"/>
      <c r="N794" s="3" t="n">
        <v>21</v>
      </c>
      <c r="O794" s="3" t="n"/>
      <c r="P794" s="3">
        <f>IF(L794&lt;&gt;"",L794/1.4,"")</f>
        <v/>
      </c>
      <c r="Q794" s="3">
        <f>IF(L794&lt;&gt;"",L794/1.56,"")</f>
        <v/>
      </c>
      <c r="R794" s="3">
        <f>IF(M794&lt;&gt;"",M794/1.4,"")</f>
        <v/>
      </c>
      <c r="S794" s="3">
        <f>IF(M794&lt;&gt;"",M794/1.56,"")</f>
        <v/>
      </c>
      <c r="T794" s="3">
        <f>IF(N794&lt;&gt;"",N794,IF(O794&lt;&gt;"",O794,IF(L794&lt;&gt;"",L794/1.56,IF(M794&lt;&gt;"",M794/1.56,""))))</f>
        <v/>
      </c>
      <c r="U794" s="3" t="n">
        <v>120</v>
      </c>
      <c r="V794" s="3" t="n"/>
      <c r="W794" s="3" t="n"/>
      <c r="X794" s="4" t="n"/>
      <c r="Y794" s="5" t="n">
        <v>1.036</v>
      </c>
      <c r="Z794" s="4">
        <f>IF(L794&lt;&gt;"",SQRT(3)*G794*L794/1000,"")</f>
        <v/>
      </c>
      <c r="AA794" t="inlineStr">
        <is>
          <t>Source=Copeland 2D/3D/4D/4R/6D/8D/9R compressors (pdf) p31</t>
        </is>
      </c>
      <c r="AB794" t="inlineStr">
        <is>
          <t>Copeland_RLA_230_460_3ph_60Hz.xlsx</t>
        </is>
      </c>
      <c r="AC794" t="inlineStr">
        <is>
          <t>Recip_2D-9R</t>
        </is>
      </c>
    </row>
    <row r="795">
      <c r="A795" t="inlineStr">
        <is>
          <t>COPELAND</t>
        </is>
      </c>
      <c r="B795" t="inlineStr">
        <is>
          <t>4DN3A100E-FSD</t>
        </is>
      </c>
      <c r="D795" t="inlineStr">
        <is>
          <t>Reciprocating Semi-hermetic</t>
        </is>
      </c>
      <c r="E795" s="2" t="n">
        <v>3</v>
      </c>
      <c r="F795" s="2" t="n">
        <v>60</v>
      </c>
      <c r="G795" s="2" t="n">
        <v>460</v>
      </c>
      <c r="H795" t="inlineStr">
        <is>
          <t>460</t>
        </is>
      </c>
      <c r="I795" s="2" t="n">
        <v>460</v>
      </c>
      <c r="J795" s="2" t="n">
        <v>460</v>
      </c>
      <c r="L795" s="3" t="n"/>
      <c r="M795" s="3" t="n"/>
      <c r="N795" s="3" t="n">
        <v>20</v>
      </c>
      <c r="O795" s="3" t="n"/>
      <c r="P795" s="3">
        <f>IF(L795&lt;&gt;"",L795/1.4,"")</f>
        <v/>
      </c>
      <c r="Q795" s="3">
        <f>IF(L795&lt;&gt;"",L795/1.56,"")</f>
        <v/>
      </c>
      <c r="R795" s="3">
        <f>IF(M795&lt;&gt;"",M795/1.4,"")</f>
        <v/>
      </c>
      <c r="S795" s="3">
        <f>IF(M795&lt;&gt;"",M795/1.56,"")</f>
        <v/>
      </c>
      <c r="T795" s="3">
        <f>IF(N795&lt;&gt;"",N795,IF(O795&lt;&gt;"",O795,IF(L795&lt;&gt;"",L795/1.56,IF(M795&lt;&gt;"",M795/1.56,""))))</f>
        <v/>
      </c>
      <c r="U795" s="3" t="n">
        <v>115</v>
      </c>
      <c r="V795" s="3" t="n">
        <v>70</v>
      </c>
      <c r="W795" s="3" t="n"/>
      <c r="X795" s="4" t="n"/>
      <c r="Y795" s="5" t="n">
        <v>1.012</v>
      </c>
      <c r="Z795" s="4">
        <f>IF(L795&lt;&gt;"",SQRT(3)*G795*L795/1000,"")</f>
        <v/>
      </c>
      <c r="AA795" t="inlineStr">
        <is>
          <t>Source=Copeland 2D/3D/4D/4R/6D/8D/9R compressors (pdf) p31; PWS_RLA=10.0</t>
        </is>
      </c>
      <c r="AB795" t="inlineStr">
        <is>
          <t>Copeland_RLA_230_460_3ph_60Hz.xlsx</t>
        </is>
      </c>
      <c r="AC795" t="inlineStr">
        <is>
          <t>Recip_2D-9R</t>
        </is>
      </c>
    </row>
    <row r="796">
      <c r="A796" t="inlineStr">
        <is>
          <t>COPELAND</t>
        </is>
      </c>
      <c r="B796" t="inlineStr">
        <is>
          <t>4DN3A100L-FSD</t>
        </is>
      </c>
      <c r="D796" t="inlineStr">
        <is>
          <t>Reciprocating Semi-hermetic</t>
        </is>
      </c>
      <c r="E796" s="2" t="n">
        <v>3</v>
      </c>
      <c r="F796" s="2" t="n">
        <v>60</v>
      </c>
      <c r="G796" s="2" t="n">
        <v>460</v>
      </c>
      <c r="H796" t="inlineStr">
        <is>
          <t>460</t>
        </is>
      </c>
      <c r="I796" s="2" t="n">
        <v>460</v>
      </c>
      <c r="J796" s="2" t="n">
        <v>460</v>
      </c>
      <c r="L796" s="3" t="n"/>
      <c r="M796" s="3" t="n"/>
      <c r="N796" s="3" t="n">
        <v>20</v>
      </c>
      <c r="O796" s="3" t="n"/>
      <c r="P796" s="3">
        <f>IF(L796&lt;&gt;"",L796/1.4,"")</f>
        <v/>
      </c>
      <c r="Q796" s="3">
        <f>IF(L796&lt;&gt;"",L796/1.56,"")</f>
        <v/>
      </c>
      <c r="R796" s="3">
        <f>IF(M796&lt;&gt;"",M796/1.4,"")</f>
        <v/>
      </c>
      <c r="S796" s="3">
        <f>IF(M796&lt;&gt;"",M796/1.56,"")</f>
        <v/>
      </c>
      <c r="T796" s="3">
        <f>IF(N796&lt;&gt;"",N796,IF(O796&lt;&gt;"",O796,IF(L796&lt;&gt;"",L796/1.56,IF(M796&lt;&gt;"",M796/1.56,""))))</f>
        <v/>
      </c>
      <c r="U796" s="3" t="n">
        <v>115</v>
      </c>
      <c r="V796" s="3" t="n">
        <v>70</v>
      </c>
      <c r="W796" s="3" t="n"/>
      <c r="X796" s="4" t="n"/>
      <c r="Y796" s="5" t="n">
        <v>1.012</v>
      </c>
      <c r="Z796" s="4">
        <f>IF(L796&lt;&gt;"",SQRT(3)*G796*L796/1000,"")</f>
        <v/>
      </c>
      <c r="AA796" t="inlineStr">
        <is>
          <t>Source=Copeland 2D/3D/4D/4R/6D/8D/9R compressors (pdf) p32; PWS_RLA=10.0</t>
        </is>
      </c>
      <c r="AB796" t="inlineStr">
        <is>
          <t>Copeland_RLA_230_460_3ph_60Hz.xlsx</t>
        </is>
      </c>
      <c r="AC796" t="inlineStr">
        <is>
          <t>Recip_2D-9R</t>
        </is>
      </c>
    </row>
    <row r="797">
      <c r="A797" t="inlineStr">
        <is>
          <t>COPELAND</t>
        </is>
      </c>
      <c r="B797" t="inlineStr">
        <is>
          <t>4DN3A1010-TSK</t>
        </is>
      </c>
      <c r="D797" t="inlineStr">
        <is>
          <t>Reciprocating Semi-hermetic</t>
        </is>
      </c>
      <c r="E797" s="2" t="n">
        <v>3</v>
      </c>
      <c r="F797" s="2" t="n">
        <v>60</v>
      </c>
      <c r="G797" s="2" t="n">
        <v>230</v>
      </c>
      <c r="H797" t="inlineStr">
        <is>
          <t>208/230</t>
        </is>
      </c>
      <c r="I797" s="2" t="n">
        <v>208</v>
      </c>
      <c r="J797" s="2" t="n">
        <v>230</v>
      </c>
      <c r="L797" s="3" t="n"/>
      <c r="M797" s="3" t="n"/>
      <c r="N797" s="3" t="n">
        <v>42</v>
      </c>
      <c r="O797" s="3" t="n"/>
      <c r="P797" s="3">
        <f>IF(L797&lt;&gt;"",L797/1.4,"")</f>
        <v/>
      </c>
      <c r="Q797" s="3">
        <f>IF(L797&lt;&gt;"",L797/1.56,"")</f>
        <v/>
      </c>
      <c r="R797" s="3">
        <f>IF(M797&lt;&gt;"",M797/1.4,"")</f>
        <v/>
      </c>
      <c r="S797" s="3">
        <f>IF(M797&lt;&gt;"",M797/1.56,"")</f>
        <v/>
      </c>
      <c r="T797" s="3">
        <f>IF(N797&lt;&gt;"",N797,IF(O797&lt;&gt;"",O797,IF(L797&lt;&gt;"",L797/1.56,IF(M797&lt;&gt;"",M797/1.56,""))))</f>
        <v/>
      </c>
      <c r="U797" s="3" t="n">
        <v>220</v>
      </c>
      <c r="V797" s="3" t="n">
        <v>134</v>
      </c>
      <c r="W797" s="3" t="n"/>
      <c r="X797" s="4" t="n"/>
      <c r="Y797" s="5" t="n">
        <v>0.244</v>
      </c>
      <c r="Z797" s="4">
        <f>IF(L797&lt;&gt;"",SQRT(3)*G797*L797/1000,"")</f>
        <v/>
      </c>
      <c r="AA797" t="inlineStr">
        <is>
          <t>Source=Copeland 2D/3D/4D/4R/6D/8D/9R compressors (pdf) p32; PWS_RLA=22.6</t>
        </is>
      </c>
      <c r="AB797" t="inlineStr">
        <is>
          <t>Copeland_RLA_230_460_3ph_60Hz.xlsx</t>
        </is>
      </c>
      <c r="AC797" t="inlineStr">
        <is>
          <t>Recip_2D-9R</t>
        </is>
      </c>
    </row>
    <row r="798">
      <c r="A798" t="inlineStr">
        <is>
          <t>COPELAND</t>
        </is>
      </c>
      <c r="B798" t="inlineStr">
        <is>
          <t>4DN3A1010-TSK</t>
        </is>
      </c>
      <c r="D798" t="inlineStr">
        <is>
          <t>Reciprocating Semi-hermetic</t>
        </is>
      </c>
      <c r="E798" s="2" t="n">
        <v>3</v>
      </c>
      <c r="F798" s="2" t="n">
        <v>60</v>
      </c>
      <c r="G798" s="2" t="n">
        <v>460</v>
      </c>
      <c r="H798" t="inlineStr">
        <is>
          <t>460</t>
        </is>
      </c>
      <c r="I798" s="2" t="n">
        <v>460</v>
      </c>
      <c r="J798" s="2" t="n">
        <v>460</v>
      </c>
      <c r="L798" s="3" t="n"/>
      <c r="M798" s="3" t="n"/>
      <c r="N798" s="3" t="n">
        <v>21</v>
      </c>
      <c r="O798" s="3" t="n"/>
      <c r="P798" s="3">
        <f>IF(L798&lt;&gt;"",L798/1.4,"")</f>
        <v/>
      </c>
      <c r="Q798" s="3">
        <f>IF(L798&lt;&gt;"",L798/1.56,"")</f>
        <v/>
      </c>
      <c r="R798" s="3">
        <f>IF(M798&lt;&gt;"",M798/1.4,"")</f>
        <v/>
      </c>
      <c r="S798" s="3">
        <f>IF(M798&lt;&gt;"",M798/1.56,"")</f>
        <v/>
      </c>
      <c r="T798" s="3">
        <f>IF(N798&lt;&gt;"",N798,IF(O798&lt;&gt;"",O798,IF(L798&lt;&gt;"",L798/1.56,IF(M798&lt;&gt;"",M798/1.56,""))))</f>
        <v/>
      </c>
      <c r="U798" s="3" t="n">
        <v>110</v>
      </c>
      <c r="V798" s="3" t="n"/>
      <c r="W798" s="3" t="n"/>
      <c r="X798" s="4" t="n"/>
      <c r="Y798" s="5" t="n">
        <v>0.976</v>
      </c>
      <c r="Z798" s="4">
        <f>IF(L798&lt;&gt;"",SQRT(3)*G798*L798/1000,"")</f>
        <v/>
      </c>
      <c r="AA798" t="inlineStr">
        <is>
          <t>Source=Copeland 2D/3D/4D/4R/6D/8D/9R compressors (pdf) p32</t>
        </is>
      </c>
      <c r="AB798" t="inlineStr">
        <is>
          <t>Copeland_RLA_230_460_3ph_60Hz.xlsx</t>
        </is>
      </c>
      <c r="AC798" t="inlineStr">
        <is>
          <t>Recip_2D-9R</t>
        </is>
      </c>
    </row>
    <row r="799">
      <c r="A799" t="inlineStr">
        <is>
          <t>COPELAND</t>
        </is>
      </c>
      <c r="B799" t="inlineStr">
        <is>
          <t>4DN3A101E-TSK</t>
        </is>
      </c>
      <c r="D799" t="inlineStr">
        <is>
          <t>Reciprocating Semi-hermetic</t>
        </is>
      </c>
      <c r="E799" s="2" t="n">
        <v>3</v>
      </c>
      <c r="F799" s="2" t="n">
        <v>60</v>
      </c>
      <c r="G799" s="2" t="n">
        <v>230</v>
      </c>
      <c r="H799" t="inlineStr">
        <is>
          <t>208/230</t>
        </is>
      </c>
      <c r="I799" s="2" t="n">
        <v>208</v>
      </c>
      <c r="J799" s="2" t="n">
        <v>230</v>
      </c>
      <c r="L799" s="3" t="n"/>
      <c r="M799" s="3" t="n"/>
      <c r="N799" s="3" t="n">
        <v>45.6</v>
      </c>
      <c r="O799" s="3" t="n"/>
      <c r="P799" s="3">
        <f>IF(L799&lt;&gt;"",L799/1.4,"")</f>
        <v/>
      </c>
      <c r="Q799" s="3">
        <f>IF(L799&lt;&gt;"",L799/1.56,"")</f>
        <v/>
      </c>
      <c r="R799" s="3">
        <f>IF(M799&lt;&gt;"",M799/1.4,"")</f>
        <v/>
      </c>
      <c r="S799" s="3">
        <f>IF(M799&lt;&gt;"",M799/1.56,"")</f>
        <v/>
      </c>
      <c r="T799" s="3">
        <f>IF(N799&lt;&gt;"",N799,IF(O799&lt;&gt;"",O799,IF(L799&lt;&gt;"",L799/1.56,IF(M799&lt;&gt;"",M799/1.56,""))))</f>
        <v/>
      </c>
      <c r="U799" s="3" t="n">
        <v>220</v>
      </c>
      <c r="V799" s="3" t="n">
        <v>134</v>
      </c>
      <c r="W799" s="3" t="n"/>
      <c r="X799" s="4" t="n"/>
      <c r="Y799" s="5" t="n">
        <v>0.244</v>
      </c>
      <c r="Z799" s="4">
        <f>IF(L799&lt;&gt;"",SQRT(3)*G799*L799/1000,"")</f>
        <v/>
      </c>
      <c r="AA799" t="inlineStr">
        <is>
          <t>Source=Copeland 2D/3D/4D/4R/6D/8D/9R compressors (pdf) p32; PWS_RLA=22.6</t>
        </is>
      </c>
      <c r="AB799" t="inlineStr">
        <is>
          <t>Copeland_RLA_230_460_3ph_60Hz.xlsx</t>
        </is>
      </c>
      <c r="AC799" t="inlineStr">
        <is>
          <t>Recip_2D-9R</t>
        </is>
      </c>
    </row>
    <row r="800">
      <c r="A800" t="inlineStr">
        <is>
          <t>COPELAND</t>
        </is>
      </c>
      <c r="B800" t="inlineStr">
        <is>
          <t>4DN3A101E-TSK</t>
        </is>
      </c>
      <c r="D800" t="inlineStr">
        <is>
          <t>Reciprocating Semi-hermetic</t>
        </is>
      </c>
      <c r="E800" s="2" t="n">
        <v>3</v>
      </c>
      <c r="F800" s="2" t="n">
        <v>60</v>
      </c>
      <c r="G800" s="2" t="n">
        <v>460</v>
      </c>
      <c r="H800" t="inlineStr">
        <is>
          <t>460</t>
        </is>
      </c>
      <c r="I800" s="2" t="n">
        <v>460</v>
      </c>
      <c r="J800" s="2" t="n">
        <v>460</v>
      </c>
      <c r="L800" s="3" t="n"/>
      <c r="M800" s="3" t="n"/>
      <c r="N800" s="3" t="n">
        <v>22.8</v>
      </c>
      <c r="O800" s="3" t="n"/>
      <c r="P800" s="3">
        <f>IF(L800&lt;&gt;"",L800/1.4,"")</f>
        <v/>
      </c>
      <c r="Q800" s="3">
        <f>IF(L800&lt;&gt;"",L800/1.56,"")</f>
        <v/>
      </c>
      <c r="R800" s="3">
        <f>IF(M800&lt;&gt;"",M800/1.4,"")</f>
        <v/>
      </c>
      <c r="S800" s="3">
        <f>IF(M800&lt;&gt;"",M800/1.56,"")</f>
        <v/>
      </c>
      <c r="T800" s="3">
        <f>IF(N800&lt;&gt;"",N800,IF(O800&lt;&gt;"",O800,IF(L800&lt;&gt;"",L800/1.56,IF(M800&lt;&gt;"",M800/1.56,""))))</f>
        <v/>
      </c>
      <c r="U800" s="3" t="n">
        <v>110</v>
      </c>
      <c r="V800" s="3" t="n"/>
      <c r="W800" s="3" t="n"/>
      <c r="X800" s="4" t="n"/>
      <c r="Y800" s="5" t="n">
        <v>0.976</v>
      </c>
      <c r="Z800" s="4">
        <f>IF(L800&lt;&gt;"",SQRT(3)*G800*L800/1000,"")</f>
        <v/>
      </c>
      <c r="AA800" t="inlineStr">
        <is>
          <t>Source=Copeland 2D/3D/4D/4R/6D/8D/9R compressors (pdf) p32</t>
        </is>
      </c>
      <c r="AB800" t="inlineStr">
        <is>
          <t>Copeland_RLA_230_460_3ph_60Hz.xlsx</t>
        </is>
      </c>
      <c r="AC800" t="inlineStr">
        <is>
          <t>Recip_2D-9R</t>
        </is>
      </c>
    </row>
    <row r="801">
      <c r="A801" t="inlineStr">
        <is>
          <t>COPELAND</t>
        </is>
      </c>
      <c r="B801" t="inlineStr">
        <is>
          <t>4DN3A101L-TSK</t>
        </is>
      </c>
      <c r="D801" t="inlineStr">
        <is>
          <t>Reciprocating Semi-hermetic</t>
        </is>
      </c>
      <c r="E801" s="2" t="n">
        <v>3</v>
      </c>
      <c r="F801" s="2" t="n">
        <v>60</v>
      </c>
      <c r="G801" s="2" t="n">
        <v>230</v>
      </c>
      <c r="H801" t="inlineStr">
        <is>
          <t>208/230</t>
        </is>
      </c>
      <c r="I801" s="2" t="n">
        <v>208</v>
      </c>
      <c r="J801" s="2" t="n">
        <v>230</v>
      </c>
      <c r="L801" s="3" t="n"/>
      <c r="M801" s="3" t="n"/>
      <c r="N801" s="3" t="n">
        <v>45.6</v>
      </c>
      <c r="O801" s="3" t="n"/>
      <c r="P801" s="3">
        <f>IF(L801&lt;&gt;"",L801/1.4,"")</f>
        <v/>
      </c>
      <c r="Q801" s="3">
        <f>IF(L801&lt;&gt;"",L801/1.56,"")</f>
        <v/>
      </c>
      <c r="R801" s="3">
        <f>IF(M801&lt;&gt;"",M801/1.4,"")</f>
        <v/>
      </c>
      <c r="S801" s="3">
        <f>IF(M801&lt;&gt;"",M801/1.56,"")</f>
        <v/>
      </c>
      <c r="T801" s="3">
        <f>IF(N801&lt;&gt;"",N801,IF(O801&lt;&gt;"",O801,IF(L801&lt;&gt;"",L801/1.56,IF(M801&lt;&gt;"",M801/1.56,""))))</f>
        <v/>
      </c>
      <c r="U801" s="3" t="n">
        <v>220</v>
      </c>
      <c r="V801" s="3" t="n">
        <v>134</v>
      </c>
      <c r="W801" s="3" t="n"/>
      <c r="X801" s="4" t="n"/>
      <c r="Y801" s="5" t="n">
        <v>0.244</v>
      </c>
      <c r="Z801" s="4">
        <f>IF(L801&lt;&gt;"",SQRT(3)*G801*L801/1000,"")</f>
        <v/>
      </c>
      <c r="AA801" t="inlineStr">
        <is>
          <t>Source=Copeland 2D/3D/4D/4R/6D/8D/9R compressors (pdf) p32; PWS_RLA=22.6</t>
        </is>
      </c>
      <c r="AB801" t="inlineStr">
        <is>
          <t>Copeland_RLA_230_460_3ph_60Hz.xlsx</t>
        </is>
      </c>
      <c r="AC801" t="inlineStr">
        <is>
          <t>Recip_2D-9R</t>
        </is>
      </c>
    </row>
    <row r="802">
      <c r="A802" t="inlineStr">
        <is>
          <t>COPELAND</t>
        </is>
      </c>
      <c r="B802" t="inlineStr">
        <is>
          <t>4DN3A101L-TSK</t>
        </is>
      </c>
      <c r="D802" t="inlineStr">
        <is>
          <t>Reciprocating Semi-hermetic</t>
        </is>
      </c>
      <c r="E802" s="2" t="n">
        <v>3</v>
      </c>
      <c r="F802" s="2" t="n">
        <v>60</v>
      </c>
      <c r="G802" s="2" t="n">
        <v>460</v>
      </c>
      <c r="H802" t="inlineStr">
        <is>
          <t>460</t>
        </is>
      </c>
      <c r="I802" s="2" t="n">
        <v>460</v>
      </c>
      <c r="J802" s="2" t="n">
        <v>460</v>
      </c>
      <c r="L802" s="3" t="n"/>
      <c r="M802" s="3" t="n"/>
      <c r="N802" s="3" t="n">
        <v>22.8</v>
      </c>
      <c r="O802" s="3" t="n"/>
      <c r="P802" s="3">
        <f>IF(L802&lt;&gt;"",L802/1.4,"")</f>
        <v/>
      </c>
      <c r="Q802" s="3">
        <f>IF(L802&lt;&gt;"",L802/1.56,"")</f>
        <v/>
      </c>
      <c r="R802" s="3">
        <f>IF(M802&lt;&gt;"",M802/1.4,"")</f>
        <v/>
      </c>
      <c r="S802" s="3">
        <f>IF(M802&lt;&gt;"",M802/1.56,"")</f>
        <v/>
      </c>
      <c r="T802" s="3">
        <f>IF(N802&lt;&gt;"",N802,IF(O802&lt;&gt;"",O802,IF(L802&lt;&gt;"",L802/1.56,IF(M802&lt;&gt;"",M802/1.56,""))))</f>
        <v/>
      </c>
      <c r="U802" s="3" t="n">
        <v>110</v>
      </c>
      <c r="V802" s="3" t="n"/>
      <c r="W802" s="3" t="n"/>
      <c r="X802" s="4" t="n"/>
      <c r="Y802" s="5" t="n">
        <v>0.976</v>
      </c>
      <c r="Z802" s="4">
        <f>IF(L802&lt;&gt;"",SQRT(3)*G802*L802/1000,"")</f>
        <v/>
      </c>
      <c r="AA802" t="inlineStr">
        <is>
          <t>Source=Copeland 2D/3D/4D/4R/6D/8D/9R compressors (pdf) p32</t>
        </is>
      </c>
      <c r="AB802" t="inlineStr">
        <is>
          <t>Copeland_RLA_230_460_3ph_60Hz.xlsx</t>
        </is>
      </c>
      <c r="AC802" t="inlineStr">
        <is>
          <t>Recip_2D-9R</t>
        </is>
      </c>
    </row>
    <row r="803">
      <c r="A803" t="inlineStr">
        <is>
          <t>COPELAND</t>
        </is>
      </c>
      <c r="B803" t="inlineStr">
        <is>
          <t>4DN3F47K0-TSK</t>
        </is>
      </c>
      <c r="D803" t="inlineStr">
        <is>
          <t>Reciprocating Semi-hermetic</t>
        </is>
      </c>
      <c r="E803" s="2" t="n">
        <v>3</v>
      </c>
      <c r="F803" s="2" t="n">
        <v>60</v>
      </c>
      <c r="G803" s="2" t="n">
        <v>230</v>
      </c>
      <c r="H803" t="inlineStr">
        <is>
          <t>208/230</t>
        </is>
      </c>
      <c r="I803" s="2" t="n">
        <v>208</v>
      </c>
      <c r="J803" s="2" t="n">
        <v>230</v>
      </c>
      <c r="L803" s="3" t="n"/>
      <c r="M803" s="3" t="n"/>
      <c r="N803" s="3" t="n">
        <v>42</v>
      </c>
      <c r="O803" s="3" t="n"/>
      <c r="P803" s="3">
        <f>IF(L803&lt;&gt;"",L803/1.4,"")</f>
        <v/>
      </c>
      <c r="Q803" s="3">
        <f>IF(L803&lt;&gt;"",L803/1.56,"")</f>
        <v/>
      </c>
      <c r="R803" s="3">
        <f>IF(M803&lt;&gt;"",M803/1.4,"")</f>
        <v/>
      </c>
      <c r="S803" s="3">
        <f>IF(M803&lt;&gt;"",M803/1.56,"")</f>
        <v/>
      </c>
      <c r="T803" s="3">
        <f>IF(N803&lt;&gt;"",N803,IF(O803&lt;&gt;"",O803,IF(L803&lt;&gt;"",L803/1.56,IF(M803&lt;&gt;"",M803/1.56,""))))</f>
        <v/>
      </c>
      <c r="U803" s="3" t="n">
        <v>220</v>
      </c>
      <c r="V803" s="3" t="n">
        <v>134</v>
      </c>
      <c r="W803" s="3" t="n"/>
      <c r="X803" s="4" t="n"/>
      <c r="Y803" s="5" t="n">
        <v>0.244</v>
      </c>
      <c r="Z803" s="4">
        <f>IF(L803&lt;&gt;"",SQRT(3)*G803*L803/1000,"")</f>
        <v/>
      </c>
      <c r="AA803" t="inlineStr">
        <is>
          <t>Source=Copeland 2D/3D/4D/4R/6D/8D/9R compressors (pdf) p32; PWS_RLA=22.6</t>
        </is>
      </c>
      <c r="AB803" t="inlineStr">
        <is>
          <t>Copeland_RLA_230_460_3ph_60Hz.xlsx</t>
        </is>
      </c>
      <c r="AC803" t="inlineStr">
        <is>
          <t>Recip_2D-9R</t>
        </is>
      </c>
    </row>
    <row r="804">
      <c r="A804" t="inlineStr">
        <is>
          <t>COPELAND</t>
        </is>
      </c>
      <c r="B804" t="inlineStr">
        <is>
          <t>4DN3F47K0-TSK</t>
        </is>
      </c>
      <c r="D804" t="inlineStr">
        <is>
          <t>Reciprocating Semi-hermetic</t>
        </is>
      </c>
      <c r="E804" s="2" t="n">
        <v>3</v>
      </c>
      <c r="F804" s="2" t="n">
        <v>60</v>
      </c>
      <c r="G804" s="2" t="n">
        <v>460</v>
      </c>
      <c r="H804" t="inlineStr">
        <is>
          <t>460</t>
        </is>
      </c>
      <c r="I804" s="2" t="n">
        <v>460</v>
      </c>
      <c r="J804" s="2" t="n">
        <v>460</v>
      </c>
      <c r="L804" s="3" t="n"/>
      <c r="M804" s="3" t="n"/>
      <c r="N804" s="3" t="n">
        <v>21</v>
      </c>
      <c r="O804" s="3" t="n"/>
      <c r="P804" s="3">
        <f>IF(L804&lt;&gt;"",L804/1.4,"")</f>
        <v/>
      </c>
      <c r="Q804" s="3">
        <f>IF(L804&lt;&gt;"",L804/1.56,"")</f>
        <v/>
      </c>
      <c r="R804" s="3">
        <f>IF(M804&lt;&gt;"",M804/1.4,"")</f>
        <v/>
      </c>
      <c r="S804" s="3">
        <f>IF(M804&lt;&gt;"",M804/1.56,"")</f>
        <v/>
      </c>
      <c r="T804" s="3">
        <f>IF(N804&lt;&gt;"",N804,IF(O804&lt;&gt;"",O804,IF(L804&lt;&gt;"",L804/1.56,IF(M804&lt;&gt;"",M804/1.56,""))))</f>
        <v/>
      </c>
      <c r="U804" s="3" t="n">
        <v>110</v>
      </c>
      <c r="V804" s="3" t="n"/>
      <c r="W804" s="3" t="n"/>
      <c r="X804" s="4" t="n"/>
      <c r="Y804" s="5" t="n">
        <v>0.976</v>
      </c>
      <c r="Z804" s="4">
        <f>IF(L804&lt;&gt;"",SQRT(3)*G804*L804/1000,"")</f>
        <v/>
      </c>
      <c r="AA804" t="inlineStr">
        <is>
          <t>Source=Copeland 2D/3D/4D/4R/6D/8D/9R compressors (pdf) p32</t>
        </is>
      </c>
      <c r="AB804" t="inlineStr">
        <is>
          <t>Copeland_RLA_230_460_3ph_60Hz.xlsx</t>
        </is>
      </c>
      <c r="AC804" t="inlineStr">
        <is>
          <t>Recip_2D-9R</t>
        </is>
      </c>
    </row>
    <row r="805">
      <c r="A805" t="inlineStr">
        <is>
          <t>COPELAND</t>
        </is>
      </c>
      <c r="B805" t="inlineStr">
        <is>
          <t>4DN3F47KE-TSK</t>
        </is>
      </c>
      <c r="D805" t="inlineStr">
        <is>
          <t>Reciprocating Semi-hermetic</t>
        </is>
      </c>
      <c r="E805" s="2" t="n">
        <v>3</v>
      </c>
      <c r="F805" s="2" t="n">
        <v>60</v>
      </c>
      <c r="G805" s="2" t="n">
        <v>230</v>
      </c>
      <c r="H805" t="inlineStr">
        <is>
          <t>208/230</t>
        </is>
      </c>
      <c r="I805" s="2" t="n">
        <v>208</v>
      </c>
      <c r="J805" s="2" t="n">
        <v>230</v>
      </c>
      <c r="L805" s="3" t="n"/>
      <c r="M805" s="3" t="n"/>
      <c r="N805" s="3" t="n">
        <v>45.6</v>
      </c>
      <c r="O805" s="3" t="n"/>
      <c r="P805" s="3">
        <f>IF(L805&lt;&gt;"",L805/1.4,"")</f>
        <v/>
      </c>
      <c r="Q805" s="3">
        <f>IF(L805&lt;&gt;"",L805/1.56,"")</f>
        <v/>
      </c>
      <c r="R805" s="3">
        <f>IF(M805&lt;&gt;"",M805/1.4,"")</f>
        <v/>
      </c>
      <c r="S805" s="3">
        <f>IF(M805&lt;&gt;"",M805/1.56,"")</f>
        <v/>
      </c>
      <c r="T805" s="3">
        <f>IF(N805&lt;&gt;"",N805,IF(O805&lt;&gt;"",O805,IF(L805&lt;&gt;"",L805/1.56,IF(M805&lt;&gt;"",M805/1.56,""))))</f>
        <v/>
      </c>
      <c r="U805" s="3" t="n">
        <v>220</v>
      </c>
      <c r="V805" s="3" t="n">
        <v>134</v>
      </c>
      <c r="W805" s="3" t="n"/>
      <c r="X805" s="4" t="n"/>
      <c r="Y805" s="5" t="n">
        <v>0.244</v>
      </c>
      <c r="Z805" s="4">
        <f>IF(L805&lt;&gt;"",SQRT(3)*G805*L805/1000,"")</f>
        <v/>
      </c>
      <c r="AA805" t="inlineStr">
        <is>
          <t>Source=Copeland 2D/3D/4D/4R/6D/8D/9R compressors (pdf) p32; PWS_RLA=22.6</t>
        </is>
      </c>
      <c r="AB805" t="inlineStr">
        <is>
          <t>Copeland_RLA_230_460_3ph_60Hz.xlsx</t>
        </is>
      </c>
      <c r="AC805" t="inlineStr">
        <is>
          <t>Recip_2D-9R</t>
        </is>
      </c>
    </row>
    <row r="806">
      <c r="A806" t="inlineStr">
        <is>
          <t>COPELAND</t>
        </is>
      </c>
      <c r="B806" t="inlineStr">
        <is>
          <t>4DN3F47KE-TSK</t>
        </is>
      </c>
      <c r="D806" t="inlineStr">
        <is>
          <t>Reciprocating Semi-hermetic</t>
        </is>
      </c>
      <c r="E806" s="2" t="n">
        <v>3</v>
      </c>
      <c r="F806" s="2" t="n">
        <v>60</v>
      </c>
      <c r="G806" s="2" t="n">
        <v>460</v>
      </c>
      <c r="H806" t="inlineStr">
        <is>
          <t>460</t>
        </is>
      </c>
      <c r="I806" s="2" t="n">
        <v>460</v>
      </c>
      <c r="J806" s="2" t="n">
        <v>460</v>
      </c>
      <c r="L806" s="3" t="n"/>
      <c r="M806" s="3" t="n"/>
      <c r="N806" s="3" t="n">
        <v>22.8</v>
      </c>
      <c r="O806" s="3" t="n"/>
      <c r="P806" s="3">
        <f>IF(L806&lt;&gt;"",L806/1.4,"")</f>
        <v/>
      </c>
      <c r="Q806" s="3">
        <f>IF(L806&lt;&gt;"",L806/1.56,"")</f>
        <v/>
      </c>
      <c r="R806" s="3">
        <f>IF(M806&lt;&gt;"",M806/1.4,"")</f>
        <v/>
      </c>
      <c r="S806" s="3">
        <f>IF(M806&lt;&gt;"",M806/1.56,"")</f>
        <v/>
      </c>
      <c r="T806" s="3">
        <f>IF(N806&lt;&gt;"",N806,IF(O806&lt;&gt;"",O806,IF(L806&lt;&gt;"",L806/1.56,IF(M806&lt;&gt;"",M806/1.56,""))))</f>
        <v/>
      </c>
      <c r="U806" s="3" t="n">
        <v>110</v>
      </c>
      <c r="V806" s="3" t="n"/>
      <c r="W806" s="3" t="n"/>
      <c r="X806" s="4" t="n"/>
      <c r="Y806" s="5" t="n">
        <v>0.976</v>
      </c>
      <c r="Z806" s="4">
        <f>IF(L806&lt;&gt;"",SQRT(3)*G806*L806/1000,"")</f>
        <v/>
      </c>
      <c r="AA806" t="inlineStr">
        <is>
          <t>Source=Copeland 2D/3D/4D/4R/6D/8D/9R compressors (pdf) p32</t>
        </is>
      </c>
      <c r="AB806" t="inlineStr">
        <is>
          <t>Copeland_RLA_230_460_3ph_60Hz.xlsx</t>
        </is>
      </c>
      <c r="AC806" t="inlineStr">
        <is>
          <t>Recip_2D-9R</t>
        </is>
      </c>
    </row>
    <row r="807">
      <c r="A807" t="inlineStr">
        <is>
          <t>COPELAND</t>
        </is>
      </c>
      <c r="B807" t="inlineStr">
        <is>
          <t>4DN3F47KL-TSK</t>
        </is>
      </c>
      <c r="D807" t="inlineStr">
        <is>
          <t>Reciprocating Semi-hermetic</t>
        </is>
      </c>
      <c r="E807" s="2" t="n">
        <v>3</v>
      </c>
      <c r="F807" s="2" t="n">
        <v>60</v>
      </c>
      <c r="G807" s="2" t="n">
        <v>230</v>
      </c>
      <c r="H807" t="inlineStr">
        <is>
          <t>208/230</t>
        </is>
      </c>
      <c r="I807" s="2" t="n">
        <v>208</v>
      </c>
      <c r="J807" s="2" t="n">
        <v>230</v>
      </c>
      <c r="L807" s="3" t="n"/>
      <c r="M807" s="3" t="n"/>
      <c r="N807" s="3" t="n">
        <v>45.6</v>
      </c>
      <c r="O807" s="3" t="n"/>
      <c r="P807" s="3">
        <f>IF(L807&lt;&gt;"",L807/1.4,"")</f>
        <v/>
      </c>
      <c r="Q807" s="3">
        <f>IF(L807&lt;&gt;"",L807/1.56,"")</f>
        <v/>
      </c>
      <c r="R807" s="3">
        <f>IF(M807&lt;&gt;"",M807/1.4,"")</f>
        <v/>
      </c>
      <c r="S807" s="3">
        <f>IF(M807&lt;&gt;"",M807/1.56,"")</f>
        <v/>
      </c>
      <c r="T807" s="3">
        <f>IF(N807&lt;&gt;"",N807,IF(O807&lt;&gt;"",O807,IF(L807&lt;&gt;"",L807/1.56,IF(M807&lt;&gt;"",M807/1.56,""))))</f>
        <v/>
      </c>
      <c r="U807" s="3" t="n">
        <v>220</v>
      </c>
      <c r="V807" s="3" t="n">
        <v>134</v>
      </c>
      <c r="W807" s="3" t="n"/>
      <c r="X807" s="4" t="n"/>
      <c r="Y807" s="5" t="n">
        <v>0.244</v>
      </c>
      <c r="Z807" s="4">
        <f>IF(L807&lt;&gt;"",SQRT(3)*G807*L807/1000,"")</f>
        <v/>
      </c>
      <c r="AA807" t="inlineStr">
        <is>
          <t>Source=Copeland 2D/3D/4D/4R/6D/8D/9R compressors (pdf) p32; PWS_RLA=22.6</t>
        </is>
      </c>
      <c r="AB807" t="inlineStr">
        <is>
          <t>Copeland_RLA_230_460_3ph_60Hz.xlsx</t>
        </is>
      </c>
      <c r="AC807" t="inlineStr">
        <is>
          <t>Recip_2D-9R</t>
        </is>
      </c>
    </row>
    <row r="808">
      <c r="A808" t="inlineStr">
        <is>
          <t>COPELAND</t>
        </is>
      </c>
      <c r="B808" t="inlineStr">
        <is>
          <t>4DN3F47KL-TSK</t>
        </is>
      </c>
      <c r="D808" t="inlineStr">
        <is>
          <t>Reciprocating Semi-hermetic</t>
        </is>
      </c>
      <c r="E808" s="2" t="n">
        <v>3</v>
      </c>
      <c r="F808" s="2" t="n">
        <v>60</v>
      </c>
      <c r="G808" s="2" t="n">
        <v>460</v>
      </c>
      <c r="H808" t="inlineStr">
        <is>
          <t>460</t>
        </is>
      </c>
      <c r="I808" s="2" t="n">
        <v>460</v>
      </c>
      <c r="J808" s="2" t="n">
        <v>460</v>
      </c>
      <c r="L808" s="3" t="n"/>
      <c r="M808" s="3" t="n"/>
      <c r="N808" s="3" t="n">
        <v>22.8</v>
      </c>
      <c r="O808" s="3" t="n"/>
      <c r="P808" s="3">
        <f>IF(L808&lt;&gt;"",L808/1.4,"")</f>
        <v/>
      </c>
      <c r="Q808" s="3">
        <f>IF(L808&lt;&gt;"",L808/1.56,"")</f>
        <v/>
      </c>
      <c r="R808" s="3">
        <f>IF(M808&lt;&gt;"",M808/1.4,"")</f>
        <v/>
      </c>
      <c r="S808" s="3">
        <f>IF(M808&lt;&gt;"",M808/1.56,"")</f>
        <v/>
      </c>
      <c r="T808" s="3">
        <f>IF(N808&lt;&gt;"",N808,IF(O808&lt;&gt;"",O808,IF(L808&lt;&gt;"",L808/1.56,IF(M808&lt;&gt;"",M808/1.56,""))))</f>
        <v/>
      </c>
      <c r="U808" s="3" t="n">
        <v>110</v>
      </c>
      <c r="V808" s="3" t="n"/>
      <c r="W808" s="3" t="n"/>
      <c r="X808" s="4" t="n"/>
      <c r="Y808" s="5" t="n">
        <v>0.976</v>
      </c>
      <c r="Z808" s="4">
        <f>IF(L808&lt;&gt;"",SQRT(3)*G808*L808/1000,"")</f>
        <v/>
      </c>
      <c r="AA808" t="inlineStr">
        <is>
          <t>Source=Copeland 2D/3D/4D/4R/6D/8D/9R compressors (pdf) p32</t>
        </is>
      </c>
      <c r="AB808" t="inlineStr">
        <is>
          <t>Copeland_RLA_230_460_3ph_60Hz.xlsx</t>
        </is>
      </c>
      <c r="AC808" t="inlineStr">
        <is>
          <t>Recip_2D-9R</t>
        </is>
      </c>
    </row>
    <row r="809">
      <c r="A809" t="inlineStr">
        <is>
          <t>COPELAND</t>
        </is>
      </c>
      <c r="B809" t="inlineStr">
        <is>
          <t>4DNG-100E-FSD</t>
        </is>
      </c>
      <c r="D809" t="inlineStr">
        <is>
          <t>Reciprocating Semi-hermetic</t>
        </is>
      </c>
      <c r="E809" s="2" t="n">
        <v>3</v>
      </c>
      <c r="F809" s="2" t="n">
        <v>60</v>
      </c>
      <c r="G809" s="2" t="n">
        <v>460</v>
      </c>
      <c r="H809" t="inlineStr">
        <is>
          <t>460</t>
        </is>
      </c>
      <c r="I809" s="2" t="n">
        <v>460</v>
      </c>
      <c r="J809" s="2" t="n">
        <v>460</v>
      </c>
      <c r="L809" s="3" t="n"/>
      <c r="M809" s="3" t="n"/>
      <c r="N809" s="3" t="n">
        <v>20</v>
      </c>
      <c r="O809" s="3" t="n"/>
      <c r="P809" s="3">
        <f>IF(L809&lt;&gt;"",L809/1.4,"")</f>
        <v/>
      </c>
      <c r="Q809" s="3">
        <f>IF(L809&lt;&gt;"",L809/1.56,"")</f>
        <v/>
      </c>
      <c r="R809" s="3">
        <f>IF(M809&lt;&gt;"",M809/1.4,"")</f>
        <v/>
      </c>
      <c r="S809" s="3">
        <f>IF(M809&lt;&gt;"",M809/1.56,"")</f>
        <v/>
      </c>
      <c r="T809" s="3">
        <f>IF(N809&lt;&gt;"",N809,IF(O809&lt;&gt;"",O809,IF(L809&lt;&gt;"",L809/1.56,IF(M809&lt;&gt;"",M809/1.56,""))))</f>
        <v/>
      </c>
      <c r="U809" s="3" t="n">
        <v>115</v>
      </c>
      <c r="V809" s="3" t="n">
        <v>70</v>
      </c>
      <c r="W809" s="3" t="n"/>
      <c r="X809" s="4" t="n"/>
      <c r="Y809" s="5" t="n">
        <v>1.012</v>
      </c>
      <c r="Z809" s="4">
        <f>IF(L809&lt;&gt;"",SQRT(3)*G809*L809/1000,"")</f>
        <v/>
      </c>
      <c r="AA809" t="inlineStr">
        <is>
          <t>Source=Copeland 2D/3D/4D/4R/6D/8D/9R compressors (pdf) p32; PWS_RLA=10.0</t>
        </is>
      </c>
      <c r="AB809" t="inlineStr">
        <is>
          <t>Copeland_RLA_230_460_3ph_60Hz.xlsx</t>
        </is>
      </c>
      <c r="AC809" t="inlineStr">
        <is>
          <t>Recip_2D-9R</t>
        </is>
      </c>
    </row>
    <row r="810">
      <c r="A810" t="inlineStr">
        <is>
          <t>COPELAND</t>
        </is>
      </c>
      <c r="B810" t="inlineStr">
        <is>
          <t>4DP1A1500-FSD</t>
        </is>
      </c>
      <c r="D810" t="inlineStr">
        <is>
          <t>Reciprocating Semi-hermetic</t>
        </is>
      </c>
      <c r="E810" s="2" t="n">
        <v>3</v>
      </c>
      <c r="F810" s="2" t="n">
        <v>60</v>
      </c>
      <c r="G810" s="2" t="n">
        <v>460</v>
      </c>
      <c r="H810" t="inlineStr">
        <is>
          <t>460</t>
        </is>
      </c>
      <c r="I810" s="2" t="n">
        <v>460</v>
      </c>
      <c r="J810" s="2" t="n">
        <v>460</v>
      </c>
      <c r="L810" s="3" t="n"/>
      <c r="M810" s="3" t="n"/>
      <c r="N810" s="3" t="n">
        <v>28.6</v>
      </c>
      <c r="O810" s="3" t="n"/>
      <c r="P810" s="3">
        <f>IF(L810&lt;&gt;"",L810/1.4,"")</f>
        <v/>
      </c>
      <c r="Q810" s="3">
        <f>IF(L810&lt;&gt;"",L810/1.56,"")</f>
        <v/>
      </c>
      <c r="R810" s="3">
        <f>IF(M810&lt;&gt;"",M810/1.4,"")</f>
        <v/>
      </c>
      <c r="S810" s="3">
        <f>IF(M810&lt;&gt;"",M810/1.56,"")</f>
        <v/>
      </c>
      <c r="T810" s="3">
        <f>IF(N810&lt;&gt;"",N810,IF(O810&lt;&gt;"",O810,IF(L810&lt;&gt;"",L810/1.56,IF(M810&lt;&gt;"",M810/1.56,""))))</f>
        <v/>
      </c>
      <c r="U810" s="3" t="n">
        <v>136</v>
      </c>
      <c r="V810" s="3" t="n">
        <v>81.59999999999999</v>
      </c>
      <c r="W810" s="3" t="n"/>
      <c r="X810" s="4" t="n"/>
      <c r="Y810" s="5" t="n">
        <v>0.84</v>
      </c>
      <c r="Z810" s="4">
        <f>IF(L810&lt;&gt;"",SQRT(3)*G810*L810/1000,"")</f>
        <v/>
      </c>
      <c r="AA810" t="inlineStr">
        <is>
          <t>Source=Copeland 2D/3D/4D/4R/6D/8D/9R compressors (pdf) p33; PWS_RLA=14.3</t>
        </is>
      </c>
      <c r="AB810" t="inlineStr">
        <is>
          <t>Copeland_RLA_230_460_3ph_60Hz.xlsx</t>
        </is>
      </c>
      <c r="AC810" t="inlineStr">
        <is>
          <t>Recip_2D-9R</t>
        </is>
      </c>
    </row>
    <row r="811">
      <c r="A811" t="inlineStr">
        <is>
          <t>COPELAND</t>
        </is>
      </c>
      <c r="B811" t="inlineStr">
        <is>
          <t>4DP1A1500-TSK</t>
        </is>
      </c>
      <c r="D811" t="inlineStr">
        <is>
          <t>Reciprocating Semi-hermetic</t>
        </is>
      </c>
      <c r="E811" s="2" t="n">
        <v>3</v>
      </c>
      <c r="F811" s="2" t="n">
        <v>60</v>
      </c>
      <c r="G811" s="2" t="n">
        <v>230</v>
      </c>
      <c r="H811" t="inlineStr">
        <is>
          <t>208/230</t>
        </is>
      </c>
      <c r="I811" s="2" t="n">
        <v>208</v>
      </c>
      <c r="J811" s="2" t="n">
        <v>230</v>
      </c>
      <c r="L811" s="3" t="n"/>
      <c r="M811" s="3" t="n"/>
      <c r="N811" s="3" t="n">
        <v>60</v>
      </c>
      <c r="O811" s="3" t="n"/>
      <c r="P811" s="3">
        <f>IF(L811&lt;&gt;"",L811/1.4,"")</f>
        <v/>
      </c>
      <c r="Q811" s="3">
        <f>IF(L811&lt;&gt;"",L811/1.56,"")</f>
        <v/>
      </c>
      <c r="R811" s="3">
        <f>IF(M811&lt;&gt;"",M811/1.4,"")</f>
        <v/>
      </c>
      <c r="S811" s="3">
        <f>IF(M811&lt;&gt;"",M811/1.56,"")</f>
        <v/>
      </c>
      <c r="T811" s="3">
        <f>IF(N811&lt;&gt;"",N811,IF(O811&lt;&gt;"",O811,IF(L811&lt;&gt;"",L811/1.56,IF(M811&lt;&gt;"",M811/1.56,""))))</f>
        <v/>
      </c>
      <c r="U811" s="3" t="n">
        <v>278</v>
      </c>
      <c r="V811" s="3" t="n">
        <v>170</v>
      </c>
      <c r="W811" s="3" t="n"/>
      <c r="X811" s="4" t="n"/>
      <c r="Y811" s="5" t="n">
        <v>0.208</v>
      </c>
      <c r="Z811" s="4">
        <f>IF(L811&lt;&gt;"",SQRT(3)*G811*L811/1000,"")</f>
        <v/>
      </c>
      <c r="AA811" t="inlineStr">
        <is>
          <t>Source=Copeland 2D/3D/4D/4R/6D/8D/9R compressors (pdf) p33; PWS_RLA=30.0</t>
        </is>
      </c>
      <c r="AB811" t="inlineStr">
        <is>
          <t>Copeland_RLA_230_460_3ph_60Hz.xlsx</t>
        </is>
      </c>
      <c r="AC811" t="inlineStr">
        <is>
          <t>Recip_2D-9R</t>
        </is>
      </c>
    </row>
    <row r="812">
      <c r="A812" t="inlineStr">
        <is>
          <t>COPELAND</t>
        </is>
      </c>
      <c r="B812" t="inlineStr">
        <is>
          <t>4DP1A1500-TSK</t>
        </is>
      </c>
      <c r="D812" t="inlineStr">
        <is>
          <t>Reciprocating Semi-hermetic</t>
        </is>
      </c>
      <c r="E812" s="2" t="n">
        <v>3</v>
      </c>
      <c r="F812" s="2" t="n">
        <v>60</v>
      </c>
      <c r="G812" s="2" t="n">
        <v>460</v>
      </c>
      <c r="H812" t="inlineStr">
        <is>
          <t>460</t>
        </is>
      </c>
      <c r="I812" s="2" t="n">
        <v>460</v>
      </c>
      <c r="J812" s="2" t="n">
        <v>460</v>
      </c>
      <c r="L812" s="3" t="n"/>
      <c r="M812" s="3" t="n"/>
      <c r="N812" s="3" t="n">
        <v>30</v>
      </c>
      <c r="O812" s="3" t="n"/>
      <c r="P812" s="3">
        <f>IF(L812&lt;&gt;"",L812/1.4,"")</f>
        <v/>
      </c>
      <c r="Q812" s="3">
        <f>IF(L812&lt;&gt;"",L812/1.56,"")</f>
        <v/>
      </c>
      <c r="R812" s="3">
        <f>IF(M812&lt;&gt;"",M812/1.4,"")</f>
        <v/>
      </c>
      <c r="S812" s="3">
        <f>IF(M812&lt;&gt;"",M812/1.56,"")</f>
        <v/>
      </c>
      <c r="T812" s="3">
        <f>IF(N812&lt;&gt;"",N812,IF(O812&lt;&gt;"",O812,IF(L812&lt;&gt;"",L812/1.56,IF(M812&lt;&gt;"",M812/1.56,""))))</f>
        <v/>
      </c>
      <c r="U812" s="3" t="n">
        <v>139</v>
      </c>
      <c r="V812" s="3" t="n"/>
      <c r="W812" s="3" t="n"/>
      <c r="X812" s="4" t="n"/>
      <c r="Y812" s="5" t="n">
        <v>0.832</v>
      </c>
      <c r="Z812" s="4">
        <f>IF(L812&lt;&gt;"",SQRT(3)*G812*L812/1000,"")</f>
        <v/>
      </c>
      <c r="AA812" t="inlineStr">
        <is>
          <t>Source=Copeland 2D/3D/4D/4R/6D/8D/9R compressors (pdf) p33</t>
        </is>
      </c>
      <c r="AB812" t="inlineStr">
        <is>
          <t>Copeland_RLA_230_460_3ph_60Hz.xlsx</t>
        </is>
      </c>
      <c r="AC812" t="inlineStr">
        <is>
          <t>Recip_2D-9R</t>
        </is>
      </c>
    </row>
    <row r="813">
      <c r="A813" t="inlineStr">
        <is>
          <t>COPELAND</t>
        </is>
      </c>
      <c r="B813" t="inlineStr">
        <is>
          <t>4DP3-1500-FSD</t>
        </is>
      </c>
      <c r="D813" t="inlineStr">
        <is>
          <t>Reciprocating Semi-hermetic</t>
        </is>
      </c>
      <c r="E813" s="2" t="n">
        <v>3</v>
      </c>
      <c r="F813" s="2" t="n">
        <v>60</v>
      </c>
      <c r="G813" s="2" t="n">
        <v>460</v>
      </c>
      <c r="H813" t="inlineStr">
        <is>
          <t>460</t>
        </is>
      </c>
      <c r="I813" s="2" t="n">
        <v>460</v>
      </c>
      <c r="J813" s="2" t="n">
        <v>460</v>
      </c>
      <c r="L813" s="3" t="n"/>
      <c r="M813" s="3" t="n"/>
      <c r="N813" s="3" t="n">
        <v>24.5</v>
      </c>
      <c r="O813" s="3" t="n"/>
      <c r="P813" s="3">
        <f>IF(L813&lt;&gt;"",L813/1.4,"")</f>
        <v/>
      </c>
      <c r="Q813" s="3">
        <f>IF(L813&lt;&gt;"",L813/1.56,"")</f>
        <v/>
      </c>
      <c r="R813" s="3">
        <f>IF(M813&lt;&gt;"",M813/1.4,"")</f>
        <v/>
      </c>
      <c r="S813" s="3">
        <f>IF(M813&lt;&gt;"",M813/1.56,"")</f>
        <v/>
      </c>
      <c r="T813" s="3">
        <f>IF(N813&lt;&gt;"",N813,IF(O813&lt;&gt;"",O813,IF(L813&lt;&gt;"",L813/1.56,IF(M813&lt;&gt;"",M813/1.56,""))))</f>
        <v/>
      </c>
      <c r="U813" s="3" t="n">
        <v>136</v>
      </c>
      <c r="V813" s="3" t="n">
        <v>81.59999999999999</v>
      </c>
      <c r="W813" s="3" t="n"/>
      <c r="X813" s="4" t="n"/>
      <c r="Y813" s="5" t="n">
        <v>0.84</v>
      </c>
      <c r="Z813" s="4">
        <f>IF(L813&lt;&gt;"",SQRT(3)*G813*L813/1000,"")</f>
        <v/>
      </c>
      <c r="AA813" t="inlineStr">
        <is>
          <t>Source=Copeland 2D/3D/4D/4R/6D/8D/9R compressors (pdf) p33; PWS_RLA=12.3</t>
        </is>
      </c>
      <c r="AB813" t="inlineStr">
        <is>
          <t>Copeland_RLA_230_460_3ph_60Hz.xlsx</t>
        </is>
      </c>
      <c r="AC813" t="inlineStr">
        <is>
          <t>Recip_2D-9R</t>
        </is>
      </c>
    </row>
    <row r="814">
      <c r="A814" t="inlineStr">
        <is>
          <t>COPELAND</t>
        </is>
      </c>
      <c r="B814" t="inlineStr">
        <is>
          <t>4DP3-1500-TSK</t>
        </is>
      </c>
      <c r="D814" t="inlineStr">
        <is>
          <t>Reciprocating Semi-hermetic</t>
        </is>
      </c>
      <c r="E814" s="2" t="n">
        <v>3</v>
      </c>
      <c r="F814" s="2" t="n">
        <v>60</v>
      </c>
      <c r="G814" s="2" t="n">
        <v>230</v>
      </c>
      <c r="H814" t="inlineStr">
        <is>
          <t>208/230</t>
        </is>
      </c>
      <c r="I814" s="2" t="n">
        <v>208</v>
      </c>
      <c r="J814" s="2" t="n">
        <v>230</v>
      </c>
      <c r="L814" s="3" t="n"/>
      <c r="M814" s="3" t="n"/>
      <c r="N814" s="3" t="n">
        <v>52.6</v>
      </c>
      <c r="O814" s="3" t="n"/>
      <c r="P814" s="3">
        <f>IF(L814&lt;&gt;"",L814/1.4,"")</f>
        <v/>
      </c>
      <c r="Q814" s="3">
        <f>IF(L814&lt;&gt;"",L814/1.56,"")</f>
        <v/>
      </c>
      <c r="R814" s="3">
        <f>IF(M814&lt;&gt;"",M814/1.4,"")</f>
        <v/>
      </c>
      <c r="S814" s="3">
        <f>IF(M814&lt;&gt;"",M814/1.56,"")</f>
        <v/>
      </c>
      <c r="T814" s="3">
        <f>IF(N814&lt;&gt;"",N814,IF(O814&lt;&gt;"",O814,IF(L814&lt;&gt;"",L814/1.56,IF(M814&lt;&gt;"",M814/1.56,""))))</f>
        <v/>
      </c>
      <c r="U814" s="3" t="n">
        <v>278</v>
      </c>
      <c r="V814" s="3" t="n">
        <v>170</v>
      </c>
      <c r="W814" s="3" t="n"/>
      <c r="X814" s="4" t="n"/>
      <c r="Y814" s="5" t="n">
        <v>0.208</v>
      </c>
      <c r="Z814" s="4">
        <f>IF(L814&lt;&gt;"",SQRT(3)*G814*L814/1000,"")</f>
        <v/>
      </c>
      <c r="AA814" t="inlineStr">
        <is>
          <t>Source=Copeland 2D/3D/4D/4R/6D/8D/9R compressors (pdf) p33; PWS_RLA=26.3</t>
        </is>
      </c>
      <c r="AB814" t="inlineStr">
        <is>
          <t>Copeland_RLA_230_460_3ph_60Hz.xlsx</t>
        </is>
      </c>
      <c r="AC814" t="inlineStr">
        <is>
          <t>Recip_2D-9R</t>
        </is>
      </c>
    </row>
    <row r="815">
      <c r="A815" t="inlineStr">
        <is>
          <t>COPELAND</t>
        </is>
      </c>
      <c r="B815" t="inlineStr">
        <is>
          <t>4DP3-1500-TSK</t>
        </is>
      </c>
      <c r="D815" t="inlineStr">
        <is>
          <t>Reciprocating Semi-hermetic</t>
        </is>
      </c>
      <c r="E815" s="2" t="n">
        <v>3</v>
      </c>
      <c r="F815" s="2" t="n">
        <v>60</v>
      </c>
      <c r="G815" s="2" t="n">
        <v>460</v>
      </c>
      <c r="H815" t="inlineStr">
        <is>
          <t>460</t>
        </is>
      </c>
      <c r="I815" s="2" t="n">
        <v>460</v>
      </c>
      <c r="J815" s="2" t="n">
        <v>460</v>
      </c>
      <c r="L815" s="3" t="n"/>
      <c r="M815" s="3" t="n"/>
      <c r="N815" s="3" t="n">
        <v>26.3</v>
      </c>
      <c r="O815" s="3" t="n"/>
      <c r="P815" s="3">
        <f>IF(L815&lt;&gt;"",L815/1.4,"")</f>
        <v/>
      </c>
      <c r="Q815" s="3">
        <f>IF(L815&lt;&gt;"",L815/1.56,"")</f>
        <v/>
      </c>
      <c r="R815" s="3">
        <f>IF(M815&lt;&gt;"",M815/1.4,"")</f>
        <v/>
      </c>
      <c r="S815" s="3">
        <f>IF(M815&lt;&gt;"",M815/1.56,"")</f>
        <v/>
      </c>
      <c r="T815" s="3">
        <f>IF(N815&lt;&gt;"",N815,IF(O815&lt;&gt;"",O815,IF(L815&lt;&gt;"",L815/1.56,IF(M815&lt;&gt;"",M815/1.56,""))))</f>
        <v/>
      </c>
      <c r="U815" s="3" t="n">
        <v>139</v>
      </c>
      <c r="V815" s="3" t="n"/>
      <c r="W815" s="3" t="n"/>
      <c r="X815" s="4" t="n"/>
      <c r="Y815" s="5" t="n">
        <v>0.832</v>
      </c>
      <c r="Z815" s="4">
        <f>IF(L815&lt;&gt;"",SQRT(3)*G815*L815/1000,"")</f>
        <v/>
      </c>
      <c r="AA815" t="inlineStr">
        <is>
          <t>Source=Copeland 2D/3D/4D/4R/6D/8D/9R compressors (pdf) p33</t>
        </is>
      </c>
      <c r="AB815" t="inlineStr">
        <is>
          <t>Copeland_RLA_230_460_3ph_60Hz.xlsx</t>
        </is>
      </c>
      <c r="AC815" t="inlineStr">
        <is>
          <t>Recip_2D-9R</t>
        </is>
      </c>
    </row>
    <row r="816">
      <c r="A816" t="inlineStr">
        <is>
          <t>COPELAND</t>
        </is>
      </c>
      <c r="B816" t="inlineStr">
        <is>
          <t>4DP3-150E-FSD</t>
        </is>
      </c>
      <c r="D816" t="inlineStr">
        <is>
          <t>Reciprocating Semi-hermetic</t>
        </is>
      </c>
      <c r="E816" s="2" t="n">
        <v>3</v>
      </c>
      <c r="F816" s="2" t="n">
        <v>60</v>
      </c>
      <c r="G816" s="2" t="n">
        <v>460</v>
      </c>
      <c r="H816" t="inlineStr">
        <is>
          <t>460</t>
        </is>
      </c>
      <c r="I816" s="2" t="n">
        <v>460</v>
      </c>
      <c r="J816" s="2" t="n">
        <v>460</v>
      </c>
      <c r="L816" s="3" t="n"/>
      <c r="M816" s="3" t="n"/>
      <c r="N816" s="3" t="n">
        <v>24.5</v>
      </c>
      <c r="O816" s="3" t="n"/>
      <c r="P816" s="3">
        <f>IF(L816&lt;&gt;"",L816/1.4,"")</f>
        <v/>
      </c>
      <c r="Q816" s="3">
        <f>IF(L816&lt;&gt;"",L816/1.56,"")</f>
        <v/>
      </c>
      <c r="R816" s="3">
        <f>IF(M816&lt;&gt;"",M816/1.4,"")</f>
        <v/>
      </c>
      <c r="S816" s="3">
        <f>IF(M816&lt;&gt;"",M816/1.56,"")</f>
        <v/>
      </c>
      <c r="T816" s="3">
        <f>IF(N816&lt;&gt;"",N816,IF(O816&lt;&gt;"",O816,IF(L816&lt;&gt;"",L816/1.56,IF(M816&lt;&gt;"",M816/1.56,""))))</f>
        <v/>
      </c>
      <c r="U816" s="3" t="n">
        <v>136</v>
      </c>
      <c r="V816" s="3" t="n">
        <v>81.59999999999999</v>
      </c>
      <c r="W816" s="3" t="n"/>
      <c r="X816" s="4" t="n"/>
      <c r="Y816" s="5" t="n">
        <v>0.84</v>
      </c>
      <c r="Z816" s="4">
        <f>IF(L816&lt;&gt;"",SQRT(3)*G816*L816/1000,"")</f>
        <v/>
      </c>
      <c r="AA816" t="inlineStr">
        <is>
          <t>Source=Copeland 2D/3D/4D/4R/6D/8D/9R compressors (pdf) p33; PWS_RLA=12.3</t>
        </is>
      </c>
      <c r="AB816" t="inlineStr">
        <is>
          <t>Copeland_RLA_230_460_3ph_60Hz.xlsx</t>
        </is>
      </c>
      <c r="AC816" t="inlineStr">
        <is>
          <t>Recip_2D-9R</t>
        </is>
      </c>
    </row>
    <row r="817">
      <c r="A817" t="inlineStr">
        <is>
          <t>COPELAND</t>
        </is>
      </c>
      <c r="B817" t="inlineStr">
        <is>
          <t>4DP3-150E-TSK</t>
        </is>
      </c>
      <c r="D817" t="inlineStr">
        <is>
          <t>Reciprocating Semi-hermetic</t>
        </is>
      </c>
      <c r="E817" s="2" t="n">
        <v>3</v>
      </c>
      <c r="F817" s="2" t="n">
        <v>60</v>
      </c>
      <c r="G817" s="2" t="n">
        <v>230</v>
      </c>
      <c r="H817" t="inlineStr">
        <is>
          <t>208/230</t>
        </is>
      </c>
      <c r="I817" s="2" t="n">
        <v>208</v>
      </c>
      <c r="J817" s="2" t="n">
        <v>230</v>
      </c>
      <c r="L817" s="3" t="n"/>
      <c r="M817" s="3" t="n"/>
      <c r="N817" s="3" t="n">
        <v>52.6</v>
      </c>
      <c r="O817" s="3" t="n"/>
      <c r="P817" s="3">
        <f>IF(L817&lt;&gt;"",L817/1.4,"")</f>
        <v/>
      </c>
      <c r="Q817" s="3">
        <f>IF(L817&lt;&gt;"",L817/1.56,"")</f>
        <v/>
      </c>
      <c r="R817" s="3">
        <f>IF(M817&lt;&gt;"",M817/1.4,"")</f>
        <v/>
      </c>
      <c r="S817" s="3">
        <f>IF(M817&lt;&gt;"",M817/1.56,"")</f>
        <v/>
      </c>
      <c r="T817" s="3">
        <f>IF(N817&lt;&gt;"",N817,IF(O817&lt;&gt;"",O817,IF(L817&lt;&gt;"",L817/1.56,IF(M817&lt;&gt;"",M817/1.56,""))))</f>
        <v/>
      </c>
      <c r="U817" s="3" t="n">
        <v>278</v>
      </c>
      <c r="V817" s="3" t="n">
        <v>170</v>
      </c>
      <c r="W817" s="3" t="n"/>
      <c r="X817" s="4" t="n"/>
      <c r="Y817" s="5" t="n">
        <v>0.208</v>
      </c>
      <c r="Z817" s="4">
        <f>IF(L817&lt;&gt;"",SQRT(3)*G817*L817/1000,"")</f>
        <v/>
      </c>
      <c r="AA817" t="inlineStr">
        <is>
          <t>Source=Copeland 2D/3D/4D/4R/6D/8D/9R compressors (pdf) p33; PWS_RLA=26.3</t>
        </is>
      </c>
      <c r="AB817" t="inlineStr">
        <is>
          <t>Copeland_RLA_230_460_3ph_60Hz.xlsx</t>
        </is>
      </c>
      <c r="AC817" t="inlineStr">
        <is>
          <t>Recip_2D-9R</t>
        </is>
      </c>
    </row>
    <row r="818">
      <c r="A818" t="inlineStr">
        <is>
          <t>COPELAND</t>
        </is>
      </c>
      <c r="B818" t="inlineStr">
        <is>
          <t>4DP3-150E-TSK</t>
        </is>
      </c>
      <c r="D818" t="inlineStr">
        <is>
          <t>Reciprocating Semi-hermetic</t>
        </is>
      </c>
      <c r="E818" s="2" t="n">
        <v>3</v>
      </c>
      <c r="F818" s="2" t="n">
        <v>60</v>
      </c>
      <c r="G818" s="2" t="n">
        <v>460</v>
      </c>
      <c r="H818" t="inlineStr">
        <is>
          <t>460</t>
        </is>
      </c>
      <c r="I818" s="2" t="n">
        <v>460</v>
      </c>
      <c r="J818" s="2" t="n">
        <v>460</v>
      </c>
      <c r="L818" s="3" t="n"/>
      <c r="M818" s="3" t="n"/>
      <c r="N818" s="3" t="n">
        <v>26.3</v>
      </c>
      <c r="O818" s="3" t="n"/>
      <c r="P818" s="3">
        <f>IF(L818&lt;&gt;"",L818/1.4,"")</f>
        <v/>
      </c>
      <c r="Q818" s="3">
        <f>IF(L818&lt;&gt;"",L818/1.56,"")</f>
        <v/>
      </c>
      <c r="R818" s="3">
        <f>IF(M818&lt;&gt;"",M818/1.4,"")</f>
        <v/>
      </c>
      <c r="S818" s="3">
        <f>IF(M818&lt;&gt;"",M818/1.56,"")</f>
        <v/>
      </c>
      <c r="T818" s="3">
        <f>IF(N818&lt;&gt;"",N818,IF(O818&lt;&gt;"",O818,IF(L818&lt;&gt;"",L818/1.56,IF(M818&lt;&gt;"",M818/1.56,""))))</f>
        <v/>
      </c>
      <c r="U818" s="3" t="n">
        <v>139</v>
      </c>
      <c r="V818" s="3" t="n"/>
      <c r="W818" s="3" t="n"/>
      <c r="X818" s="4" t="n"/>
      <c r="Y818" s="5" t="n">
        <v>0.832</v>
      </c>
      <c r="Z818" s="4">
        <f>IF(L818&lt;&gt;"",SQRT(3)*G818*L818/1000,"")</f>
        <v/>
      </c>
      <c r="AA818" t="inlineStr">
        <is>
          <t>Source=Copeland 2D/3D/4D/4R/6D/8D/9R compressors (pdf) p33</t>
        </is>
      </c>
      <c r="AB818" t="inlineStr">
        <is>
          <t>Copeland_RLA_230_460_3ph_60Hz.xlsx</t>
        </is>
      </c>
      <c r="AC818" t="inlineStr">
        <is>
          <t>Recip_2D-9R</t>
        </is>
      </c>
    </row>
    <row r="819">
      <c r="A819" t="inlineStr">
        <is>
          <t>COPELAND</t>
        </is>
      </c>
      <c r="B819" t="inlineStr">
        <is>
          <t>4DP3-150L-FSD</t>
        </is>
      </c>
      <c r="D819" t="inlineStr">
        <is>
          <t>Reciprocating Semi-hermetic</t>
        </is>
      </c>
      <c r="E819" s="2" t="n">
        <v>3</v>
      </c>
      <c r="F819" s="2" t="n">
        <v>60</v>
      </c>
      <c r="G819" s="2" t="n">
        <v>460</v>
      </c>
      <c r="H819" t="inlineStr">
        <is>
          <t>460</t>
        </is>
      </c>
      <c r="I819" s="2" t="n">
        <v>460</v>
      </c>
      <c r="J819" s="2" t="n">
        <v>460</v>
      </c>
      <c r="L819" s="3" t="n"/>
      <c r="M819" s="3" t="n"/>
      <c r="N819" s="3" t="n">
        <v>24.5</v>
      </c>
      <c r="O819" s="3" t="n"/>
      <c r="P819" s="3">
        <f>IF(L819&lt;&gt;"",L819/1.4,"")</f>
        <v/>
      </c>
      <c r="Q819" s="3">
        <f>IF(L819&lt;&gt;"",L819/1.56,"")</f>
        <v/>
      </c>
      <c r="R819" s="3">
        <f>IF(M819&lt;&gt;"",M819/1.4,"")</f>
        <v/>
      </c>
      <c r="S819" s="3">
        <f>IF(M819&lt;&gt;"",M819/1.56,"")</f>
        <v/>
      </c>
      <c r="T819" s="3">
        <f>IF(N819&lt;&gt;"",N819,IF(O819&lt;&gt;"",O819,IF(L819&lt;&gt;"",L819/1.56,IF(M819&lt;&gt;"",M819/1.56,""))))</f>
        <v/>
      </c>
      <c r="U819" s="3" t="n">
        <v>136</v>
      </c>
      <c r="V819" s="3" t="n">
        <v>81.59999999999999</v>
      </c>
      <c r="W819" s="3" t="n"/>
      <c r="X819" s="4" t="n"/>
      <c r="Y819" s="5" t="n">
        <v>0.84</v>
      </c>
      <c r="Z819" s="4">
        <f>IF(L819&lt;&gt;"",SQRT(3)*G819*L819/1000,"")</f>
        <v/>
      </c>
      <c r="AA819" t="inlineStr">
        <is>
          <t>Source=Copeland 2D/3D/4D/4R/6D/8D/9R compressors (pdf) p33; PWS_RLA=12.3</t>
        </is>
      </c>
      <c r="AB819" t="inlineStr">
        <is>
          <t>Copeland_RLA_230_460_3ph_60Hz.xlsx</t>
        </is>
      </c>
      <c r="AC819" t="inlineStr">
        <is>
          <t>Recip_2D-9R</t>
        </is>
      </c>
    </row>
    <row r="820">
      <c r="A820" t="inlineStr">
        <is>
          <t>COPELAND</t>
        </is>
      </c>
      <c r="B820" t="inlineStr">
        <is>
          <t>4DP3-150L-TSK</t>
        </is>
      </c>
      <c r="D820" t="inlineStr">
        <is>
          <t>Reciprocating Semi-hermetic</t>
        </is>
      </c>
      <c r="E820" s="2" t="n">
        <v>3</v>
      </c>
      <c r="F820" s="2" t="n">
        <v>60</v>
      </c>
      <c r="G820" s="2" t="n">
        <v>230</v>
      </c>
      <c r="H820" t="inlineStr">
        <is>
          <t>208/230</t>
        </is>
      </c>
      <c r="I820" s="2" t="n">
        <v>208</v>
      </c>
      <c r="J820" s="2" t="n">
        <v>230</v>
      </c>
      <c r="L820" s="3" t="n"/>
      <c r="M820" s="3" t="n"/>
      <c r="N820" s="3" t="n">
        <v>52.6</v>
      </c>
      <c r="O820" s="3" t="n"/>
      <c r="P820" s="3">
        <f>IF(L820&lt;&gt;"",L820/1.4,"")</f>
        <v/>
      </c>
      <c r="Q820" s="3">
        <f>IF(L820&lt;&gt;"",L820/1.56,"")</f>
        <v/>
      </c>
      <c r="R820" s="3">
        <f>IF(M820&lt;&gt;"",M820/1.4,"")</f>
        <v/>
      </c>
      <c r="S820" s="3">
        <f>IF(M820&lt;&gt;"",M820/1.56,"")</f>
        <v/>
      </c>
      <c r="T820" s="3">
        <f>IF(N820&lt;&gt;"",N820,IF(O820&lt;&gt;"",O820,IF(L820&lt;&gt;"",L820/1.56,IF(M820&lt;&gt;"",M820/1.56,""))))</f>
        <v/>
      </c>
      <c r="U820" s="3" t="n">
        <v>278</v>
      </c>
      <c r="V820" s="3" t="n">
        <v>170</v>
      </c>
      <c r="W820" s="3" t="n"/>
      <c r="X820" s="4" t="n"/>
      <c r="Y820" s="5" t="n">
        <v>0.208</v>
      </c>
      <c r="Z820" s="4">
        <f>IF(L820&lt;&gt;"",SQRT(3)*G820*L820/1000,"")</f>
        <v/>
      </c>
      <c r="AA820" t="inlineStr">
        <is>
          <t>Source=Copeland 2D/3D/4D/4R/6D/8D/9R compressors (pdf) p33; PWS_RLA=26.3</t>
        </is>
      </c>
      <c r="AB820" t="inlineStr">
        <is>
          <t>Copeland_RLA_230_460_3ph_60Hz.xlsx</t>
        </is>
      </c>
      <c r="AC820" t="inlineStr">
        <is>
          <t>Recip_2D-9R</t>
        </is>
      </c>
    </row>
    <row r="821">
      <c r="A821" t="inlineStr">
        <is>
          <t>COPELAND</t>
        </is>
      </c>
      <c r="B821" t="inlineStr">
        <is>
          <t>4DP3-150L-TSK</t>
        </is>
      </c>
      <c r="D821" t="inlineStr">
        <is>
          <t>Reciprocating Semi-hermetic</t>
        </is>
      </c>
      <c r="E821" s="2" t="n">
        <v>3</v>
      </c>
      <c r="F821" s="2" t="n">
        <v>60</v>
      </c>
      <c r="G821" s="2" t="n">
        <v>460</v>
      </c>
      <c r="H821" t="inlineStr">
        <is>
          <t>460</t>
        </is>
      </c>
      <c r="I821" s="2" t="n">
        <v>460</v>
      </c>
      <c r="J821" s="2" t="n">
        <v>460</v>
      </c>
      <c r="L821" s="3" t="n"/>
      <c r="M821" s="3" t="n"/>
      <c r="N821" s="3" t="n">
        <v>26.3</v>
      </c>
      <c r="O821" s="3" t="n"/>
      <c r="P821" s="3">
        <f>IF(L821&lt;&gt;"",L821/1.4,"")</f>
        <v/>
      </c>
      <c r="Q821" s="3">
        <f>IF(L821&lt;&gt;"",L821/1.56,"")</f>
        <v/>
      </c>
      <c r="R821" s="3">
        <f>IF(M821&lt;&gt;"",M821/1.4,"")</f>
        <v/>
      </c>
      <c r="S821" s="3">
        <f>IF(M821&lt;&gt;"",M821/1.56,"")</f>
        <v/>
      </c>
      <c r="T821" s="3">
        <f>IF(N821&lt;&gt;"",N821,IF(O821&lt;&gt;"",O821,IF(L821&lt;&gt;"",L821/1.56,IF(M821&lt;&gt;"",M821/1.56,""))))</f>
        <v/>
      </c>
      <c r="U821" s="3" t="n">
        <v>139</v>
      </c>
      <c r="V821" s="3" t="n"/>
      <c r="W821" s="3" t="n"/>
      <c r="X821" s="4" t="n"/>
      <c r="Y821" s="5" t="n">
        <v>0.832</v>
      </c>
      <c r="Z821" s="4">
        <f>IF(L821&lt;&gt;"",SQRT(3)*G821*L821/1000,"")</f>
        <v/>
      </c>
      <c r="AA821" t="inlineStr">
        <is>
          <t>Source=Copeland 2D/3D/4D/4R/6D/8D/9R compressors (pdf) p33</t>
        </is>
      </c>
      <c r="AB821" t="inlineStr">
        <is>
          <t>Copeland_RLA_230_460_3ph_60Hz.xlsx</t>
        </is>
      </c>
      <c r="AC821" t="inlineStr">
        <is>
          <t>Recip_2D-9R</t>
        </is>
      </c>
    </row>
    <row r="822">
      <c r="A822" t="inlineStr">
        <is>
          <t>COPELAND</t>
        </is>
      </c>
      <c r="B822" t="inlineStr">
        <is>
          <t>4DP3A1500-FSD</t>
        </is>
      </c>
      <c r="D822" t="inlineStr">
        <is>
          <t>Reciprocating Semi-hermetic</t>
        </is>
      </c>
      <c r="E822" s="2" t="n">
        <v>3</v>
      </c>
      <c r="F822" s="2" t="n">
        <v>60</v>
      </c>
      <c r="G822" s="2" t="n">
        <v>460</v>
      </c>
      <c r="H822" t="inlineStr">
        <is>
          <t>460</t>
        </is>
      </c>
      <c r="I822" s="2" t="n">
        <v>460</v>
      </c>
      <c r="J822" s="2" t="n">
        <v>460</v>
      </c>
      <c r="L822" s="3" t="n"/>
      <c r="M822" s="3" t="n"/>
      <c r="N822" s="3" t="n">
        <v>24.5</v>
      </c>
      <c r="O822" s="3" t="n"/>
      <c r="P822" s="3">
        <f>IF(L822&lt;&gt;"",L822/1.4,"")</f>
        <v/>
      </c>
      <c r="Q822" s="3">
        <f>IF(L822&lt;&gt;"",L822/1.56,"")</f>
        <v/>
      </c>
      <c r="R822" s="3">
        <f>IF(M822&lt;&gt;"",M822/1.4,"")</f>
        <v/>
      </c>
      <c r="S822" s="3">
        <f>IF(M822&lt;&gt;"",M822/1.56,"")</f>
        <v/>
      </c>
      <c r="T822" s="3">
        <f>IF(N822&lt;&gt;"",N822,IF(O822&lt;&gt;"",O822,IF(L822&lt;&gt;"",L822/1.56,IF(M822&lt;&gt;"",M822/1.56,""))))</f>
        <v/>
      </c>
      <c r="U822" s="3" t="n">
        <v>136</v>
      </c>
      <c r="V822" s="3" t="n">
        <v>81.59999999999999</v>
      </c>
      <c r="W822" s="3" t="n"/>
      <c r="X822" s="4" t="n"/>
      <c r="Y822" s="5" t="n">
        <v>0.84</v>
      </c>
      <c r="Z822" s="4">
        <f>IF(L822&lt;&gt;"",SQRT(3)*G822*L822/1000,"")</f>
        <v/>
      </c>
      <c r="AA822" t="inlineStr">
        <is>
          <t>Source=Copeland 2D/3D/4D/4R/6D/8D/9R compressors (pdf) p33; PWS_RLA=12.3</t>
        </is>
      </c>
      <c r="AB822" t="inlineStr">
        <is>
          <t>Copeland_RLA_230_460_3ph_60Hz.xlsx</t>
        </is>
      </c>
      <c r="AC822" t="inlineStr">
        <is>
          <t>Recip_2D-9R</t>
        </is>
      </c>
    </row>
    <row r="823">
      <c r="A823" t="inlineStr">
        <is>
          <t>COPELAND</t>
        </is>
      </c>
      <c r="B823" t="inlineStr">
        <is>
          <t>4DP3A1500-TSK</t>
        </is>
      </c>
      <c r="D823" t="inlineStr">
        <is>
          <t>Reciprocating Semi-hermetic</t>
        </is>
      </c>
      <c r="E823" s="2" t="n">
        <v>3</v>
      </c>
      <c r="F823" s="2" t="n">
        <v>60</v>
      </c>
      <c r="G823" s="2" t="n">
        <v>230</v>
      </c>
      <c r="H823" t="inlineStr">
        <is>
          <t>208/230</t>
        </is>
      </c>
      <c r="I823" s="2" t="n">
        <v>208</v>
      </c>
      <c r="J823" s="2" t="n">
        <v>230</v>
      </c>
      <c r="L823" s="3" t="n"/>
      <c r="M823" s="3" t="n"/>
      <c r="N823" s="3" t="n">
        <v>52.6</v>
      </c>
      <c r="O823" s="3" t="n"/>
      <c r="P823" s="3">
        <f>IF(L823&lt;&gt;"",L823/1.4,"")</f>
        <v/>
      </c>
      <c r="Q823" s="3">
        <f>IF(L823&lt;&gt;"",L823/1.56,"")</f>
        <v/>
      </c>
      <c r="R823" s="3">
        <f>IF(M823&lt;&gt;"",M823/1.4,"")</f>
        <v/>
      </c>
      <c r="S823" s="3">
        <f>IF(M823&lt;&gt;"",M823/1.56,"")</f>
        <v/>
      </c>
      <c r="T823" s="3">
        <f>IF(N823&lt;&gt;"",N823,IF(O823&lt;&gt;"",O823,IF(L823&lt;&gt;"",L823/1.56,IF(M823&lt;&gt;"",M823/1.56,""))))</f>
        <v/>
      </c>
      <c r="U823" s="3" t="n">
        <v>278</v>
      </c>
      <c r="V823" s="3" t="n">
        <v>170</v>
      </c>
      <c r="W823" s="3" t="n"/>
      <c r="X823" s="4" t="n"/>
      <c r="Y823" s="5" t="n">
        <v>0.208</v>
      </c>
      <c r="Z823" s="4">
        <f>IF(L823&lt;&gt;"",SQRT(3)*G823*L823/1000,"")</f>
        <v/>
      </c>
      <c r="AA823" t="inlineStr">
        <is>
          <t>Source=Copeland 2D/3D/4D/4R/6D/8D/9R compressors (pdf) p33; PWS_RLA=26.3</t>
        </is>
      </c>
      <c r="AB823" t="inlineStr">
        <is>
          <t>Copeland_RLA_230_460_3ph_60Hz.xlsx</t>
        </is>
      </c>
      <c r="AC823" t="inlineStr">
        <is>
          <t>Recip_2D-9R</t>
        </is>
      </c>
    </row>
    <row r="824">
      <c r="A824" t="inlineStr">
        <is>
          <t>COPELAND</t>
        </is>
      </c>
      <c r="B824" t="inlineStr">
        <is>
          <t>4DP3A1500-TSK</t>
        </is>
      </c>
      <c r="D824" t="inlineStr">
        <is>
          <t>Reciprocating Semi-hermetic</t>
        </is>
      </c>
      <c r="E824" s="2" t="n">
        <v>3</v>
      </c>
      <c r="F824" s="2" t="n">
        <v>60</v>
      </c>
      <c r="G824" s="2" t="n">
        <v>460</v>
      </c>
      <c r="H824" t="inlineStr">
        <is>
          <t>460</t>
        </is>
      </c>
      <c r="I824" s="2" t="n">
        <v>460</v>
      </c>
      <c r="J824" s="2" t="n">
        <v>460</v>
      </c>
      <c r="L824" s="3" t="n"/>
      <c r="M824" s="3" t="n"/>
      <c r="N824" s="3" t="n">
        <v>26.3</v>
      </c>
      <c r="O824" s="3" t="n"/>
      <c r="P824" s="3">
        <f>IF(L824&lt;&gt;"",L824/1.4,"")</f>
        <v/>
      </c>
      <c r="Q824" s="3">
        <f>IF(L824&lt;&gt;"",L824/1.56,"")</f>
        <v/>
      </c>
      <c r="R824" s="3">
        <f>IF(M824&lt;&gt;"",M824/1.4,"")</f>
        <v/>
      </c>
      <c r="S824" s="3">
        <f>IF(M824&lt;&gt;"",M824/1.56,"")</f>
        <v/>
      </c>
      <c r="T824" s="3">
        <f>IF(N824&lt;&gt;"",N824,IF(O824&lt;&gt;"",O824,IF(L824&lt;&gt;"",L824/1.56,IF(M824&lt;&gt;"",M824/1.56,""))))</f>
        <v/>
      </c>
      <c r="U824" s="3" t="n">
        <v>139</v>
      </c>
      <c r="V824" s="3" t="n"/>
      <c r="W824" s="3" t="n"/>
      <c r="X824" s="4" t="n"/>
      <c r="Y824" s="5" t="n">
        <v>0.832</v>
      </c>
      <c r="Z824" s="4">
        <f>IF(L824&lt;&gt;"",SQRT(3)*G824*L824/1000,"")</f>
        <v/>
      </c>
      <c r="AA824" t="inlineStr">
        <is>
          <t>Source=Copeland 2D/3D/4D/4R/6D/8D/9R compressors (pdf) p33</t>
        </is>
      </c>
      <c r="AB824" t="inlineStr">
        <is>
          <t>Copeland_RLA_230_460_3ph_60Hz.xlsx</t>
        </is>
      </c>
      <c r="AC824" t="inlineStr">
        <is>
          <t>Recip_2D-9R</t>
        </is>
      </c>
    </row>
    <row r="825">
      <c r="A825" t="inlineStr">
        <is>
          <t>COPELAND</t>
        </is>
      </c>
      <c r="B825" t="inlineStr">
        <is>
          <t>4DP3A150E-FSD</t>
        </is>
      </c>
      <c r="D825" t="inlineStr">
        <is>
          <t>Reciprocating Semi-hermetic</t>
        </is>
      </c>
      <c r="E825" s="2" t="n">
        <v>3</v>
      </c>
      <c r="F825" s="2" t="n">
        <v>60</v>
      </c>
      <c r="G825" s="2" t="n">
        <v>460</v>
      </c>
      <c r="H825" t="inlineStr">
        <is>
          <t>460</t>
        </is>
      </c>
      <c r="I825" s="2" t="n">
        <v>460</v>
      </c>
      <c r="J825" s="2" t="n">
        <v>460</v>
      </c>
      <c r="L825" s="3" t="n"/>
      <c r="M825" s="3" t="n"/>
      <c r="N825" s="3" t="n">
        <v>24.5</v>
      </c>
      <c r="O825" s="3" t="n"/>
      <c r="P825" s="3">
        <f>IF(L825&lt;&gt;"",L825/1.4,"")</f>
        <v/>
      </c>
      <c r="Q825" s="3">
        <f>IF(L825&lt;&gt;"",L825/1.56,"")</f>
        <v/>
      </c>
      <c r="R825" s="3">
        <f>IF(M825&lt;&gt;"",M825/1.4,"")</f>
        <v/>
      </c>
      <c r="S825" s="3">
        <f>IF(M825&lt;&gt;"",M825/1.56,"")</f>
        <v/>
      </c>
      <c r="T825" s="3">
        <f>IF(N825&lt;&gt;"",N825,IF(O825&lt;&gt;"",O825,IF(L825&lt;&gt;"",L825/1.56,IF(M825&lt;&gt;"",M825/1.56,""))))</f>
        <v/>
      </c>
      <c r="U825" s="3" t="n">
        <v>136</v>
      </c>
      <c r="V825" s="3" t="n">
        <v>81.59999999999999</v>
      </c>
      <c r="W825" s="3" t="n"/>
      <c r="X825" s="4" t="n"/>
      <c r="Y825" s="5" t="n">
        <v>0.84</v>
      </c>
      <c r="Z825" s="4">
        <f>IF(L825&lt;&gt;"",SQRT(3)*G825*L825/1000,"")</f>
        <v/>
      </c>
      <c r="AA825" t="inlineStr">
        <is>
          <t>Source=Copeland 2D/3D/4D/4R/6D/8D/9R compressors (pdf) p33; PWS_RLA=12.3</t>
        </is>
      </c>
      <c r="AB825" t="inlineStr">
        <is>
          <t>Copeland_RLA_230_460_3ph_60Hz.xlsx</t>
        </is>
      </c>
      <c r="AC825" t="inlineStr">
        <is>
          <t>Recip_2D-9R</t>
        </is>
      </c>
    </row>
    <row r="826">
      <c r="A826" t="inlineStr">
        <is>
          <t>COPELAND</t>
        </is>
      </c>
      <c r="B826" t="inlineStr">
        <is>
          <t>4DP3A150E-TSK</t>
        </is>
      </c>
      <c r="D826" t="inlineStr">
        <is>
          <t>Reciprocating Semi-hermetic</t>
        </is>
      </c>
      <c r="E826" s="2" t="n">
        <v>3</v>
      </c>
      <c r="F826" s="2" t="n">
        <v>60</v>
      </c>
      <c r="G826" s="2" t="n">
        <v>230</v>
      </c>
      <c r="H826" t="inlineStr">
        <is>
          <t>208/230</t>
        </is>
      </c>
      <c r="I826" s="2" t="n">
        <v>208</v>
      </c>
      <c r="J826" s="2" t="n">
        <v>230</v>
      </c>
      <c r="L826" s="3" t="n"/>
      <c r="M826" s="3" t="n"/>
      <c r="N826" s="3" t="n">
        <v>52.6</v>
      </c>
      <c r="O826" s="3" t="n"/>
      <c r="P826" s="3">
        <f>IF(L826&lt;&gt;"",L826/1.4,"")</f>
        <v/>
      </c>
      <c r="Q826" s="3">
        <f>IF(L826&lt;&gt;"",L826/1.56,"")</f>
        <v/>
      </c>
      <c r="R826" s="3">
        <f>IF(M826&lt;&gt;"",M826/1.4,"")</f>
        <v/>
      </c>
      <c r="S826" s="3">
        <f>IF(M826&lt;&gt;"",M826/1.56,"")</f>
        <v/>
      </c>
      <c r="T826" s="3">
        <f>IF(N826&lt;&gt;"",N826,IF(O826&lt;&gt;"",O826,IF(L826&lt;&gt;"",L826/1.56,IF(M826&lt;&gt;"",M826/1.56,""))))</f>
        <v/>
      </c>
      <c r="U826" s="3" t="n">
        <v>278</v>
      </c>
      <c r="V826" s="3" t="n">
        <v>170</v>
      </c>
      <c r="W826" s="3" t="n"/>
      <c r="X826" s="4" t="n"/>
      <c r="Y826" s="5" t="n">
        <v>0.208</v>
      </c>
      <c r="Z826" s="4">
        <f>IF(L826&lt;&gt;"",SQRT(3)*G826*L826/1000,"")</f>
        <v/>
      </c>
      <c r="AA826" t="inlineStr">
        <is>
          <t>Source=Copeland 2D/3D/4D/4R/6D/8D/9R compressors (pdf) p33; PWS_RLA=26.3</t>
        </is>
      </c>
      <c r="AB826" t="inlineStr">
        <is>
          <t>Copeland_RLA_230_460_3ph_60Hz.xlsx</t>
        </is>
      </c>
      <c r="AC826" t="inlineStr">
        <is>
          <t>Recip_2D-9R</t>
        </is>
      </c>
    </row>
    <row r="827">
      <c r="A827" t="inlineStr">
        <is>
          <t>COPELAND</t>
        </is>
      </c>
      <c r="B827" t="inlineStr">
        <is>
          <t>4DP3A150E-TSK</t>
        </is>
      </c>
      <c r="D827" t="inlineStr">
        <is>
          <t>Reciprocating Semi-hermetic</t>
        </is>
      </c>
      <c r="E827" s="2" t="n">
        <v>3</v>
      </c>
      <c r="F827" s="2" t="n">
        <v>60</v>
      </c>
      <c r="G827" s="2" t="n">
        <v>460</v>
      </c>
      <c r="H827" t="inlineStr">
        <is>
          <t>460</t>
        </is>
      </c>
      <c r="I827" s="2" t="n">
        <v>460</v>
      </c>
      <c r="J827" s="2" t="n">
        <v>460</v>
      </c>
      <c r="L827" s="3" t="n"/>
      <c r="M827" s="3" t="n"/>
      <c r="N827" s="3" t="n">
        <v>26.3</v>
      </c>
      <c r="O827" s="3" t="n"/>
      <c r="P827" s="3">
        <f>IF(L827&lt;&gt;"",L827/1.4,"")</f>
        <v/>
      </c>
      <c r="Q827" s="3">
        <f>IF(L827&lt;&gt;"",L827/1.56,"")</f>
        <v/>
      </c>
      <c r="R827" s="3">
        <f>IF(M827&lt;&gt;"",M827/1.4,"")</f>
        <v/>
      </c>
      <c r="S827" s="3">
        <f>IF(M827&lt;&gt;"",M827/1.56,"")</f>
        <v/>
      </c>
      <c r="T827" s="3">
        <f>IF(N827&lt;&gt;"",N827,IF(O827&lt;&gt;"",O827,IF(L827&lt;&gt;"",L827/1.56,IF(M827&lt;&gt;"",M827/1.56,""))))</f>
        <v/>
      </c>
      <c r="U827" s="3" t="n">
        <v>139</v>
      </c>
      <c r="V827" s="3" t="n"/>
      <c r="W827" s="3" t="n"/>
      <c r="X827" s="4" t="n"/>
      <c r="Y827" s="5" t="n">
        <v>0.832</v>
      </c>
      <c r="Z827" s="4">
        <f>IF(L827&lt;&gt;"",SQRT(3)*G827*L827/1000,"")</f>
        <v/>
      </c>
      <c r="AA827" t="inlineStr">
        <is>
          <t>Source=Copeland 2D/3D/4D/4R/6D/8D/9R compressors (pdf) p33</t>
        </is>
      </c>
      <c r="AB827" t="inlineStr">
        <is>
          <t>Copeland_RLA_230_460_3ph_60Hz.xlsx</t>
        </is>
      </c>
      <c r="AC827" t="inlineStr">
        <is>
          <t>Recip_2D-9R</t>
        </is>
      </c>
    </row>
    <row r="828">
      <c r="A828" t="inlineStr">
        <is>
          <t>COPELAND</t>
        </is>
      </c>
      <c r="B828" t="inlineStr">
        <is>
          <t>4DP3A150L-FSD</t>
        </is>
      </c>
      <c r="D828" t="inlineStr">
        <is>
          <t>Reciprocating Semi-hermetic</t>
        </is>
      </c>
      <c r="E828" s="2" t="n">
        <v>3</v>
      </c>
      <c r="F828" s="2" t="n">
        <v>60</v>
      </c>
      <c r="G828" s="2" t="n">
        <v>460</v>
      </c>
      <c r="H828" t="inlineStr">
        <is>
          <t>460</t>
        </is>
      </c>
      <c r="I828" s="2" t="n">
        <v>460</v>
      </c>
      <c r="J828" s="2" t="n">
        <v>460</v>
      </c>
      <c r="L828" s="3" t="n"/>
      <c r="M828" s="3" t="n"/>
      <c r="N828" s="3" t="n">
        <v>24.5</v>
      </c>
      <c r="O828" s="3" t="n"/>
      <c r="P828" s="3">
        <f>IF(L828&lt;&gt;"",L828/1.4,"")</f>
        <v/>
      </c>
      <c r="Q828" s="3">
        <f>IF(L828&lt;&gt;"",L828/1.56,"")</f>
        <v/>
      </c>
      <c r="R828" s="3">
        <f>IF(M828&lt;&gt;"",M828/1.4,"")</f>
        <v/>
      </c>
      <c r="S828" s="3">
        <f>IF(M828&lt;&gt;"",M828/1.56,"")</f>
        <v/>
      </c>
      <c r="T828" s="3">
        <f>IF(N828&lt;&gt;"",N828,IF(O828&lt;&gt;"",O828,IF(L828&lt;&gt;"",L828/1.56,IF(M828&lt;&gt;"",M828/1.56,""))))</f>
        <v/>
      </c>
      <c r="U828" s="3" t="n">
        <v>136</v>
      </c>
      <c r="V828" s="3" t="n">
        <v>81.59999999999999</v>
      </c>
      <c r="W828" s="3" t="n"/>
      <c r="X828" s="4" t="n"/>
      <c r="Y828" s="5" t="n">
        <v>0.84</v>
      </c>
      <c r="Z828" s="4">
        <f>IF(L828&lt;&gt;"",SQRT(3)*G828*L828/1000,"")</f>
        <v/>
      </c>
      <c r="AA828" t="inlineStr">
        <is>
          <t>Source=Copeland 2D/3D/4D/4R/6D/8D/9R compressors (pdf) p33; PWS_RLA=12.3</t>
        </is>
      </c>
      <c r="AB828" t="inlineStr">
        <is>
          <t>Copeland_RLA_230_460_3ph_60Hz.xlsx</t>
        </is>
      </c>
      <c r="AC828" t="inlineStr">
        <is>
          <t>Recip_2D-9R</t>
        </is>
      </c>
    </row>
    <row r="829">
      <c r="A829" t="inlineStr">
        <is>
          <t>COPELAND</t>
        </is>
      </c>
      <c r="B829" t="inlineStr">
        <is>
          <t>4DP3A150L-TSK</t>
        </is>
      </c>
      <c r="D829" t="inlineStr">
        <is>
          <t>Reciprocating Semi-hermetic</t>
        </is>
      </c>
      <c r="E829" s="2" t="n">
        <v>3</v>
      </c>
      <c r="F829" s="2" t="n">
        <v>60</v>
      </c>
      <c r="G829" s="2" t="n">
        <v>230</v>
      </c>
      <c r="H829" t="inlineStr">
        <is>
          <t>208/230</t>
        </is>
      </c>
      <c r="I829" s="2" t="n">
        <v>208</v>
      </c>
      <c r="J829" s="2" t="n">
        <v>230</v>
      </c>
      <c r="L829" s="3" t="n"/>
      <c r="M829" s="3" t="n"/>
      <c r="N829" s="3" t="n">
        <v>52.6</v>
      </c>
      <c r="O829" s="3" t="n"/>
      <c r="P829" s="3">
        <f>IF(L829&lt;&gt;"",L829/1.4,"")</f>
        <v/>
      </c>
      <c r="Q829" s="3">
        <f>IF(L829&lt;&gt;"",L829/1.56,"")</f>
        <v/>
      </c>
      <c r="R829" s="3">
        <f>IF(M829&lt;&gt;"",M829/1.4,"")</f>
        <v/>
      </c>
      <c r="S829" s="3">
        <f>IF(M829&lt;&gt;"",M829/1.56,"")</f>
        <v/>
      </c>
      <c r="T829" s="3">
        <f>IF(N829&lt;&gt;"",N829,IF(O829&lt;&gt;"",O829,IF(L829&lt;&gt;"",L829/1.56,IF(M829&lt;&gt;"",M829/1.56,""))))</f>
        <v/>
      </c>
      <c r="U829" s="3" t="n">
        <v>278</v>
      </c>
      <c r="V829" s="3" t="n">
        <v>170</v>
      </c>
      <c r="W829" s="3" t="n"/>
      <c r="X829" s="4" t="n"/>
      <c r="Y829" s="5" t="n">
        <v>0.208</v>
      </c>
      <c r="Z829" s="4">
        <f>IF(L829&lt;&gt;"",SQRT(3)*G829*L829/1000,"")</f>
        <v/>
      </c>
      <c r="AA829" t="inlineStr">
        <is>
          <t>Source=Copeland 2D/3D/4D/4R/6D/8D/9R compressors (pdf) p34; PWS_RLA=26.3</t>
        </is>
      </c>
      <c r="AB829" t="inlineStr">
        <is>
          <t>Copeland_RLA_230_460_3ph_60Hz.xlsx</t>
        </is>
      </c>
      <c r="AC829" t="inlineStr">
        <is>
          <t>Recip_2D-9R</t>
        </is>
      </c>
    </row>
    <row r="830">
      <c r="A830" t="inlineStr">
        <is>
          <t>COPELAND</t>
        </is>
      </c>
      <c r="B830" t="inlineStr">
        <is>
          <t>4DP3A150L-TSK</t>
        </is>
      </c>
      <c r="D830" t="inlineStr">
        <is>
          <t>Reciprocating Semi-hermetic</t>
        </is>
      </c>
      <c r="E830" s="2" t="n">
        <v>3</v>
      </c>
      <c r="F830" s="2" t="n">
        <v>60</v>
      </c>
      <c r="G830" s="2" t="n">
        <v>460</v>
      </c>
      <c r="H830" t="inlineStr">
        <is>
          <t>460</t>
        </is>
      </c>
      <c r="I830" s="2" t="n">
        <v>460</v>
      </c>
      <c r="J830" s="2" t="n">
        <v>460</v>
      </c>
      <c r="L830" s="3" t="n"/>
      <c r="M830" s="3" t="n"/>
      <c r="N830" s="3" t="n">
        <v>26.3</v>
      </c>
      <c r="O830" s="3" t="n"/>
      <c r="P830" s="3">
        <f>IF(L830&lt;&gt;"",L830/1.4,"")</f>
        <v/>
      </c>
      <c r="Q830" s="3">
        <f>IF(L830&lt;&gt;"",L830/1.56,"")</f>
        <v/>
      </c>
      <c r="R830" s="3">
        <f>IF(M830&lt;&gt;"",M830/1.4,"")</f>
        <v/>
      </c>
      <c r="S830" s="3">
        <f>IF(M830&lt;&gt;"",M830/1.56,"")</f>
        <v/>
      </c>
      <c r="T830" s="3">
        <f>IF(N830&lt;&gt;"",N830,IF(O830&lt;&gt;"",O830,IF(L830&lt;&gt;"",L830/1.56,IF(M830&lt;&gt;"",M830/1.56,""))))</f>
        <v/>
      </c>
      <c r="U830" s="3" t="n">
        <v>139</v>
      </c>
      <c r="V830" s="3" t="n"/>
      <c r="W830" s="3" t="n"/>
      <c r="X830" s="4" t="n"/>
      <c r="Y830" s="5" t="n">
        <v>0.832</v>
      </c>
      <c r="Z830" s="4">
        <f>IF(L830&lt;&gt;"",SQRT(3)*G830*L830/1000,"")</f>
        <v/>
      </c>
      <c r="AA830" t="inlineStr">
        <is>
          <t>Source=Copeland 2D/3D/4D/4R/6D/8D/9R compressors (pdf) p34</t>
        </is>
      </c>
      <c r="AB830" t="inlineStr">
        <is>
          <t>Copeland_RLA_230_460_3ph_60Hz.xlsx</t>
        </is>
      </c>
      <c r="AC830" t="inlineStr">
        <is>
          <t>Recip_2D-9R</t>
        </is>
      </c>
    </row>
    <row r="831">
      <c r="A831" t="inlineStr">
        <is>
          <t>COPELAND</t>
        </is>
      </c>
      <c r="B831" t="inlineStr">
        <is>
          <t>4DP3F63K0-FSD</t>
        </is>
      </c>
      <c r="D831" t="inlineStr">
        <is>
          <t>Reciprocating Semi-hermetic</t>
        </is>
      </c>
      <c r="E831" s="2" t="n">
        <v>3</v>
      </c>
      <c r="F831" s="2" t="n">
        <v>60</v>
      </c>
      <c r="G831" s="2" t="n">
        <v>460</v>
      </c>
      <c r="H831" t="inlineStr">
        <is>
          <t>460</t>
        </is>
      </c>
      <c r="I831" s="2" t="n">
        <v>460</v>
      </c>
      <c r="J831" s="2" t="n">
        <v>460</v>
      </c>
      <c r="L831" s="3" t="n"/>
      <c r="M831" s="3" t="n"/>
      <c r="N831" s="3" t="n">
        <v>24.5</v>
      </c>
      <c r="O831" s="3" t="n"/>
      <c r="P831" s="3">
        <f>IF(L831&lt;&gt;"",L831/1.4,"")</f>
        <v/>
      </c>
      <c r="Q831" s="3">
        <f>IF(L831&lt;&gt;"",L831/1.56,"")</f>
        <v/>
      </c>
      <c r="R831" s="3">
        <f>IF(M831&lt;&gt;"",M831/1.4,"")</f>
        <v/>
      </c>
      <c r="S831" s="3">
        <f>IF(M831&lt;&gt;"",M831/1.56,"")</f>
        <v/>
      </c>
      <c r="T831" s="3">
        <f>IF(N831&lt;&gt;"",N831,IF(O831&lt;&gt;"",O831,IF(L831&lt;&gt;"",L831/1.56,IF(M831&lt;&gt;"",M831/1.56,""))))</f>
        <v/>
      </c>
      <c r="U831" s="3" t="n">
        <v>136</v>
      </c>
      <c r="V831" s="3" t="n">
        <v>81.59999999999999</v>
      </c>
      <c r="W831" s="3" t="n"/>
      <c r="X831" s="4" t="n"/>
      <c r="Y831" s="5" t="n">
        <v>0.84</v>
      </c>
      <c r="Z831" s="4">
        <f>IF(L831&lt;&gt;"",SQRT(3)*G831*L831/1000,"")</f>
        <v/>
      </c>
      <c r="AA831" t="inlineStr">
        <is>
          <t>Source=Copeland 2D/3D/4D/4R/6D/8D/9R compressors (pdf) p34; PWS_RLA=12.3</t>
        </is>
      </c>
      <c r="AB831" t="inlineStr">
        <is>
          <t>Copeland_RLA_230_460_3ph_60Hz.xlsx</t>
        </is>
      </c>
      <c r="AC831" t="inlineStr">
        <is>
          <t>Recip_2D-9R</t>
        </is>
      </c>
    </row>
    <row r="832">
      <c r="A832" t="inlineStr">
        <is>
          <t>COPELAND</t>
        </is>
      </c>
      <c r="B832" t="inlineStr">
        <is>
          <t>4DP3F63K0-TSK</t>
        </is>
      </c>
      <c r="D832" t="inlineStr">
        <is>
          <t>Reciprocating Semi-hermetic</t>
        </is>
      </c>
      <c r="E832" s="2" t="n">
        <v>3</v>
      </c>
      <c r="F832" s="2" t="n">
        <v>60</v>
      </c>
      <c r="G832" s="2" t="n">
        <v>230</v>
      </c>
      <c r="H832" t="inlineStr">
        <is>
          <t>208/230</t>
        </is>
      </c>
      <c r="I832" s="2" t="n">
        <v>208</v>
      </c>
      <c r="J832" s="2" t="n">
        <v>230</v>
      </c>
      <c r="L832" s="3" t="n"/>
      <c r="M832" s="3" t="n"/>
      <c r="N832" s="3" t="n">
        <v>52.6</v>
      </c>
      <c r="O832" s="3" t="n"/>
      <c r="P832" s="3">
        <f>IF(L832&lt;&gt;"",L832/1.4,"")</f>
        <v/>
      </c>
      <c r="Q832" s="3">
        <f>IF(L832&lt;&gt;"",L832/1.56,"")</f>
        <v/>
      </c>
      <c r="R832" s="3">
        <f>IF(M832&lt;&gt;"",M832/1.4,"")</f>
        <v/>
      </c>
      <c r="S832" s="3">
        <f>IF(M832&lt;&gt;"",M832/1.56,"")</f>
        <v/>
      </c>
      <c r="T832" s="3">
        <f>IF(N832&lt;&gt;"",N832,IF(O832&lt;&gt;"",O832,IF(L832&lt;&gt;"",L832/1.56,IF(M832&lt;&gt;"",M832/1.56,""))))</f>
        <v/>
      </c>
      <c r="U832" s="3" t="n">
        <v>278</v>
      </c>
      <c r="V832" s="3" t="n">
        <v>170</v>
      </c>
      <c r="W832" s="3" t="n"/>
      <c r="X832" s="4" t="n"/>
      <c r="Y832" s="5" t="n">
        <v>0.208</v>
      </c>
      <c r="Z832" s="4">
        <f>IF(L832&lt;&gt;"",SQRT(3)*G832*L832/1000,"")</f>
        <v/>
      </c>
      <c r="AA832" t="inlineStr">
        <is>
          <t>Source=Copeland 2D/3D/4D/4R/6D/8D/9R compressors (pdf) p34; PWS_RLA=26.3</t>
        </is>
      </c>
      <c r="AB832" t="inlineStr">
        <is>
          <t>Copeland_RLA_230_460_3ph_60Hz.xlsx</t>
        </is>
      </c>
      <c r="AC832" t="inlineStr">
        <is>
          <t>Recip_2D-9R</t>
        </is>
      </c>
    </row>
    <row r="833">
      <c r="A833" t="inlineStr">
        <is>
          <t>COPELAND</t>
        </is>
      </c>
      <c r="B833" t="inlineStr">
        <is>
          <t>4DP3F63K0-TSK</t>
        </is>
      </c>
      <c r="D833" t="inlineStr">
        <is>
          <t>Reciprocating Semi-hermetic</t>
        </is>
      </c>
      <c r="E833" s="2" t="n">
        <v>3</v>
      </c>
      <c r="F833" s="2" t="n">
        <v>60</v>
      </c>
      <c r="G833" s="2" t="n">
        <v>460</v>
      </c>
      <c r="H833" t="inlineStr">
        <is>
          <t>460</t>
        </is>
      </c>
      <c r="I833" s="2" t="n">
        <v>460</v>
      </c>
      <c r="J833" s="2" t="n">
        <v>460</v>
      </c>
      <c r="L833" s="3" t="n"/>
      <c r="M833" s="3" t="n"/>
      <c r="N833" s="3" t="n">
        <v>26.3</v>
      </c>
      <c r="O833" s="3" t="n"/>
      <c r="P833" s="3">
        <f>IF(L833&lt;&gt;"",L833/1.4,"")</f>
        <v/>
      </c>
      <c r="Q833" s="3">
        <f>IF(L833&lt;&gt;"",L833/1.56,"")</f>
        <v/>
      </c>
      <c r="R833" s="3">
        <f>IF(M833&lt;&gt;"",M833/1.4,"")</f>
        <v/>
      </c>
      <c r="S833" s="3">
        <f>IF(M833&lt;&gt;"",M833/1.56,"")</f>
        <v/>
      </c>
      <c r="T833" s="3">
        <f>IF(N833&lt;&gt;"",N833,IF(O833&lt;&gt;"",O833,IF(L833&lt;&gt;"",L833/1.56,IF(M833&lt;&gt;"",M833/1.56,""))))</f>
        <v/>
      </c>
      <c r="U833" s="3" t="n">
        <v>139</v>
      </c>
      <c r="V833" s="3" t="n"/>
      <c r="W833" s="3" t="n"/>
      <c r="X833" s="4" t="n"/>
      <c r="Y833" s="5" t="n">
        <v>0.832</v>
      </c>
      <c r="Z833" s="4">
        <f>IF(L833&lt;&gt;"",SQRT(3)*G833*L833/1000,"")</f>
        <v/>
      </c>
      <c r="AA833" t="inlineStr">
        <is>
          <t>Source=Copeland 2D/3D/4D/4R/6D/8D/9R compressors (pdf) p34</t>
        </is>
      </c>
      <c r="AB833" t="inlineStr">
        <is>
          <t>Copeland_RLA_230_460_3ph_60Hz.xlsx</t>
        </is>
      </c>
      <c r="AC833" t="inlineStr">
        <is>
          <t>Recip_2D-9R</t>
        </is>
      </c>
    </row>
    <row r="834">
      <c r="A834" t="inlineStr">
        <is>
          <t>COPELAND</t>
        </is>
      </c>
      <c r="B834" t="inlineStr">
        <is>
          <t>4DP3F63KE-FSD</t>
        </is>
      </c>
      <c r="D834" t="inlineStr">
        <is>
          <t>Reciprocating Semi-hermetic</t>
        </is>
      </c>
      <c r="E834" s="2" t="n">
        <v>3</v>
      </c>
      <c r="F834" s="2" t="n">
        <v>60</v>
      </c>
      <c r="G834" s="2" t="n">
        <v>460</v>
      </c>
      <c r="H834" t="inlineStr">
        <is>
          <t>460</t>
        </is>
      </c>
      <c r="I834" s="2" t="n">
        <v>460</v>
      </c>
      <c r="J834" s="2" t="n">
        <v>460</v>
      </c>
      <c r="L834" s="3" t="n"/>
      <c r="M834" s="3" t="n"/>
      <c r="N834" s="3" t="n">
        <v>24.5</v>
      </c>
      <c r="O834" s="3" t="n"/>
      <c r="P834" s="3">
        <f>IF(L834&lt;&gt;"",L834/1.4,"")</f>
        <v/>
      </c>
      <c r="Q834" s="3">
        <f>IF(L834&lt;&gt;"",L834/1.56,"")</f>
        <v/>
      </c>
      <c r="R834" s="3">
        <f>IF(M834&lt;&gt;"",M834/1.4,"")</f>
        <v/>
      </c>
      <c r="S834" s="3">
        <f>IF(M834&lt;&gt;"",M834/1.56,"")</f>
        <v/>
      </c>
      <c r="T834" s="3">
        <f>IF(N834&lt;&gt;"",N834,IF(O834&lt;&gt;"",O834,IF(L834&lt;&gt;"",L834/1.56,IF(M834&lt;&gt;"",M834/1.56,""))))</f>
        <v/>
      </c>
      <c r="U834" s="3" t="n">
        <v>136</v>
      </c>
      <c r="V834" s="3" t="n">
        <v>81.59999999999999</v>
      </c>
      <c r="W834" s="3" t="n"/>
      <c r="X834" s="4" t="n"/>
      <c r="Y834" s="5" t="n">
        <v>0.84</v>
      </c>
      <c r="Z834" s="4">
        <f>IF(L834&lt;&gt;"",SQRT(3)*G834*L834/1000,"")</f>
        <v/>
      </c>
      <c r="AA834" t="inlineStr">
        <is>
          <t>Source=Copeland 2D/3D/4D/4R/6D/8D/9R compressors (pdf) p34; PWS_RLA=12.3</t>
        </is>
      </c>
      <c r="AB834" t="inlineStr">
        <is>
          <t>Copeland_RLA_230_460_3ph_60Hz.xlsx</t>
        </is>
      </c>
      <c r="AC834" t="inlineStr">
        <is>
          <t>Recip_2D-9R</t>
        </is>
      </c>
    </row>
    <row r="835">
      <c r="A835" t="inlineStr">
        <is>
          <t>COPELAND</t>
        </is>
      </c>
      <c r="B835" t="inlineStr">
        <is>
          <t>4DP3F63KE-TSK</t>
        </is>
      </c>
      <c r="D835" t="inlineStr">
        <is>
          <t>Reciprocating Semi-hermetic</t>
        </is>
      </c>
      <c r="E835" s="2" t="n">
        <v>3</v>
      </c>
      <c r="F835" s="2" t="n">
        <v>60</v>
      </c>
      <c r="G835" s="2" t="n">
        <v>230</v>
      </c>
      <c r="H835" t="inlineStr">
        <is>
          <t>208/230</t>
        </is>
      </c>
      <c r="I835" s="2" t="n">
        <v>208</v>
      </c>
      <c r="J835" s="2" t="n">
        <v>230</v>
      </c>
      <c r="L835" s="3" t="n"/>
      <c r="M835" s="3" t="n"/>
      <c r="N835" s="3" t="n">
        <v>52.6</v>
      </c>
      <c r="O835" s="3" t="n"/>
      <c r="P835" s="3">
        <f>IF(L835&lt;&gt;"",L835/1.4,"")</f>
        <v/>
      </c>
      <c r="Q835" s="3">
        <f>IF(L835&lt;&gt;"",L835/1.56,"")</f>
        <v/>
      </c>
      <c r="R835" s="3">
        <f>IF(M835&lt;&gt;"",M835/1.4,"")</f>
        <v/>
      </c>
      <c r="S835" s="3">
        <f>IF(M835&lt;&gt;"",M835/1.56,"")</f>
        <v/>
      </c>
      <c r="T835" s="3">
        <f>IF(N835&lt;&gt;"",N835,IF(O835&lt;&gt;"",O835,IF(L835&lt;&gt;"",L835/1.56,IF(M835&lt;&gt;"",M835/1.56,""))))</f>
        <v/>
      </c>
      <c r="U835" s="3" t="n">
        <v>278</v>
      </c>
      <c r="V835" s="3" t="n">
        <v>170</v>
      </c>
      <c r="W835" s="3" t="n"/>
      <c r="X835" s="4" t="n"/>
      <c r="Y835" s="5" t="n">
        <v>0.208</v>
      </c>
      <c r="Z835" s="4">
        <f>IF(L835&lt;&gt;"",SQRT(3)*G835*L835/1000,"")</f>
        <v/>
      </c>
      <c r="AA835" t="inlineStr">
        <is>
          <t>Source=Copeland 2D/3D/4D/4R/6D/8D/9R compressors (pdf) p34; PWS_RLA=26.3</t>
        </is>
      </c>
      <c r="AB835" t="inlineStr">
        <is>
          <t>Copeland_RLA_230_460_3ph_60Hz.xlsx</t>
        </is>
      </c>
      <c r="AC835" t="inlineStr">
        <is>
          <t>Recip_2D-9R</t>
        </is>
      </c>
    </row>
    <row r="836">
      <c r="A836" t="inlineStr">
        <is>
          <t>COPELAND</t>
        </is>
      </c>
      <c r="B836" t="inlineStr">
        <is>
          <t>4DP3F63KE-TSK</t>
        </is>
      </c>
      <c r="D836" t="inlineStr">
        <is>
          <t>Reciprocating Semi-hermetic</t>
        </is>
      </c>
      <c r="E836" s="2" t="n">
        <v>3</v>
      </c>
      <c r="F836" s="2" t="n">
        <v>60</v>
      </c>
      <c r="G836" s="2" t="n">
        <v>460</v>
      </c>
      <c r="H836" t="inlineStr">
        <is>
          <t>460</t>
        </is>
      </c>
      <c r="I836" s="2" t="n">
        <v>460</v>
      </c>
      <c r="J836" s="2" t="n">
        <v>460</v>
      </c>
      <c r="L836" s="3" t="n"/>
      <c r="M836" s="3" t="n"/>
      <c r="N836" s="3" t="n">
        <v>26.3</v>
      </c>
      <c r="O836" s="3" t="n"/>
      <c r="P836" s="3">
        <f>IF(L836&lt;&gt;"",L836/1.4,"")</f>
        <v/>
      </c>
      <c r="Q836" s="3">
        <f>IF(L836&lt;&gt;"",L836/1.56,"")</f>
        <v/>
      </c>
      <c r="R836" s="3">
        <f>IF(M836&lt;&gt;"",M836/1.4,"")</f>
        <v/>
      </c>
      <c r="S836" s="3">
        <f>IF(M836&lt;&gt;"",M836/1.56,"")</f>
        <v/>
      </c>
      <c r="T836" s="3">
        <f>IF(N836&lt;&gt;"",N836,IF(O836&lt;&gt;"",O836,IF(L836&lt;&gt;"",L836/1.56,IF(M836&lt;&gt;"",M836/1.56,""))))</f>
        <v/>
      </c>
      <c r="U836" s="3" t="n">
        <v>139</v>
      </c>
      <c r="V836" s="3" t="n"/>
      <c r="W836" s="3" t="n"/>
      <c r="X836" s="4" t="n"/>
      <c r="Y836" s="5" t="n">
        <v>0.832</v>
      </c>
      <c r="Z836" s="4">
        <f>IF(L836&lt;&gt;"",SQRT(3)*G836*L836/1000,"")</f>
        <v/>
      </c>
      <c r="AA836" t="inlineStr">
        <is>
          <t>Source=Copeland 2D/3D/4D/4R/6D/8D/9R compressors (pdf) p34</t>
        </is>
      </c>
      <c r="AB836" t="inlineStr">
        <is>
          <t>Copeland_RLA_230_460_3ph_60Hz.xlsx</t>
        </is>
      </c>
      <c r="AC836" t="inlineStr">
        <is>
          <t>Recip_2D-9R</t>
        </is>
      </c>
    </row>
    <row r="837">
      <c r="A837" t="inlineStr">
        <is>
          <t>COPELAND</t>
        </is>
      </c>
      <c r="B837" t="inlineStr">
        <is>
          <t>4DP3F63KL-FSD</t>
        </is>
      </c>
      <c r="D837" t="inlineStr">
        <is>
          <t>Reciprocating Semi-hermetic</t>
        </is>
      </c>
      <c r="E837" s="2" t="n">
        <v>3</v>
      </c>
      <c r="F837" s="2" t="n">
        <v>60</v>
      </c>
      <c r="G837" s="2" t="n">
        <v>460</v>
      </c>
      <c r="H837" t="inlineStr">
        <is>
          <t>460</t>
        </is>
      </c>
      <c r="I837" s="2" t="n">
        <v>460</v>
      </c>
      <c r="J837" s="2" t="n">
        <v>460</v>
      </c>
      <c r="L837" s="3" t="n"/>
      <c r="M837" s="3" t="n"/>
      <c r="N837" s="3" t="n">
        <v>24.5</v>
      </c>
      <c r="O837" s="3" t="n"/>
      <c r="P837" s="3">
        <f>IF(L837&lt;&gt;"",L837/1.4,"")</f>
        <v/>
      </c>
      <c r="Q837" s="3">
        <f>IF(L837&lt;&gt;"",L837/1.56,"")</f>
        <v/>
      </c>
      <c r="R837" s="3">
        <f>IF(M837&lt;&gt;"",M837/1.4,"")</f>
        <v/>
      </c>
      <c r="S837" s="3">
        <f>IF(M837&lt;&gt;"",M837/1.56,"")</f>
        <v/>
      </c>
      <c r="T837" s="3">
        <f>IF(N837&lt;&gt;"",N837,IF(O837&lt;&gt;"",O837,IF(L837&lt;&gt;"",L837/1.56,IF(M837&lt;&gt;"",M837/1.56,""))))</f>
        <v/>
      </c>
      <c r="U837" s="3" t="n">
        <v>136</v>
      </c>
      <c r="V837" s="3" t="n">
        <v>81.59999999999999</v>
      </c>
      <c r="W837" s="3" t="n"/>
      <c r="X837" s="4" t="n"/>
      <c r="Y837" s="5" t="n">
        <v>0.84</v>
      </c>
      <c r="Z837" s="4">
        <f>IF(L837&lt;&gt;"",SQRT(3)*G837*L837/1000,"")</f>
        <v/>
      </c>
      <c r="AA837" t="inlineStr">
        <is>
          <t>Source=Copeland 2D/3D/4D/4R/6D/8D/9R compressors (pdf) p34; PWS_RLA=12.3</t>
        </is>
      </c>
      <c r="AB837" t="inlineStr">
        <is>
          <t>Copeland_RLA_230_460_3ph_60Hz.xlsx</t>
        </is>
      </c>
      <c r="AC837" t="inlineStr">
        <is>
          <t>Recip_2D-9R</t>
        </is>
      </c>
    </row>
    <row r="838">
      <c r="A838" t="inlineStr">
        <is>
          <t>COPELAND</t>
        </is>
      </c>
      <c r="B838" t="inlineStr">
        <is>
          <t>4DP3F63KL-TSK</t>
        </is>
      </c>
      <c r="D838" t="inlineStr">
        <is>
          <t>Reciprocating Semi-hermetic</t>
        </is>
      </c>
      <c r="E838" s="2" t="n">
        <v>3</v>
      </c>
      <c r="F838" s="2" t="n">
        <v>60</v>
      </c>
      <c r="G838" s="2" t="n">
        <v>230</v>
      </c>
      <c r="H838" t="inlineStr">
        <is>
          <t>208/230</t>
        </is>
      </c>
      <c r="I838" s="2" t="n">
        <v>208</v>
      </c>
      <c r="J838" s="2" t="n">
        <v>230</v>
      </c>
      <c r="L838" s="3" t="n"/>
      <c r="M838" s="3" t="n"/>
      <c r="N838" s="3" t="n">
        <v>52.6</v>
      </c>
      <c r="O838" s="3" t="n"/>
      <c r="P838" s="3">
        <f>IF(L838&lt;&gt;"",L838/1.4,"")</f>
        <v/>
      </c>
      <c r="Q838" s="3">
        <f>IF(L838&lt;&gt;"",L838/1.56,"")</f>
        <v/>
      </c>
      <c r="R838" s="3">
        <f>IF(M838&lt;&gt;"",M838/1.4,"")</f>
        <v/>
      </c>
      <c r="S838" s="3">
        <f>IF(M838&lt;&gt;"",M838/1.56,"")</f>
        <v/>
      </c>
      <c r="T838" s="3">
        <f>IF(N838&lt;&gt;"",N838,IF(O838&lt;&gt;"",O838,IF(L838&lt;&gt;"",L838/1.56,IF(M838&lt;&gt;"",M838/1.56,""))))</f>
        <v/>
      </c>
      <c r="U838" s="3" t="n">
        <v>278</v>
      </c>
      <c r="V838" s="3" t="n">
        <v>170</v>
      </c>
      <c r="W838" s="3" t="n"/>
      <c r="X838" s="4" t="n"/>
      <c r="Y838" s="5" t="n">
        <v>0.208</v>
      </c>
      <c r="Z838" s="4">
        <f>IF(L838&lt;&gt;"",SQRT(3)*G838*L838/1000,"")</f>
        <v/>
      </c>
      <c r="AA838" t="inlineStr">
        <is>
          <t>Source=Copeland 2D/3D/4D/4R/6D/8D/9R compressors (pdf) p34; PWS_RLA=26.3</t>
        </is>
      </c>
      <c r="AB838" t="inlineStr">
        <is>
          <t>Copeland_RLA_230_460_3ph_60Hz.xlsx</t>
        </is>
      </c>
      <c r="AC838" t="inlineStr">
        <is>
          <t>Recip_2D-9R</t>
        </is>
      </c>
    </row>
    <row r="839">
      <c r="A839" t="inlineStr">
        <is>
          <t>COPELAND</t>
        </is>
      </c>
      <c r="B839" t="inlineStr">
        <is>
          <t>4DP3F63KL-TSK</t>
        </is>
      </c>
      <c r="D839" t="inlineStr">
        <is>
          <t>Reciprocating Semi-hermetic</t>
        </is>
      </c>
      <c r="E839" s="2" t="n">
        <v>3</v>
      </c>
      <c r="F839" s="2" t="n">
        <v>60</v>
      </c>
      <c r="G839" s="2" t="n">
        <v>460</v>
      </c>
      <c r="H839" t="inlineStr">
        <is>
          <t>460</t>
        </is>
      </c>
      <c r="I839" s="2" t="n">
        <v>460</v>
      </c>
      <c r="J839" s="2" t="n">
        <v>460</v>
      </c>
      <c r="L839" s="3" t="n"/>
      <c r="M839" s="3" t="n"/>
      <c r="N839" s="3" t="n">
        <v>26.3</v>
      </c>
      <c r="O839" s="3" t="n"/>
      <c r="P839" s="3">
        <f>IF(L839&lt;&gt;"",L839/1.4,"")</f>
        <v/>
      </c>
      <c r="Q839" s="3">
        <f>IF(L839&lt;&gt;"",L839/1.56,"")</f>
        <v/>
      </c>
      <c r="R839" s="3">
        <f>IF(M839&lt;&gt;"",M839/1.4,"")</f>
        <v/>
      </c>
      <c r="S839" s="3">
        <f>IF(M839&lt;&gt;"",M839/1.56,"")</f>
        <v/>
      </c>
      <c r="T839" s="3">
        <f>IF(N839&lt;&gt;"",N839,IF(O839&lt;&gt;"",O839,IF(L839&lt;&gt;"",L839/1.56,IF(M839&lt;&gt;"",M839/1.56,""))))</f>
        <v/>
      </c>
      <c r="U839" s="3" t="n">
        <v>139</v>
      </c>
      <c r="V839" s="3" t="n"/>
      <c r="W839" s="3" t="n"/>
      <c r="X839" s="4" t="n"/>
      <c r="Y839" s="5" t="n">
        <v>0.832</v>
      </c>
      <c r="Z839" s="4">
        <f>IF(L839&lt;&gt;"",SQRT(3)*G839*L839/1000,"")</f>
        <v/>
      </c>
      <c r="AA839" t="inlineStr">
        <is>
          <t>Source=Copeland 2D/3D/4D/4R/6D/8D/9R compressors (pdf) p34</t>
        </is>
      </c>
      <c r="AB839" t="inlineStr">
        <is>
          <t>Copeland_RLA_230_460_3ph_60Hz.xlsx</t>
        </is>
      </c>
      <c r="AC839" t="inlineStr">
        <is>
          <t>Recip_2D-9R</t>
        </is>
      </c>
    </row>
    <row r="840">
      <c r="A840" t="inlineStr">
        <is>
          <t>COPELAND</t>
        </is>
      </c>
      <c r="B840" t="inlineStr">
        <is>
          <t>4DP8-1500-TSK</t>
        </is>
      </c>
      <c r="D840" t="inlineStr">
        <is>
          <t>Reciprocating Semi-hermetic</t>
        </is>
      </c>
      <c r="E840" s="2" t="n">
        <v>3</v>
      </c>
      <c r="F840" s="2" t="n">
        <v>60</v>
      </c>
      <c r="G840" s="2" t="n">
        <v>230</v>
      </c>
      <c r="H840" t="inlineStr">
        <is>
          <t>208/230</t>
        </is>
      </c>
      <c r="I840" s="2" t="n">
        <v>208</v>
      </c>
      <c r="J840" s="2" t="n">
        <v>230</v>
      </c>
      <c r="L840" s="3" t="n"/>
      <c r="M840" s="3" t="n"/>
      <c r="N840" s="3" t="n">
        <v>52.6</v>
      </c>
      <c r="O840" s="3" t="n"/>
      <c r="P840" s="3">
        <f>IF(L840&lt;&gt;"",L840/1.4,"")</f>
        <v/>
      </c>
      <c r="Q840" s="3">
        <f>IF(L840&lt;&gt;"",L840/1.56,"")</f>
        <v/>
      </c>
      <c r="R840" s="3">
        <f>IF(M840&lt;&gt;"",M840/1.4,"")</f>
        <v/>
      </c>
      <c r="S840" s="3">
        <f>IF(M840&lt;&gt;"",M840/1.56,"")</f>
        <v/>
      </c>
      <c r="T840" s="3">
        <f>IF(N840&lt;&gt;"",N840,IF(O840&lt;&gt;"",O840,IF(L840&lt;&gt;"",L840/1.56,IF(M840&lt;&gt;"",M840/1.56,""))))</f>
        <v/>
      </c>
      <c r="U840" s="3" t="n">
        <v>278</v>
      </c>
      <c r="V840" s="3" t="n">
        <v>170</v>
      </c>
      <c r="W840" s="3" t="n"/>
      <c r="X840" s="4" t="n"/>
      <c r="Y840" s="5" t="n">
        <v>0.208</v>
      </c>
      <c r="Z840" s="4">
        <f>IF(L840&lt;&gt;"",SQRT(3)*G840*L840/1000,"")</f>
        <v/>
      </c>
      <c r="AA840" t="inlineStr">
        <is>
          <t>Source=Copeland 2D/3D/4D/4R/6D/8D/9R compressors (pdf) p34; PWS_RLA=26.3</t>
        </is>
      </c>
      <c r="AB840" t="inlineStr">
        <is>
          <t>Copeland_RLA_230_460_3ph_60Hz.xlsx</t>
        </is>
      </c>
      <c r="AC840" t="inlineStr">
        <is>
          <t>Recip_2D-9R</t>
        </is>
      </c>
    </row>
    <row r="841">
      <c r="A841" t="inlineStr">
        <is>
          <t>COPELAND</t>
        </is>
      </c>
      <c r="B841" t="inlineStr">
        <is>
          <t>4DP8-1500-TSK</t>
        </is>
      </c>
      <c r="D841" t="inlineStr">
        <is>
          <t>Reciprocating Semi-hermetic</t>
        </is>
      </c>
      <c r="E841" s="2" t="n">
        <v>3</v>
      </c>
      <c r="F841" s="2" t="n">
        <v>60</v>
      </c>
      <c r="G841" s="2" t="n">
        <v>460</v>
      </c>
      <c r="H841" t="inlineStr">
        <is>
          <t>460</t>
        </is>
      </c>
      <c r="I841" s="2" t="n">
        <v>460</v>
      </c>
      <c r="J841" s="2" t="n">
        <v>460</v>
      </c>
      <c r="L841" s="3" t="n"/>
      <c r="M841" s="3" t="n"/>
      <c r="N841" s="3" t="n">
        <v>26.3</v>
      </c>
      <c r="O841" s="3" t="n"/>
      <c r="P841" s="3">
        <f>IF(L841&lt;&gt;"",L841/1.4,"")</f>
        <v/>
      </c>
      <c r="Q841" s="3">
        <f>IF(L841&lt;&gt;"",L841/1.56,"")</f>
        <v/>
      </c>
      <c r="R841" s="3">
        <f>IF(M841&lt;&gt;"",M841/1.4,"")</f>
        <v/>
      </c>
      <c r="S841" s="3">
        <f>IF(M841&lt;&gt;"",M841/1.56,"")</f>
        <v/>
      </c>
      <c r="T841" s="3">
        <f>IF(N841&lt;&gt;"",N841,IF(O841&lt;&gt;"",O841,IF(L841&lt;&gt;"",L841/1.56,IF(M841&lt;&gt;"",M841/1.56,""))))</f>
        <v/>
      </c>
      <c r="U841" s="3" t="n">
        <v>139</v>
      </c>
      <c r="V841" s="3" t="n"/>
      <c r="W841" s="3" t="n"/>
      <c r="X841" s="4" t="n"/>
      <c r="Y841" s="5" t="n">
        <v>0.832</v>
      </c>
      <c r="Z841" s="4">
        <f>IF(L841&lt;&gt;"",SQRT(3)*G841*L841/1000,"")</f>
        <v/>
      </c>
      <c r="AA841" t="inlineStr">
        <is>
          <t>Source=Copeland 2D/3D/4D/4R/6D/8D/9R compressors (pdf) p34</t>
        </is>
      </c>
      <c r="AB841" t="inlineStr">
        <is>
          <t>Copeland_RLA_230_460_3ph_60Hz.xlsx</t>
        </is>
      </c>
      <c r="AC841" t="inlineStr">
        <is>
          <t>Recip_2D-9R</t>
        </is>
      </c>
    </row>
    <row r="842">
      <c r="A842" t="inlineStr">
        <is>
          <t>COPELAND</t>
        </is>
      </c>
      <c r="B842" t="inlineStr">
        <is>
          <t>4DP8-150E-TSK</t>
        </is>
      </c>
      <c r="D842" t="inlineStr">
        <is>
          <t>Reciprocating Semi-hermetic</t>
        </is>
      </c>
      <c r="E842" s="2" t="n">
        <v>3</v>
      </c>
      <c r="F842" s="2" t="n">
        <v>60</v>
      </c>
      <c r="G842" s="2" t="n">
        <v>230</v>
      </c>
      <c r="H842" t="inlineStr">
        <is>
          <t>208/230</t>
        </is>
      </c>
      <c r="I842" s="2" t="n">
        <v>208</v>
      </c>
      <c r="J842" s="2" t="n">
        <v>230</v>
      </c>
      <c r="L842" s="3" t="n"/>
      <c r="M842" s="3" t="n"/>
      <c r="N842" s="3" t="n">
        <v>52.6</v>
      </c>
      <c r="O842" s="3" t="n"/>
      <c r="P842" s="3">
        <f>IF(L842&lt;&gt;"",L842/1.4,"")</f>
        <v/>
      </c>
      <c r="Q842" s="3">
        <f>IF(L842&lt;&gt;"",L842/1.56,"")</f>
        <v/>
      </c>
      <c r="R842" s="3">
        <f>IF(M842&lt;&gt;"",M842/1.4,"")</f>
        <v/>
      </c>
      <c r="S842" s="3">
        <f>IF(M842&lt;&gt;"",M842/1.56,"")</f>
        <v/>
      </c>
      <c r="T842" s="3">
        <f>IF(N842&lt;&gt;"",N842,IF(O842&lt;&gt;"",O842,IF(L842&lt;&gt;"",L842/1.56,IF(M842&lt;&gt;"",M842/1.56,""))))</f>
        <v/>
      </c>
      <c r="U842" s="3" t="n">
        <v>278</v>
      </c>
      <c r="V842" s="3" t="n">
        <v>170</v>
      </c>
      <c r="W842" s="3" t="n"/>
      <c r="X842" s="4" t="n"/>
      <c r="Y842" s="5" t="n">
        <v>0.208</v>
      </c>
      <c r="Z842" s="4">
        <f>IF(L842&lt;&gt;"",SQRT(3)*G842*L842/1000,"")</f>
        <v/>
      </c>
      <c r="AA842" t="inlineStr">
        <is>
          <t>Source=Copeland 2D/3D/4D/4R/6D/8D/9R compressors (pdf) p34; PWS_RLA=26.3</t>
        </is>
      </c>
      <c r="AB842" t="inlineStr">
        <is>
          <t>Copeland_RLA_230_460_3ph_60Hz.xlsx</t>
        </is>
      </c>
      <c r="AC842" t="inlineStr">
        <is>
          <t>Recip_2D-9R</t>
        </is>
      </c>
    </row>
    <row r="843">
      <c r="A843" t="inlineStr">
        <is>
          <t>COPELAND</t>
        </is>
      </c>
      <c r="B843" t="inlineStr">
        <is>
          <t>4DP8-150E-TSK</t>
        </is>
      </c>
      <c r="D843" t="inlineStr">
        <is>
          <t>Reciprocating Semi-hermetic</t>
        </is>
      </c>
      <c r="E843" s="2" t="n">
        <v>3</v>
      </c>
      <c r="F843" s="2" t="n">
        <v>60</v>
      </c>
      <c r="G843" s="2" t="n">
        <v>460</v>
      </c>
      <c r="H843" t="inlineStr">
        <is>
          <t>460</t>
        </is>
      </c>
      <c r="I843" s="2" t="n">
        <v>460</v>
      </c>
      <c r="J843" s="2" t="n">
        <v>460</v>
      </c>
      <c r="L843" s="3" t="n"/>
      <c r="M843" s="3" t="n"/>
      <c r="N843" s="3" t="n">
        <v>26.3</v>
      </c>
      <c r="O843" s="3" t="n"/>
      <c r="P843" s="3">
        <f>IF(L843&lt;&gt;"",L843/1.4,"")</f>
        <v/>
      </c>
      <c r="Q843" s="3">
        <f>IF(L843&lt;&gt;"",L843/1.56,"")</f>
        <v/>
      </c>
      <c r="R843" s="3">
        <f>IF(M843&lt;&gt;"",M843/1.4,"")</f>
        <v/>
      </c>
      <c r="S843" s="3">
        <f>IF(M843&lt;&gt;"",M843/1.56,"")</f>
        <v/>
      </c>
      <c r="T843" s="3">
        <f>IF(N843&lt;&gt;"",N843,IF(O843&lt;&gt;"",O843,IF(L843&lt;&gt;"",L843/1.56,IF(M843&lt;&gt;"",M843/1.56,""))))</f>
        <v/>
      </c>
      <c r="U843" s="3" t="n">
        <v>139</v>
      </c>
      <c r="V843" s="3" t="n"/>
      <c r="W843" s="3" t="n"/>
      <c r="X843" s="4" t="n"/>
      <c r="Y843" s="5" t="n">
        <v>0.832</v>
      </c>
      <c r="Z843" s="4">
        <f>IF(L843&lt;&gt;"",SQRT(3)*G843*L843/1000,"")</f>
        <v/>
      </c>
      <c r="AA843" t="inlineStr">
        <is>
          <t>Source=Copeland 2D/3D/4D/4R/6D/8D/9R compressors (pdf) p34</t>
        </is>
      </c>
      <c r="AB843" t="inlineStr">
        <is>
          <t>Copeland_RLA_230_460_3ph_60Hz.xlsx</t>
        </is>
      </c>
      <c r="AC843" t="inlineStr">
        <is>
          <t>Recip_2D-9R</t>
        </is>
      </c>
    </row>
    <row r="844">
      <c r="A844" t="inlineStr">
        <is>
          <t>COPELAND</t>
        </is>
      </c>
      <c r="B844" t="inlineStr">
        <is>
          <t>4DP8-150L-TSK</t>
        </is>
      </c>
      <c r="D844" t="inlineStr">
        <is>
          <t>Reciprocating Semi-hermetic</t>
        </is>
      </c>
      <c r="E844" s="2" t="n">
        <v>3</v>
      </c>
      <c r="F844" s="2" t="n">
        <v>60</v>
      </c>
      <c r="G844" s="2" t="n">
        <v>230</v>
      </c>
      <c r="H844" t="inlineStr">
        <is>
          <t>208/230</t>
        </is>
      </c>
      <c r="I844" s="2" t="n">
        <v>208</v>
      </c>
      <c r="J844" s="2" t="n">
        <v>230</v>
      </c>
      <c r="L844" s="3" t="n"/>
      <c r="M844" s="3" t="n"/>
      <c r="N844" s="3" t="n">
        <v>52.6</v>
      </c>
      <c r="O844" s="3" t="n"/>
      <c r="P844" s="3">
        <f>IF(L844&lt;&gt;"",L844/1.4,"")</f>
        <v/>
      </c>
      <c r="Q844" s="3">
        <f>IF(L844&lt;&gt;"",L844/1.56,"")</f>
        <v/>
      </c>
      <c r="R844" s="3">
        <f>IF(M844&lt;&gt;"",M844/1.4,"")</f>
        <v/>
      </c>
      <c r="S844" s="3">
        <f>IF(M844&lt;&gt;"",M844/1.56,"")</f>
        <v/>
      </c>
      <c r="T844" s="3">
        <f>IF(N844&lt;&gt;"",N844,IF(O844&lt;&gt;"",O844,IF(L844&lt;&gt;"",L844/1.56,IF(M844&lt;&gt;"",M844/1.56,""))))</f>
        <v/>
      </c>
      <c r="U844" s="3" t="n">
        <v>278</v>
      </c>
      <c r="V844" s="3" t="n">
        <v>170</v>
      </c>
      <c r="W844" s="3" t="n"/>
      <c r="X844" s="4" t="n"/>
      <c r="Y844" s="5" t="n">
        <v>0.208</v>
      </c>
      <c r="Z844" s="4">
        <f>IF(L844&lt;&gt;"",SQRT(3)*G844*L844/1000,"")</f>
        <v/>
      </c>
      <c r="AA844" t="inlineStr">
        <is>
          <t>Source=Copeland 2D/3D/4D/4R/6D/8D/9R compressors (pdf) p34; PWS_RLA=26.3</t>
        </is>
      </c>
      <c r="AB844" t="inlineStr">
        <is>
          <t>Copeland_RLA_230_460_3ph_60Hz.xlsx</t>
        </is>
      </c>
      <c r="AC844" t="inlineStr">
        <is>
          <t>Recip_2D-9R</t>
        </is>
      </c>
    </row>
    <row r="845">
      <c r="A845" t="inlineStr">
        <is>
          <t>COPELAND</t>
        </is>
      </c>
      <c r="B845" t="inlineStr">
        <is>
          <t>4DP8-150L-TSK</t>
        </is>
      </c>
      <c r="D845" t="inlineStr">
        <is>
          <t>Reciprocating Semi-hermetic</t>
        </is>
      </c>
      <c r="E845" s="2" t="n">
        <v>3</v>
      </c>
      <c r="F845" s="2" t="n">
        <v>60</v>
      </c>
      <c r="G845" s="2" t="n">
        <v>460</v>
      </c>
      <c r="H845" t="inlineStr">
        <is>
          <t>460</t>
        </is>
      </c>
      <c r="I845" s="2" t="n">
        <v>460</v>
      </c>
      <c r="J845" s="2" t="n">
        <v>460</v>
      </c>
      <c r="L845" s="3" t="n"/>
      <c r="M845" s="3" t="n"/>
      <c r="N845" s="3" t="n">
        <v>26.3</v>
      </c>
      <c r="O845" s="3" t="n"/>
      <c r="P845" s="3">
        <f>IF(L845&lt;&gt;"",L845/1.4,"")</f>
        <v/>
      </c>
      <c r="Q845" s="3">
        <f>IF(L845&lt;&gt;"",L845/1.56,"")</f>
        <v/>
      </c>
      <c r="R845" s="3">
        <f>IF(M845&lt;&gt;"",M845/1.4,"")</f>
        <v/>
      </c>
      <c r="S845" s="3">
        <f>IF(M845&lt;&gt;"",M845/1.56,"")</f>
        <v/>
      </c>
      <c r="T845" s="3">
        <f>IF(N845&lt;&gt;"",N845,IF(O845&lt;&gt;"",O845,IF(L845&lt;&gt;"",L845/1.56,IF(M845&lt;&gt;"",M845/1.56,""))))</f>
        <v/>
      </c>
      <c r="U845" s="3" t="n">
        <v>139</v>
      </c>
      <c r="V845" s="3" t="n"/>
      <c r="W845" s="3" t="n"/>
      <c r="X845" s="4" t="n"/>
      <c r="Y845" s="5" t="n">
        <v>0.832</v>
      </c>
      <c r="Z845" s="4">
        <f>IF(L845&lt;&gt;"",SQRT(3)*G845*L845/1000,"")</f>
        <v/>
      </c>
      <c r="AA845" t="inlineStr">
        <is>
          <t>Source=Copeland 2D/3D/4D/4R/6D/8D/9R compressors (pdf) p34</t>
        </is>
      </c>
      <c r="AB845" t="inlineStr">
        <is>
          <t>Copeland_RLA_230_460_3ph_60Hz.xlsx</t>
        </is>
      </c>
      <c r="AC845" t="inlineStr">
        <is>
          <t>Recip_2D-9R</t>
        </is>
      </c>
    </row>
    <row r="846">
      <c r="A846" t="inlineStr">
        <is>
          <t>COPELAND</t>
        </is>
      </c>
      <c r="B846" t="inlineStr">
        <is>
          <t>4DP8A1500-TSK</t>
        </is>
      </c>
      <c r="D846" t="inlineStr">
        <is>
          <t>Reciprocating Semi-hermetic</t>
        </is>
      </c>
      <c r="E846" s="2" t="n">
        <v>3</v>
      </c>
      <c r="F846" s="2" t="n">
        <v>60</v>
      </c>
      <c r="G846" s="2" t="n">
        <v>230</v>
      </c>
      <c r="H846" t="inlineStr">
        <is>
          <t>208/230</t>
        </is>
      </c>
      <c r="I846" s="2" t="n">
        <v>208</v>
      </c>
      <c r="J846" s="2" t="n">
        <v>230</v>
      </c>
      <c r="L846" s="3" t="n"/>
      <c r="M846" s="3" t="n"/>
      <c r="N846" s="3" t="n">
        <v>52.6</v>
      </c>
      <c r="O846" s="3" t="n"/>
      <c r="P846" s="3">
        <f>IF(L846&lt;&gt;"",L846/1.4,"")</f>
        <v/>
      </c>
      <c r="Q846" s="3">
        <f>IF(L846&lt;&gt;"",L846/1.56,"")</f>
        <v/>
      </c>
      <c r="R846" s="3">
        <f>IF(M846&lt;&gt;"",M846/1.4,"")</f>
        <v/>
      </c>
      <c r="S846" s="3">
        <f>IF(M846&lt;&gt;"",M846/1.56,"")</f>
        <v/>
      </c>
      <c r="T846" s="3">
        <f>IF(N846&lt;&gt;"",N846,IF(O846&lt;&gt;"",O846,IF(L846&lt;&gt;"",L846/1.56,IF(M846&lt;&gt;"",M846/1.56,""))))</f>
        <v/>
      </c>
      <c r="U846" s="3" t="n">
        <v>278</v>
      </c>
      <c r="V846" s="3" t="n">
        <v>170</v>
      </c>
      <c r="W846" s="3" t="n"/>
      <c r="X846" s="4" t="n"/>
      <c r="Y846" s="5" t="n">
        <v>0.208</v>
      </c>
      <c r="Z846" s="4">
        <f>IF(L846&lt;&gt;"",SQRT(3)*G846*L846/1000,"")</f>
        <v/>
      </c>
      <c r="AA846" t="inlineStr">
        <is>
          <t>Source=Copeland 2D/3D/4D/4R/6D/8D/9R compressors (pdf) p34; PWS_RLA=26.3</t>
        </is>
      </c>
      <c r="AB846" t="inlineStr">
        <is>
          <t>Copeland_RLA_230_460_3ph_60Hz.xlsx</t>
        </is>
      </c>
      <c r="AC846" t="inlineStr">
        <is>
          <t>Recip_2D-9R</t>
        </is>
      </c>
    </row>
    <row r="847">
      <c r="A847" t="inlineStr">
        <is>
          <t>COPELAND</t>
        </is>
      </c>
      <c r="B847" t="inlineStr">
        <is>
          <t>4DP8A1500-TSK</t>
        </is>
      </c>
      <c r="D847" t="inlineStr">
        <is>
          <t>Reciprocating Semi-hermetic</t>
        </is>
      </c>
      <c r="E847" s="2" t="n">
        <v>3</v>
      </c>
      <c r="F847" s="2" t="n">
        <v>60</v>
      </c>
      <c r="G847" s="2" t="n">
        <v>460</v>
      </c>
      <c r="H847" t="inlineStr">
        <is>
          <t>460</t>
        </is>
      </c>
      <c r="I847" s="2" t="n">
        <v>460</v>
      </c>
      <c r="J847" s="2" t="n">
        <v>460</v>
      </c>
      <c r="L847" s="3" t="n"/>
      <c r="M847" s="3" t="n"/>
      <c r="N847" s="3" t="n">
        <v>26.3</v>
      </c>
      <c r="O847" s="3" t="n"/>
      <c r="P847" s="3">
        <f>IF(L847&lt;&gt;"",L847/1.4,"")</f>
        <v/>
      </c>
      <c r="Q847" s="3">
        <f>IF(L847&lt;&gt;"",L847/1.56,"")</f>
        <v/>
      </c>
      <c r="R847" s="3">
        <f>IF(M847&lt;&gt;"",M847/1.4,"")</f>
        <v/>
      </c>
      <c r="S847" s="3">
        <f>IF(M847&lt;&gt;"",M847/1.56,"")</f>
        <v/>
      </c>
      <c r="T847" s="3">
        <f>IF(N847&lt;&gt;"",N847,IF(O847&lt;&gt;"",O847,IF(L847&lt;&gt;"",L847/1.56,IF(M847&lt;&gt;"",M847/1.56,""))))</f>
        <v/>
      </c>
      <c r="U847" s="3" t="n">
        <v>139</v>
      </c>
      <c r="V847" s="3" t="n"/>
      <c r="W847" s="3" t="n"/>
      <c r="X847" s="4" t="n"/>
      <c r="Y847" s="5" t="n">
        <v>0.832</v>
      </c>
      <c r="Z847" s="4">
        <f>IF(L847&lt;&gt;"",SQRT(3)*G847*L847/1000,"")</f>
        <v/>
      </c>
      <c r="AA847" t="inlineStr">
        <is>
          <t>Source=Copeland 2D/3D/4D/4R/6D/8D/9R compressors (pdf) p34</t>
        </is>
      </c>
      <c r="AB847" t="inlineStr">
        <is>
          <t>Copeland_RLA_230_460_3ph_60Hz.xlsx</t>
        </is>
      </c>
      <c r="AC847" t="inlineStr">
        <is>
          <t>Recip_2D-9R</t>
        </is>
      </c>
    </row>
    <row r="848">
      <c r="A848" t="inlineStr">
        <is>
          <t>COPELAND</t>
        </is>
      </c>
      <c r="B848" t="inlineStr">
        <is>
          <t>4DP8A150E-TSK</t>
        </is>
      </c>
      <c r="D848" t="inlineStr">
        <is>
          <t>Reciprocating Semi-hermetic</t>
        </is>
      </c>
      <c r="E848" s="2" t="n">
        <v>3</v>
      </c>
      <c r="F848" s="2" t="n">
        <v>60</v>
      </c>
      <c r="G848" s="2" t="n">
        <v>230</v>
      </c>
      <c r="H848" t="inlineStr">
        <is>
          <t>208/230</t>
        </is>
      </c>
      <c r="I848" s="2" t="n">
        <v>208</v>
      </c>
      <c r="J848" s="2" t="n">
        <v>230</v>
      </c>
      <c r="L848" s="3" t="n"/>
      <c r="M848" s="3" t="n"/>
      <c r="N848" s="3" t="n">
        <v>52.6</v>
      </c>
      <c r="O848" s="3" t="n"/>
      <c r="P848" s="3">
        <f>IF(L848&lt;&gt;"",L848/1.4,"")</f>
        <v/>
      </c>
      <c r="Q848" s="3">
        <f>IF(L848&lt;&gt;"",L848/1.56,"")</f>
        <v/>
      </c>
      <c r="R848" s="3">
        <f>IF(M848&lt;&gt;"",M848/1.4,"")</f>
        <v/>
      </c>
      <c r="S848" s="3">
        <f>IF(M848&lt;&gt;"",M848/1.56,"")</f>
        <v/>
      </c>
      <c r="T848" s="3">
        <f>IF(N848&lt;&gt;"",N848,IF(O848&lt;&gt;"",O848,IF(L848&lt;&gt;"",L848/1.56,IF(M848&lt;&gt;"",M848/1.56,""))))</f>
        <v/>
      </c>
      <c r="U848" s="3" t="n">
        <v>278</v>
      </c>
      <c r="V848" s="3" t="n">
        <v>170</v>
      </c>
      <c r="W848" s="3" t="n"/>
      <c r="X848" s="4" t="n"/>
      <c r="Y848" s="5" t="n">
        <v>0.208</v>
      </c>
      <c r="Z848" s="4">
        <f>IF(L848&lt;&gt;"",SQRT(3)*G848*L848/1000,"")</f>
        <v/>
      </c>
      <c r="AA848" t="inlineStr">
        <is>
          <t>Source=Copeland 2D/3D/4D/4R/6D/8D/9R compressors (pdf) p34; PWS_RLA=26.3</t>
        </is>
      </c>
      <c r="AB848" t="inlineStr">
        <is>
          <t>Copeland_RLA_230_460_3ph_60Hz.xlsx</t>
        </is>
      </c>
      <c r="AC848" t="inlineStr">
        <is>
          <t>Recip_2D-9R</t>
        </is>
      </c>
    </row>
    <row r="849">
      <c r="A849" t="inlineStr">
        <is>
          <t>COPELAND</t>
        </is>
      </c>
      <c r="B849" t="inlineStr">
        <is>
          <t>4DP8A150E-TSK</t>
        </is>
      </c>
      <c r="D849" t="inlineStr">
        <is>
          <t>Reciprocating Semi-hermetic</t>
        </is>
      </c>
      <c r="E849" s="2" t="n">
        <v>3</v>
      </c>
      <c r="F849" s="2" t="n">
        <v>60</v>
      </c>
      <c r="G849" s="2" t="n">
        <v>460</v>
      </c>
      <c r="H849" t="inlineStr">
        <is>
          <t>460</t>
        </is>
      </c>
      <c r="I849" s="2" t="n">
        <v>460</v>
      </c>
      <c r="J849" s="2" t="n">
        <v>460</v>
      </c>
      <c r="L849" s="3" t="n"/>
      <c r="M849" s="3" t="n"/>
      <c r="N849" s="3" t="n">
        <v>26.3</v>
      </c>
      <c r="O849" s="3" t="n"/>
      <c r="P849" s="3">
        <f>IF(L849&lt;&gt;"",L849/1.4,"")</f>
        <v/>
      </c>
      <c r="Q849" s="3">
        <f>IF(L849&lt;&gt;"",L849/1.56,"")</f>
        <v/>
      </c>
      <c r="R849" s="3">
        <f>IF(M849&lt;&gt;"",M849/1.4,"")</f>
        <v/>
      </c>
      <c r="S849" s="3">
        <f>IF(M849&lt;&gt;"",M849/1.56,"")</f>
        <v/>
      </c>
      <c r="T849" s="3">
        <f>IF(N849&lt;&gt;"",N849,IF(O849&lt;&gt;"",O849,IF(L849&lt;&gt;"",L849/1.56,IF(M849&lt;&gt;"",M849/1.56,""))))</f>
        <v/>
      </c>
      <c r="U849" s="3" t="n">
        <v>139</v>
      </c>
      <c r="V849" s="3" t="n"/>
      <c r="W849" s="3" t="n"/>
      <c r="X849" s="4" t="n"/>
      <c r="Y849" s="5" t="n">
        <v>0.832</v>
      </c>
      <c r="Z849" s="4">
        <f>IF(L849&lt;&gt;"",SQRT(3)*G849*L849/1000,"")</f>
        <v/>
      </c>
      <c r="AA849" t="inlineStr">
        <is>
          <t>Source=Copeland 2D/3D/4D/4R/6D/8D/9R compressors (pdf) p35</t>
        </is>
      </c>
      <c r="AB849" t="inlineStr">
        <is>
          <t>Copeland_RLA_230_460_3ph_60Hz.xlsx</t>
        </is>
      </c>
      <c r="AC849" t="inlineStr">
        <is>
          <t>Recip_2D-9R</t>
        </is>
      </c>
    </row>
    <row r="850">
      <c r="A850" t="inlineStr">
        <is>
          <t>COPELAND</t>
        </is>
      </c>
      <c r="B850" t="inlineStr">
        <is>
          <t>4DP8A150L-TSK</t>
        </is>
      </c>
      <c r="D850" t="inlineStr">
        <is>
          <t>Reciprocating Semi-hermetic</t>
        </is>
      </c>
      <c r="E850" s="2" t="n">
        <v>3</v>
      </c>
      <c r="F850" s="2" t="n">
        <v>60</v>
      </c>
      <c r="G850" s="2" t="n">
        <v>230</v>
      </c>
      <c r="H850" t="inlineStr">
        <is>
          <t>208/230</t>
        </is>
      </c>
      <c r="I850" s="2" t="n">
        <v>208</v>
      </c>
      <c r="J850" s="2" t="n">
        <v>230</v>
      </c>
      <c r="L850" s="3" t="n"/>
      <c r="M850" s="3" t="n"/>
      <c r="N850" s="3" t="n">
        <v>52.6</v>
      </c>
      <c r="O850" s="3" t="n"/>
      <c r="P850" s="3">
        <f>IF(L850&lt;&gt;"",L850/1.4,"")</f>
        <v/>
      </c>
      <c r="Q850" s="3">
        <f>IF(L850&lt;&gt;"",L850/1.56,"")</f>
        <v/>
      </c>
      <c r="R850" s="3">
        <f>IF(M850&lt;&gt;"",M850/1.4,"")</f>
        <v/>
      </c>
      <c r="S850" s="3">
        <f>IF(M850&lt;&gt;"",M850/1.56,"")</f>
        <v/>
      </c>
      <c r="T850" s="3">
        <f>IF(N850&lt;&gt;"",N850,IF(O850&lt;&gt;"",O850,IF(L850&lt;&gt;"",L850/1.56,IF(M850&lt;&gt;"",M850/1.56,""))))</f>
        <v/>
      </c>
      <c r="U850" s="3" t="n">
        <v>278</v>
      </c>
      <c r="V850" s="3" t="n">
        <v>170</v>
      </c>
      <c r="W850" s="3" t="n"/>
      <c r="X850" s="4" t="n"/>
      <c r="Y850" s="5" t="n">
        <v>0.208</v>
      </c>
      <c r="Z850" s="4">
        <f>IF(L850&lt;&gt;"",SQRT(3)*G850*L850/1000,"")</f>
        <v/>
      </c>
      <c r="AA850" t="inlineStr">
        <is>
          <t>Source=Copeland 2D/3D/4D/4R/6D/8D/9R compressors (pdf) p35; PWS_RLA=26.3</t>
        </is>
      </c>
      <c r="AB850" t="inlineStr">
        <is>
          <t>Copeland_RLA_230_460_3ph_60Hz.xlsx</t>
        </is>
      </c>
      <c r="AC850" t="inlineStr">
        <is>
          <t>Recip_2D-9R</t>
        </is>
      </c>
    </row>
    <row r="851">
      <c r="A851" t="inlineStr">
        <is>
          <t>COPELAND</t>
        </is>
      </c>
      <c r="B851" t="inlineStr">
        <is>
          <t>4DP8A150L-TSK</t>
        </is>
      </c>
      <c r="D851" t="inlineStr">
        <is>
          <t>Reciprocating Semi-hermetic</t>
        </is>
      </c>
      <c r="E851" s="2" t="n">
        <v>3</v>
      </c>
      <c r="F851" s="2" t="n">
        <v>60</v>
      </c>
      <c r="G851" s="2" t="n">
        <v>460</v>
      </c>
      <c r="H851" t="inlineStr">
        <is>
          <t>460</t>
        </is>
      </c>
      <c r="I851" s="2" t="n">
        <v>460</v>
      </c>
      <c r="J851" s="2" t="n">
        <v>460</v>
      </c>
      <c r="L851" s="3" t="n"/>
      <c r="M851" s="3" t="n"/>
      <c r="N851" s="3" t="n">
        <v>26.3</v>
      </c>
      <c r="O851" s="3" t="n"/>
      <c r="P851" s="3">
        <f>IF(L851&lt;&gt;"",L851/1.4,"")</f>
        <v/>
      </c>
      <c r="Q851" s="3">
        <f>IF(L851&lt;&gt;"",L851/1.56,"")</f>
        <v/>
      </c>
      <c r="R851" s="3">
        <f>IF(M851&lt;&gt;"",M851/1.4,"")</f>
        <v/>
      </c>
      <c r="S851" s="3">
        <f>IF(M851&lt;&gt;"",M851/1.56,"")</f>
        <v/>
      </c>
      <c r="T851" s="3">
        <f>IF(N851&lt;&gt;"",N851,IF(O851&lt;&gt;"",O851,IF(L851&lt;&gt;"",L851/1.56,IF(M851&lt;&gt;"",M851/1.56,""))))</f>
        <v/>
      </c>
      <c r="U851" s="3" t="n">
        <v>139</v>
      </c>
      <c r="V851" s="3" t="n"/>
      <c r="W851" s="3" t="n"/>
      <c r="X851" s="4" t="n"/>
      <c r="Y851" s="5" t="n">
        <v>0.832</v>
      </c>
      <c r="Z851" s="4">
        <f>IF(L851&lt;&gt;"",SQRT(3)*G851*L851/1000,"")</f>
        <v/>
      </c>
      <c r="AA851" t="inlineStr">
        <is>
          <t>Source=Copeland 2D/3D/4D/4R/6D/8D/9R compressors (pdf) p35</t>
        </is>
      </c>
      <c r="AB851" t="inlineStr">
        <is>
          <t>Copeland_RLA_230_460_3ph_60Hz.xlsx</t>
        </is>
      </c>
      <c r="AC851" t="inlineStr">
        <is>
          <t>Recip_2D-9R</t>
        </is>
      </c>
    </row>
    <row r="852">
      <c r="A852" t="inlineStr">
        <is>
          <t>COPELAND</t>
        </is>
      </c>
      <c r="B852" t="inlineStr">
        <is>
          <t>4DP8F63KE-TSK</t>
        </is>
      </c>
      <c r="D852" t="inlineStr">
        <is>
          <t>Reciprocating Semi-hermetic</t>
        </is>
      </c>
      <c r="E852" s="2" t="n">
        <v>3</v>
      </c>
      <c r="F852" s="2" t="n">
        <v>60</v>
      </c>
      <c r="G852" s="2" t="n">
        <v>230</v>
      </c>
      <c r="H852" t="inlineStr">
        <is>
          <t>208/230</t>
        </is>
      </c>
      <c r="I852" s="2" t="n">
        <v>208</v>
      </c>
      <c r="J852" s="2" t="n">
        <v>230</v>
      </c>
      <c r="L852" s="3" t="n"/>
      <c r="M852" s="3" t="n"/>
      <c r="N852" s="3" t="n">
        <v>52.6</v>
      </c>
      <c r="O852" s="3" t="n"/>
      <c r="P852" s="3">
        <f>IF(L852&lt;&gt;"",L852/1.4,"")</f>
        <v/>
      </c>
      <c r="Q852" s="3">
        <f>IF(L852&lt;&gt;"",L852/1.56,"")</f>
        <v/>
      </c>
      <c r="R852" s="3">
        <f>IF(M852&lt;&gt;"",M852/1.4,"")</f>
        <v/>
      </c>
      <c r="S852" s="3">
        <f>IF(M852&lt;&gt;"",M852/1.56,"")</f>
        <v/>
      </c>
      <c r="T852" s="3">
        <f>IF(N852&lt;&gt;"",N852,IF(O852&lt;&gt;"",O852,IF(L852&lt;&gt;"",L852/1.56,IF(M852&lt;&gt;"",M852/1.56,""))))</f>
        <v/>
      </c>
      <c r="U852" s="3" t="n">
        <v>278</v>
      </c>
      <c r="V852" s="3" t="n">
        <v>170</v>
      </c>
      <c r="W852" s="3" t="n"/>
      <c r="X852" s="4" t="n"/>
      <c r="Y852" s="5" t="n">
        <v>0.208</v>
      </c>
      <c r="Z852" s="4">
        <f>IF(L852&lt;&gt;"",SQRT(3)*G852*L852/1000,"")</f>
        <v/>
      </c>
      <c r="AA852" t="inlineStr">
        <is>
          <t>Source=Copeland 2D/3D/4D/4R/6D/8D/9R compressors (pdf) p35; PWS_RLA=26.3</t>
        </is>
      </c>
      <c r="AB852" t="inlineStr">
        <is>
          <t>Copeland_RLA_230_460_3ph_60Hz.xlsx</t>
        </is>
      </c>
      <c r="AC852" t="inlineStr">
        <is>
          <t>Recip_2D-9R</t>
        </is>
      </c>
    </row>
    <row r="853">
      <c r="A853" t="inlineStr">
        <is>
          <t>COPELAND</t>
        </is>
      </c>
      <c r="B853" t="inlineStr">
        <is>
          <t>4DP8F63KE-TSK</t>
        </is>
      </c>
      <c r="D853" t="inlineStr">
        <is>
          <t>Reciprocating Semi-hermetic</t>
        </is>
      </c>
      <c r="E853" s="2" t="n">
        <v>3</v>
      </c>
      <c r="F853" s="2" t="n">
        <v>60</v>
      </c>
      <c r="G853" s="2" t="n">
        <v>460</v>
      </c>
      <c r="H853" t="inlineStr">
        <is>
          <t>460</t>
        </is>
      </c>
      <c r="I853" s="2" t="n">
        <v>460</v>
      </c>
      <c r="J853" s="2" t="n">
        <v>460</v>
      </c>
      <c r="L853" s="3" t="n"/>
      <c r="M853" s="3" t="n"/>
      <c r="N853" s="3" t="n">
        <v>26.3</v>
      </c>
      <c r="O853" s="3" t="n"/>
      <c r="P853" s="3">
        <f>IF(L853&lt;&gt;"",L853/1.4,"")</f>
        <v/>
      </c>
      <c r="Q853" s="3">
        <f>IF(L853&lt;&gt;"",L853/1.56,"")</f>
        <v/>
      </c>
      <c r="R853" s="3">
        <f>IF(M853&lt;&gt;"",M853/1.4,"")</f>
        <v/>
      </c>
      <c r="S853" s="3">
        <f>IF(M853&lt;&gt;"",M853/1.56,"")</f>
        <v/>
      </c>
      <c r="T853" s="3">
        <f>IF(N853&lt;&gt;"",N853,IF(O853&lt;&gt;"",O853,IF(L853&lt;&gt;"",L853/1.56,IF(M853&lt;&gt;"",M853/1.56,""))))</f>
        <v/>
      </c>
      <c r="U853" s="3" t="n">
        <v>139</v>
      </c>
      <c r="V853" s="3" t="n"/>
      <c r="W853" s="3" t="n"/>
      <c r="X853" s="4" t="n"/>
      <c r="Y853" s="5" t="n">
        <v>0.832</v>
      </c>
      <c r="Z853" s="4">
        <f>IF(L853&lt;&gt;"",SQRT(3)*G853*L853/1000,"")</f>
        <v/>
      </c>
      <c r="AA853" t="inlineStr">
        <is>
          <t>Source=Copeland 2D/3D/4D/4R/6D/8D/9R compressors (pdf) p35</t>
        </is>
      </c>
      <c r="AB853" t="inlineStr">
        <is>
          <t>Copeland_RLA_230_460_3ph_60Hz.xlsx</t>
        </is>
      </c>
      <c r="AC853" t="inlineStr">
        <is>
          <t>Recip_2D-9R</t>
        </is>
      </c>
    </row>
    <row r="854">
      <c r="A854" t="inlineStr">
        <is>
          <t>COPELAND</t>
        </is>
      </c>
      <c r="B854" t="inlineStr">
        <is>
          <t>4DPG-1500-FSD</t>
        </is>
      </c>
      <c r="D854" t="inlineStr">
        <is>
          <t>Reciprocating Semi-hermetic</t>
        </is>
      </c>
      <c r="E854" s="2" t="n">
        <v>3</v>
      </c>
      <c r="F854" s="2" t="n">
        <v>60</v>
      </c>
      <c r="G854" s="2" t="n">
        <v>460</v>
      </c>
      <c r="H854" t="inlineStr">
        <is>
          <t>460</t>
        </is>
      </c>
      <c r="I854" s="2" t="n">
        <v>460</v>
      </c>
      <c r="J854" s="2" t="n">
        <v>460</v>
      </c>
      <c r="L854" s="3" t="n"/>
      <c r="M854" s="3" t="n"/>
      <c r="N854" s="3" t="n">
        <v>24.5</v>
      </c>
      <c r="O854" s="3" t="n"/>
      <c r="P854" s="3">
        <f>IF(L854&lt;&gt;"",L854/1.4,"")</f>
        <v/>
      </c>
      <c r="Q854" s="3">
        <f>IF(L854&lt;&gt;"",L854/1.56,"")</f>
        <v/>
      </c>
      <c r="R854" s="3">
        <f>IF(M854&lt;&gt;"",M854/1.4,"")</f>
        <v/>
      </c>
      <c r="S854" s="3">
        <f>IF(M854&lt;&gt;"",M854/1.56,"")</f>
        <v/>
      </c>
      <c r="T854" s="3">
        <f>IF(N854&lt;&gt;"",N854,IF(O854&lt;&gt;"",O854,IF(L854&lt;&gt;"",L854/1.56,IF(M854&lt;&gt;"",M854/1.56,""))))</f>
        <v/>
      </c>
      <c r="U854" s="3" t="n">
        <v>136</v>
      </c>
      <c r="V854" s="3" t="n">
        <v>81.59999999999999</v>
      </c>
      <c r="W854" s="3" t="n"/>
      <c r="X854" s="4" t="n"/>
      <c r="Y854" s="5" t="n">
        <v>0.84</v>
      </c>
      <c r="Z854" s="4">
        <f>IF(L854&lt;&gt;"",SQRT(3)*G854*L854/1000,"")</f>
        <v/>
      </c>
      <c r="AA854" t="inlineStr">
        <is>
          <t>Source=Copeland 2D/3D/4D/4R/6D/8D/9R compressors (pdf) p35; PWS_RLA=12.3</t>
        </is>
      </c>
      <c r="AB854" t="inlineStr">
        <is>
          <t>Copeland_RLA_230_460_3ph_60Hz.xlsx</t>
        </is>
      </c>
      <c r="AC854" t="inlineStr">
        <is>
          <t>Recip_2D-9R</t>
        </is>
      </c>
    </row>
    <row r="855">
      <c r="A855" t="inlineStr">
        <is>
          <t>COPELAND</t>
        </is>
      </c>
      <c r="B855" t="inlineStr">
        <is>
          <t>4DPG-150E-FSD</t>
        </is>
      </c>
      <c r="D855" t="inlineStr">
        <is>
          <t>Reciprocating Semi-hermetic</t>
        </is>
      </c>
      <c r="E855" s="2" t="n">
        <v>3</v>
      </c>
      <c r="F855" s="2" t="n">
        <v>60</v>
      </c>
      <c r="G855" s="2" t="n">
        <v>460</v>
      </c>
      <c r="H855" t="inlineStr">
        <is>
          <t>460</t>
        </is>
      </c>
      <c r="I855" s="2" t="n">
        <v>460</v>
      </c>
      <c r="J855" s="2" t="n">
        <v>460</v>
      </c>
      <c r="L855" s="3" t="n"/>
      <c r="M855" s="3" t="n"/>
      <c r="N855" s="3" t="n">
        <v>24.5</v>
      </c>
      <c r="O855" s="3" t="n"/>
      <c r="P855" s="3">
        <f>IF(L855&lt;&gt;"",L855/1.4,"")</f>
        <v/>
      </c>
      <c r="Q855" s="3">
        <f>IF(L855&lt;&gt;"",L855/1.56,"")</f>
        <v/>
      </c>
      <c r="R855" s="3">
        <f>IF(M855&lt;&gt;"",M855/1.4,"")</f>
        <v/>
      </c>
      <c r="S855" s="3">
        <f>IF(M855&lt;&gt;"",M855/1.56,"")</f>
        <v/>
      </c>
      <c r="T855" s="3">
        <f>IF(N855&lt;&gt;"",N855,IF(O855&lt;&gt;"",O855,IF(L855&lt;&gt;"",L855/1.56,IF(M855&lt;&gt;"",M855/1.56,""))))</f>
        <v/>
      </c>
      <c r="U855" s="3" t="n">
        <v>136</v>
      </c>
      <c r="V855" s="3" t="n">
        <v>81.59999999999999</v>
      </c>
      <c r="W855" s="3" t="n"/>
      <c r="X855" s="4" t="n"/>
      <c r="Y855" s="5" t="n">
        <v>0.84</v>
      </c>
      <c r="Z855" s="4">
        <f>IF(L855&lt;&gt;"",SQRT(3)*G855*L855/1000,"")</f>
        <v/>
      </c>
      <c r="AA855" t="inlineStr">
        <is>
          <t>Source=Copeland 2D/3D/4D/4R/6D/8D/9R compressors (pdf) p35; PWS_RLA=12.3</t>
        </is>
      </c>
      <c r="AB855" t="inlineStr">
        <is>
          <t>Copeland_RLA_230_460_3ph_60Hz.xlsx</t>
        </is>
      </c>
      <c r="AC855" t="inlineStr">
        <is>
          <t>Recip_2D-9R</t>
        </is>
      </c>
    </row>
    <row r="856">
      <c r="A856" t="inlineStr">
        <is>
          <t>COPELAND</t>
        </is>
      </c>
      <c r="B856" t="inlineStr">
        <is>
          <t>4DPG-150L-FSD</t>
        </is>
      </c>
      <c r="D856" t="inlineStr">
        <is>
          <t>Reciprocating Semi-hermetic</t>
        </is>
      </c>
      <c r="E856" s="2" t="n">
        <v>3</v>
      </c>
      <c r="F856" s="2" t="n">
        <v>60</v>
      </c>
      <c r="G856" s="2" t="n">
        <v>460</v>
      </c>
      <c r="H856" t="inlineStr">
        <is>
          <t>460</t>
        </is>
      </c>
      <c r="I856" s="2" t="n">
        <v>460</v>
      </c>
      <c r="J856" s="2" t="n">
        <v>460</v>
      </c>
      <c r="L856" s="3" t="n"/>
      <c r="M856" s="3" t="n"/>
      <c r="N856" s="3" t="n">
        <v>24.5</v>
      </c>
      <c r="O856" s="3" t="n"/>
      <c r="P856" s="3">
        <f>IF(L856&lt;&gt;"",L856/1.4,"")</f>
        <v/>
      </c>
      <c r="Q856" s="3">
        <f>IF(L856&lt;&gt;"",L856/1.56,"")</f>
        <v/>
      </c>
      <c r="R856" s="3">
        <f>IF(M856&lt;&gt;"",M856/1.4,"")</f>
        <v/>
      </c>
      <c r="S856" s="3">
        <f>IF(M856&lt;&gt;"",M856/1.56,"")</f>
        <v/>
      </c>
      <c r="T856" s="3">
        <f>IF(N856&lt;&gt;"",N856,IF(O856&lt;&gt;"",O856,IF(L856&lt;&gt;"",L856/1.56,IF(M856&lt;&gt;"",M856/1.56,""))))</f>
        <v/>
      </c>
      <c r="U856" s="3" t="n">
        <v>136</v>
      </c>
      <c r="V856" s="3" t="n">
        <v>81.59999999999999</v>
      </c>
      <c r="W856" s="3" t="n"/>
      <c r="X856" s="4" t="n"/>
      <c r="Y856" s="5" t="n">
        <v>0.84</v>
      </c>
      <c r="Z856" s="4">
        <f>IF(L856&lt;&gt;"",SQRT(3)*G856*L856/1000,"")</f>
        <v/>
      </c>
      <c r="AA856" t="inlineStr">
        <is>
          <t>Source=Copeland 2D/3D/4D/4R/6D/8D/9R compressors (pdf) p35; PWS_RLA=12.3</t>
        </is>
      </c>
      <c r="AB856" t="inlineStr">
        <is>
          <t>Copeland_RLA_230_460_3ph_60Hz.xlsx</t>
        </is>
      </c>
      <c r="AC856" t="inlineStr">
        <is>
          <t>Recip_2D-9R</t>
        </is>
      </c>
    </row>
    <row r="857">
      <c r="A857" t="inlineStr">
        <is>
          <t>COPELAND</t>
        </is>
      </c>
      <c r="B857" t="inlineStr">
        <is>
          <t>4DR1A2000-TSK</t>
        </is>
      </c>
      <c r="D857" t="inlineStr">
        <is>
          <t>Reciprocating Semi-hermetic</t>
        </is>
      </c>
      <c r="E857" s="2" t="n">
        <v>3</v>
      </c>
      <c r="F857" s="2" t="n">
        <v>60</v>
      </c>
      <c r="G857" s="2" t="n">
        <v>230</v>
      </c>
      <c r="H857" t="inlineStr">
        <is>
          <t>208/230</t>
        </is>
      </c>
      <c r="I857" s="2" t="n">
        <v>208</v>
      </c>
      <c r="J857" s="2" t="n">
        <v>230</v>
      </c>
      <c r="L857" s="3" t="n"/>
      <c r="M857" s="3" t="n"/>
      <c r="N857" s="3" t="n">
        <v>71.40000000000001</v>
      </c>
      <c r="O857" s="3" t="n"/>
      <c r="P857" s="3">
        <f>IF(L857&lt;&gt;"",L857/1.4,"")</f>
        <v/>
      </c>
      <c r="Q857" s="3">
        <f>IF(L857&lt;&gt;"",L857/1.56,"")</f>
        <v/>
      </c>
      <c r="R857" s="3">
        <f>IF(M857&lt;&gt;"",M857/1.4,"")</f>
        <v/>
      </c>
      <c r="S857" s="3">
        <f>IF(M857&lt;&gt;"",M857/1.56,"")</f>
        <v/>
      </c>
      <c r="T857" s="3">
        <f>IF(N857&lt;&gt;"",N857,IF(O857&lt;&gt;"",O857,IF(L857&lt;&gt;"",L857/1.56,IF(M857&lt;&gt;"",M857/1.56,""))))</f>
        <v/>
      </c>
      <c r="U857" s="3" t="n">
        <v>346</v>
      </c>
      <c r="V857" s="3" t="n">
        <v>208</v>
      </c>
      <c r="W857" s="3" t="n"/>
      <c r="X857" s="4" t="n"/>
      <c r="Y857" s="5" t="n">
        <v>0.142</v>
      </c>
      <c r="Z857" s="4">
        <f>IF(L857&lt;&gt;"",SQRT(3)*G857*L857/1000,"")</f>
        <v/>
      </c>
      <c r="AA857" t="inlineStr">
        <is>
          <t>Source=Copeland 2D/3D/4D/4R/6D/8D/9R compressors (pdf) p35; PWS_RLA=35.7</t>
        </is>
      </c>
      <c r="AB857" t="inlineStr">
        <is>
          <t>Copeland_RLA_230_460_3ph_60Hz.xlsx</t>
        </is>
      </c>
      <c r="AC857" t="inlineStr">
        <is>
          <t>Recip_2D-9R</t>
        </is>
      </c>
    </row>
    <row r="858">
      <c r="A858" t="inlineStr">
        <is>
          <t>COPELAND</t>
        </is>
      </c>
      <c r="B858" t="inlineStr">
        <is>
          <t>4DR1A2000-TSK</t>
        </is>
      </c>
      <c r="D858" t="inlineStr">
        <is>
          <t>Reciprocating Semi-hermetic</t>
        </is>
      </c>
      <c r="E858" s="2" t="n">
        <v>3</v>
      </c>
      <c r="F858" s="2" t="n">
        <v>60</v>
      </c>
      <c r="G858" s="2" t="n">
        <v>460</v>
      </c>
      <c r="H858" t="inlineStr">
        <is>
          <t>460</t>
        </is>
      </c>
      <c r="I858" s="2" t="n">
        <v>460</v>
      </c>
      <c r="J858" s="2" t="n">
        <v>460</v>
      </c>
      <c r="L858" s="3" t="n"/>
      <c r="M858" s="3" t="n"/>
      <c r="N858" s="3" t="n">
        <v>35.7</v>
      </c>
      <c r="O858" s="3" t="n"/>
      <c r="P858" s="3">
        <f>IF(L858&lt;&gt;"",L858/1.4,"")</f>
        <v/>
      </c>
      <c r="Q858" s="3">
        <f>IF(L858&lt;&gt;"",L858/1.56,"")</f>
        <v/>
      </c>
      <c r="R858" s="3">
        <f>IF(M858&lt;&gt;"",M858/1.4,"")</f>
        <v/>
      </c>
      <c r="S858" s="3">
        <f>IF(M858&lt;&gt;"",M858/1.56,"")</f>
        <v/>
      </c>
      <c r="T858" s="3">
        <f>IF(N858&lt;&gt;"",N858,IF(O858&lt;&gt;"",O858,IF(L858&lt;&gt;"",L858/1.56,IF(M858&lt;&gt;"",M858/1.56,""))))</f>
        <v/>
      </c>
      <c r="U858" s="3" t="n">
        <v>173</v>
      </c>
      <c r="V858" s="3" t="n"/>
      <c r="W858" s="3" t="n"/>
      <c r="X858" s="4" t="n"/>
      <c r="Y858" s="5" t="n">
        <v>0.5679999999999999</v>
      </c>
      <c r="Z858" s="4">
        <f>IF(L858&lt;&gt;"",SQRT(3)*G858*L858/1000,"")</f>
        <v/>
      </c>
      <c r="AA858" t="inlineStr">
        <is>
          <t>Source=Copeland 2D/3D/4D/4R/6D/8D/9R compressors (pdf) p35</t>
        </is>
      </c>
      <c r="AB858" t="inlineStr">
        <is>
          <t>Copeland_RLA_230_460_3ph_60Hz.xlsx</t>
        </is>
      </c>
      <c r="AC858" t="inlineStr">
        <is>
          <t>Recip_2D-9R</t>
        </is>
      </c>
    </row>
    <row r="859">
      <c r="A859" t="inlineStr">
        <is>
          <t>COPELAND</t>
        </is>
      </c>
      <c r="B859" t="inlineStr">
        <is>
          <t>4DR1A3000-FSD</t>
        </is>
      </c>
      <c r="D859" t="inlineStr">
        <is>
          <t>Reciprocating Semi-hermetic</t>
        </is>
      </c>
      <c r="E859" s="2" t="n">
        <v>3</v>
      </c>
      <c r="F859" s="2" t="n">
        <v>60</v>
      </c>
      <c r="G859" s="2" t="n">
        <v>460</v>
      </c>
      <c r="H859" t="inlineStr">
        <is>
          <t>460</t>
        </is>
      </c>
      <c r="I859" s="2" t="n">
        <v>460</v>
      </c>
      <c r="J859" s="2" t="n">
        <v>460</v>
      </c>
      <c r="L859" s="3" t="n"/>
      <c r="M859" s="3" t="n"/>
      <c r="N859" s="3" t="n">
        <v>59</v>
      </c>
      <c r="O859" s="3" t="n"/>
      <c r="P859" s="3">
        <f>IF(L859&lt;&gt;"",L859/1.4,"")</f>
        <v/>
      </c>
      <c r="Q859" s="3">
        <f>IF(L859&lt;&gt;"",L859/1.56,"")</f>
        <v/>
      </c>
      <c r="R859" s="3">
        <f>IF(M859&lt;&gt;"",M859/1.4,"")</f>
        <v/>
      </c>
      <c r="S859" s="3">
        <f>IF(M859&lt;&gt;"",M859/1.56,"")</f>
        <v/>
      </c>
      <c r="T859" s="3">
        <f>IF(N859&lt;&gt;"",N859,IF(O859&lt;&gt;"",O859,IF(L859&lt;&gt;"",L859/1.56,IF(M859&lt;&gt;"",M859/1.56,""))))</f>
        <v/>
      </c>
      <c r="U859" s="3" t="n">
        <v>235</v>
      </c>
      <c r="V859" s="3" t="n">
        <v>141</v>
      </c>
      <c r="W859" s="3" t="n"/>
      <c r="X859" s="4" t="n"/>
      <c r="Y859" s="5" t="n">
        <v>0.45</v>
      </c>
      <c r="Z859" s="4">
        <f>IF(L859&lt;&gt;"",SQRT(3)*G859*L859/1000,"")</f>
        <v/>
      </c>
      <c r="AA859" t="inlineStr">
        <is>
          <t>Source=Copeland 2D/3D/4D/4R/6D/8D/9R compressors (pdf) p35; PWS_RLA=29.5</t>
        </is>
      </c>
      <c r="AB859" t="inlineStr">
        <is>
          <t>Copeland_RLA_230_460_3ph_60Hz.xlsx</t>
        </is>
      </c>
      <c r="AC859" t="inlineStr">
        <is>
          <t>Recip_2D-9R</t>
        </is>
      </c>
    </row>
    <row r="860">
      <c r="A860" t="inlineStr">
        <is>
          <t>COPELAND</t>
        </is>
      </c>
      <c r="B860" t="inlineStr">
        <is>
          <t>4DR1A3000-FXD</t>
        </is>
      </c>
      <c r="D860" t="inlineStr">
        <is>
          <t>Reciprocating Semi-hermetic</t>
        </is>
      </c>
      <c r="E860" s="2" t="n">
        <v>3</v>
      </c>
      <c r="F860" s="2" t="n">
        <v>60</v>
      </c>
      <c r="G860" s="2" t="n">
        <v>460</v>
      </c>
      <c r="H860" t="inlineStr">
        <is>
          <t>460</t>
        </is>
      </c>
      <c r="I860" s="2" t="n">
        <v>460</v>
      </c>
      <c r="J860" s="2" t="n">
        <v>460</v>
      </c>
      <c r="L860" s="3" t="n"/>
      <c r="M860" s="3" t="n"/>
      <c r="N860" s="3" t="n"/>
      <c r="O860" s="3" t="n"/>
      <c r="P860" s="3">
        <f>IF(L860&lt;&gt;"",L860/1.4,"")</f>
        <v/>
      </c>
      <c r="Q860" s="3">
        <f>IF(L860&lt;&gt;"",L860/1.56,"")</f>
        <v/>
      </c>
      <c r="R860" s="3">
        <f>IF(M860&lt;&gt;"",M860/1.4,"")</f>
        <v/>
      </c>
      <c r="S860" s="3">
        <f>IF(M860&lt;&gt;"",M860/1.56,"")</f>
        <v/>
      </c>
      <c r="T860" s="3">
        <f>IF(N860&lt;&gt;"",N860,IF(O860&lt;&gt;"",O860,IF(L860&lt;&gt;"",L860/1.56,IF(M860&lt;&gt;"",M860/1.56,""))))</f>
        <v/>
      </c>
      <c r="U860" s="3" t="n">
        <v>235</v>
      </c>
      <c r="V860" s="3" t="n">
        <v>141</v>
      </c>
      <c r="W860" s="3" t="n"/>
      <c r="X860" s="4" t="n"/>
      <c r="Y860" s="5" t="n">
        <v>0.45</v>
      </c>
      <c r="Z860" s="4">
        <f>IF(L860&lt;&gt;"",SQRT(3)*G860*L860/1000,"")</f>
        <v/>
      </c>
      <c r="AA860" t="inlineStr">
        <is>
          <t>Source=Copeland 2D/3D/4D/4R/6D/8D/9R compressors (pdf) p35</t>
        </is>
      </c>
      <c r="AB860" t="inlineStr">
        <is>
          <t>Copeland_RLA_230_460_3ph_60Hz.xlsx</t>
        </is>
      </c>
      <c r="AC860" t="inlineStr">
        <is>
          <t>Recip_2D-9R</t>
        </is>
      </c>
    </row>
    <row r="861">
      <c r="A861" t="inlineStr">
        <is>
          <t>COPELAND</t>
        </is>
      </c>
      <c r="B861" t="inlineStr">
        <is>
          <t>4DR1A3000-TSK</t>
        </is>
      </c>
      <c r="D861" t="inlineStr">
        <is>
          <t>Reciprocating Semi-hermetic</t>
        </is>
      </c>
      <c r="E861" s="2" t="n">
        <v>3</v>
      </c>
      <c r="F861" s="2" t="n">
        <v>60</v>
      </c>
      <c r="G861" s="2" t="n">
        <v>230</v>
      </c>
      <c r="H861" t="inlineStr">
        <is>
          <t>208/230</t>
        </is>
      </c>
      <c r="I861" s="2" t="n">
        <v>208</v>
      </c>
      <c r="J861" s="2" t="n">
        <v>230</v>
      </c>
      <c r="L861" s="3" t="n"/>
      <c r="M861" s="3" t="n"/>
      <c r="N861" s="3" t="n">
        <v>117.9</v>
      </c>
      <c r="O861" s="3" t="n"/>
      <c r="P861" s="3">
        <f>IF(L861&lt;&gt;"",L861/1.4,"")</f>
        <v/>
      </c>
      <c r="Q861" s="3">
        <f>IF(L861&lt;&gt;"",L861/1.56,"")</f>
        <v/>
      </c>
      <c r="R861" s="3">
        <f>IF(M861&lt;&gt;"",M861/1.4,"")</f>
        <v/>
      </c>
      <c r="S861" s="3">
        <f>IF(M861&lt;&gt;"",M861/1.56,"")</f>
        <v/>
      </c>
      <c r="T861" s="3">
        <f>IF(N861&lt;&gt;"",N861,IF(O861&lt;&gt;"",O861,IF(L861&lt;&gt;"",L861/1.56,IF(M861&lt;&gt;"",M861/1.56,""))))</f>
        <v/>
      </c>
      <c r="U861" s="3" t="n">
        <v>470</v>
      </c>
      <c r="V861" s="3" t="n">
        <v>292</v>
      </c>
      <c r="W861" s="3" t="n"/>
      <c r="X861" s="4" t="n"/>
      <c r="Y861" s="5" t="n">
        <v>0.111</v>
      </c>
      <c r="Z861" s="4">
        <f>IF(L861&lt;&gt;"",SQRT(3)*G861*L861/1000,"")</f>
        <v/>
      </c>
      <c r="AA861" t="inlineStr">
        <is>
          <t>Source=Copeland 2D/3D/4D/4R/6D/8D/9R compressors (pdf) p35; PWS_RLA=59.0</t>
        </is>
      </c>
      <c r="AB861" t="inlineStr">
        <is>
          <t>Copeland_RLA_230_460_3ph_60Hz.xlsx</t>
        </is>
      </c>
      <c r="AC861" t="inlineStr">
        <is>
          <t>Recip_2D-9R</t>
        </is>
      </c>
    </row>
    <row r="862">
      <c r="A862" t="inlineStr">
        <is>
          <t>COPELAND</t>
        </is>
      </c>
      <c r="B862" t="inlineStr">
        <is>
          <t>4DR1A3000-TSK</t>
        </is>
      </c>
      <c r="D862" t="inlineStr">
        <is>
          <t>Reciprocating Semi-hermetic</t>
        </is>
      </c>
      <c r="E862" s="2" t="n">
        <v>3</v>
      </c>
      <c r="F862" s="2" t="n">
        <v>60</v>
      </c>
      <c r="G862" s="2" t="n">
        <v>460</v>
      </c>
      <c r="H862" t="inlineStr">
        <is>
          <t>460</t>
        </is>
      </c>
      <c r="I862" s="2" t="n">
        <v>460</v>
      </c>
      <c r="J862" s="2" t="n">
        <v>460</v>
      </c>
      <c r="L862" s="3" t="n"/>
      <c r="M862" s="3" t="n"/>
      <c r="N862" s="3" t="n">
        <v>58.9</v>
      </c>
      <c r="O862" s="3" t="n"/>
      <c r="P862" s="3">
        <f>IF(L862&lt;&gt;"",L862/1.4,"")</f>
        <v/>
      </c>
      <c r="Q862" s="3">
        <f>IF(L862&lt;&gt;"",L862/1.56,"")</f>
        <v/>
      </c>
      <c r="R862" s="3">
        <f>IF(M862&lt;&gt;"",M862/1.4,"")</f>
        <v/>
      </c>
      <c r="S862" s="3">
        <f>IF(M862&lt;&gt;"",M862/1.56,"")</f>
        <v/>
      </c>
      <c r="T862" s="3">
        <f>IF(N862&lt;&gt;"",N862,IF(O862&lt;&gt;"",O862,IF(L862&lt;&gt;"",L862/1.56,IF(M862&lt;&gt;"",M862/1.56,""))))</f>
        <v/>
      </c>
      <c r="U862" s="3" t="n">
        <v>235</v>
      </c>
      <c r="V862" s="3" t="n"/>
      <c r="W862" s="3" t="n"/>
      <c r="X862" s="4" t="n"/>
      <c r="Y862" s="5" t="n">
        <v>0.444</v>
      </c>
      <c r="Z862" s="4">
        <f>IF(L862&lt;&gt;"",SQRT(3)*G862*L862/1000,"")</f>
        <v/>
      </c>
      <c r="AA862" t="inlineStr">
        <is>
          <t>Source=Copeland 2D/3D/4D/4R/6D/8D/9R compressors (pdf) p35</t>
        </is>
      </c>
      <c r="AB862" t="inlineStr">
        <is>
          <t>Copeland_RLA_230_460_3ph_60Hz.xlsx</t>
        </is>
      </c>
      <c r="AC862" t="inlineStr">
        <is>
          <t>Recip_2D-9R</t>
        </is>
      </c>
    </row>
    <row r="863">
      <c r="A863" t="inlineStr">
        <is>
          <t>COPELAND</t>
        </is>
      </c>
      <c r="B863" t="inlineStr">
        <is>
          <t>4DR1A3000-TXK</t>
        </is>
      </c>
      <c r="D863" t="inlineStr">
        <is>
          <t>Reciprocating Semi-hermetic</t>
        </is>
      </c>
      <c r="E863" s="2" t="n">
        <v>3</v>
      </c>
      <c r="F863" s="2" t="n">
        <v>60</v>
      </c>
      <c r="G863" s="2" t="n">
        <v>230</v>
      </c>
      <c r="H863" t="inlineStr">
        <is>
          <t>208/230</t>
        </is>
      </c>
      <c r="I863" s="2" t="n">
        <v>208</v>
      </c>
      <c r="J863" s="2" t="n">
        <v>230</v>
      </c>
      <c r="L863" s="3" t="n"/>
      <c r="M863" s="3" t="n"/>
      <c r="N863" s="3" t="n"/>
      <c r="O863" s="3" t="n"/>
      <c r="P863" s="3">
        <f>IF(L863&lt;&gt;"",L863/1.4,"")</f>
        <v/>
      </c>
      <c r="Q863" s="3">
        <f>IF(L863&lt;&gt;"",L863/1.56,"")</f>
        <v/>
      </c>
      <c r="R863" s="3">
        <f>IF(M863&lt;&gt;"",M863/1.4,"")</f>
        <v/>
      </c>
      <c r="S863" s="3">
        <f>IF(M863&lt;&gt;"",M863/1.56,"")</f>
        <v/>
      </c>
      <c r="T863" s="3">
        <f>IF(N863&lt;&gt;"",N863,IF(O863&lt;&gt;"",O863,IF(L863&lt;&gt;"",L863/1.56,IF(M863&lt;&gt;"",M863/1.56,""))))</f>
        <v/>
      </c>
      <c r="U863" s="3" t="n">
        <v>470</v>
      </c>
      <c r="V863" s="3" t="n">
        <v>292</v>
      </c>
      <c r="W863" s="3" t="n"/>
      <c r="X863" s="4" t="n"/>
      <c r="Y863" s="5" t="n">
        <v>0.111</v>
      </c>
      <c r="Z863" s="4">
        <f>IF(L863&lt;&gt;"",SQRT(3)*G863*L863/1000,"")</f>
        <v/>
      </c>
      <c r="AA863" t="inlineStr">
        <is>
          <t>Source=Copeland 2D/3D/4D/4R/6D/8D/9R compressors (pdf) p35</t>
        </is>
      </c>
      <c r="AB863" t="inlineStr">
        <is>
          <t>Copeland_RLA_230_460_3ph_60Hz.xlsx</t>
        </is>
      </c>
      <c r="AC863" t="inlineStr">
        <is>
          <t>Recip_2D-9R</t>
        </is>
      </c>
    </row>
    <row r="864">
      <c r="A864" t="inlineStr">
        <is>
          <t>COPELAND</t>
        </is>
      </c>
      <c r="B864" t="inlineStr">
        <is>
          <t>4DR1A3000-TXK</t>
        </is>
      </c>
      <c r="D864" t="inlineStr">
        <is>
          <t>Reciprocating Semi-hermetic</t>
        </is>
      </c>
      <c r="E864" s="2" t="n">
        <v>3</v>
      </c>
      <c r="F864" s="2" t="n">
        <v>60</v>
      </c>
      <c r="G864" s="2" t="n">
        <v>460</v>
      </c>
      <c r="H864" t="inlineStr">
        <is>
          <t>460</t>
        </is>
      </c>
      <c r="I864" s="2" t="n">
        <v>460</v>
      </c>
      <c r="J864" s="2" t="n">
        <v>460</v>
      </c>
      <c r="L864" s="3" t="n"/>
      <c r="M864" s="3" t="n"/>
      <c r="N864" s="3" t="n"/>
      <c r="O864" s="3" t="n"/>
      <c r="P864" s="3">
        <f>IF(L864&lt;&gt;"",L864/1.4,"")</f>
        <v/>
      </c>
      <c r="Q864" s="3">
        <f>IF(L864&lt;&gt;"",L864/1.56,"")</f>
        <v/>
      </c>
      <c r="R864" s="3">
        <f>IF(M864&lt;&gt;"",M864/1.4,"")</f>
        <v/>
      </c>
      <c r="S864" s="3">
        <f>IF(M864&lt;&gt;"",M864/1.56,"")</f>
        <v/>
      </c>
      <c r="T864" s="3">
        <f>IF(N864&lt;&gt;"",N864,IF(O864&lt;&gt;"",O864,IF(L864&lt;&gt;"",L864/1.56,IF(M864&lt;&gt;"",M864/1.56,""))))</f>
        <v/>
      </c>
      <c r="U864" s="3" t="n">
        <v>235</v>
      </c>
      <c r="V864" s="3" t="n"/>
      <c r="W864" s="3" t="n"/>
      <c r="X864" s="4" t="n"/>
      <c r="Y864" s="5" t="n">
        <v>0.444</v>
      </c>
      <c r="Z864" s="4">
        <f>IF(L864&lt;&gt;"",SQRT(3)*G864*L864/1000,"")</f>
        <v/>
      </c>
      <c r="AA864" t="inlineStr">
        <is>
          <t>Source=Copeland 2D/3D/4D/4R/6D/8D/9R compressors (pdf) p35</t>
        </is>
      </c>
      <c r="AB864" t="inlineStr">
        <is>
          <t>Copeland_RLA_230_460_3ph_60Hz.xlsx</t>
        </is>
      </c>
      <c r="AC864" t="inlineStr">
        <is>
          <t>Recip_2D-9R</t>
        </is>
      </c>
    </row>
    <row r="865">
      <c r="A865" t="inlineStr">
        <is>
          <t>COPELAND</t>
        </is>
      </c>
      <c r="B865" t="inlineStr">
        <is>
          <t>4DR1R28M0-FSD</t>
        </is>
      </c>
      <c r="D865" t="inlineStr">
        <is>
          <t>Reciprocating Semi-hermetic</t>
        </is>
      </c>
      <c r="E865" s="2" t="n">
        <v>3</v>
      </c>
      <c r="F865" s="2" t="n">
        <v>60</v>
      </c>
      <c r="G865" s="2" t="n">
        <v>460</v>
      </c>
      <c r="H865" t="inlineStr">
        <is>
          <t>460</t>
        </is>
      </c>
      <c r="I865" s="2" t="n">
        <v>460</v>
      </c>
      <c r="J865" s="2" t="n">
        <v>460</v>
      </c>
      <c r="L865" s="3" t="n"/>
      <c r="M865" s="3" t="n"/>
      <c r="N865" s="3" t="n">
        <v>59</v>
      </c>
      <c r="O865" s="3" t="n"/>
      <c r="P865" s="3">
        <f>IF(L865&lt;&gt;"",L865/1.4,"")</f>
        <v/>
      </c>
      <c r="Q865" s="3">
        <f>IF(L865&lt;&gt;"",L865/1.56,"")</f>
        <v/>
      </c>
      <c r="R865" s="3">
        <f>IF(M865&lt;&gt;"",M865/1.4,"")</f>
        <v/>
      </c>
      <c r="S865" s="3">
        <f>IF(M865&lt;&gt;"",M865/1.56,"")</f>
        <v/>
      </c>
      <c r="T865" s="3">
        <f>IF(N865&lt;&gt;"",N865,IF(O865&lt;&gt;"",O865,IF(L865&lt;&gt;"",L865/1.56,IF(M865&lt;&gt;"",M865/1.56,""))))</f>
        <v/>
      </c>
      <c r="U865" s="3" t="n">
        <v>235</v>
      </c>
      <c r="V865" s="3" t="n">
        <v>141</v>
      </c>
      <c r="W865" s="3" t="n"/>
      <c r="X865" s="4" t="n"/>
      <c r="Y865" s="5" t="n">
        <v>0.45</v>
      </c>
      <c r="Z865" s="4">
        <f>IF(L865&lt;&gt;"",SQRT(3)*G865*L865/1000,"")</f>
        <v/>
      </c>
      <c r="AA865" t="inlineStr">
        <is>
          <t>Source=Copeland 2D/3D/4D/4R/6D/8D/9R compressors (pdf) p35; PWS_RLA=29.5</t>
        </is>
      </c>
      <c r="AB865" t="inlineStr">
        <is>
          <t>Copeland_RLA_230_460_3ph_60Hz.xlsx</t>
        </is>
      </c>
      <c r="AC865" t="inlineStr">
        <is>
          <t>Recip_2D-9R</t>
        </is>
      </c>
    </row>
    <row r="866">
      <c r="A866" t="inlineStr">
        <is>
          <t>COPELAND</t>
        </is>
      </c>
      <c r="B866" t="inlineStr">
        <is>
          <t>4DR1R28M0-TSK</t>
        </is>
      </c>
      <c r="D866" t="inlineStr">
        <is>
          <t>Reciprocating Semi-hermetic</t>
        </is>
      </c>
      <c r="E866" s="2" t="n">
        <v>3</v>
      </c>
      <c r="F866" s="2" t="n">
        <v>60</v>
      </c>
      <c r="G866" s="2" t="n">
        <v>230</v>
      </c>
      <c r="H866" t="inlineStr">
        <is>
          <t>208/230</t>
        </is>
      </c>
      <c r="I866" s="2" t="n">
        <v>208</v>
      </c>
      <c r="J866" s="2" t="n">
        <v>230</v>
      </c>
      <c r="L866" s="3" t="n"/>
      <c r="M866" s="3" t="n"/>
      <c r="N866" s="3" t="n">
        <v>117.9</v>
      </c>
      <c r="O866" s="3" t="n"/>
      <c r="P866" s="3">
        <f>IF(L866&lt;&gt;"",L866/1.4,"")</f>
        <v/>
      </c>
      <c r="Q866" s="3">
        <f>IF(L866&lt;&gt;"",L866/1.56,"")</f>
        <v/>
      </c>
      <c r="R866" s="3">
        <f>IF(M866&lt;&gt;"",M866/1.4,"")</f>
        <v/>
      </c>
      <c r="S866" s="3">
        <f>IF(M866&lt;&gt;"",M866/1.56,"")</f>
        <v/>
      </c>
      <c r="T866" s="3">
        <f>IF(N866&lt;&gt;"",N866,IF(O866&lt;&gt;"",O866,IF(L866&lt;&gt;"",L866/1.56,IF(M866&lt;&gt;"",M866/1.56,""))))</f>
        <v/>
      </c>
      <c r="U866" s="3" t="n">
        <v>470</v>
      </c>
      <c r="V866" s="3" t="n">
        <v>292</v>
      </c>
      <c r="W866" s="3" t="n"/>
      <c r="X866" s="4" t="n"/>
      <c r="Y866" s="5" t="n">
        <v>0.111</v>
      </c>
      <c r="Z866" s="4">
        <f>IF(L866&lt;&gt;"",SQRT(3)*G866*L866/1000,"")</f>
        <v/>
      </c>
      <c r="AA866" t="inlineStr">
        <is>
          <t>Source=Copeland 2D/3D/4D/4R/6D/8D/9R compressors (pdf) p35; PWS_RLA=59.0</t>
        </is>
      </c>
      <c r="AB866" t="inlineStr">
        <is>
          <t>Copeland_RLA_230_460_3ph_60Hz.xlsx</t>
        </is>
      </c>
      <c r="AC866" t="inlineStr">
        <is>
          <t>Recip_2D-9R</t>
        </is>
      </c>
    </row>
    <row r="867">
      <c r="A867" t="inlineStr">
        <is>
          <t>COPELAND</t>
        </is>
      </c>
      <c r="B867" t="inlineStr">
        <is>
          <t>4DR1R28M0-TSK</t>
        </is>
      </c>
      <c r="D867" t="inlineStr">
        <is>
          <t>Reciprocating Semi-hermetic</t>
        </is>
      </c>
      <c r="E867" s="2" t="n">
        <v>3</v>
      </c>
      <c r="F867" s="2" t="n">
        <v>60</v>
      </c>
      <c r="G867" s="2" t="n">
        <v>460</v>
      </c>
      <c r="H867" t="inlineStr">
        <is>
          <t>460</t>
        </is>
      </c>
      <c r="I867" s="2" t="n">
        <v>460</v>
      </c>
      <c r="J867" s="2" t="n">
        <v>460</v>
      </c>
      <c r="L867" s="3" t="n"/>
      <c r="M867" s="3" t="n"/>
      <c r="N867" s="3" t="n">
        <v>58.9</v>
      </c>
      <c r="O867" s="3" t="n"/>
      <c r="P867" s="3">
        <f>IF(L867&lt;&gt;"",L867/1.4,"")</f>
        <v/>
      </c>
      <c r="Q867" s="3">
        <f>IF(L867&lt;&gt;"",L867/1.56,"")</f>
        <v/>
      </c>
      <c r="R867" s="3">
        <f>IF(M867&lt;&gt;"",M867/1.4,"")</f>
        <v/>
      </c>
      <c r="S867" s="3">
        <f>IF(M867&lt;&gt;"",M867/1.56,"")</f>
        <v/>
      </c>
      <c r="T867" s="3">
        <f>IF(N867&lt;&gt;"",N867,IF(O867&lt;&gt;"",O867,IF(L867&lt;&gt;"",L867/1.56,IF(M867&lt;&gt;"",M867/1.56,""))))</f>
        <v/>
      </c>
      <c r="U867" s="3" t="n">
        <v>235</v>
      </c>
      <c r="V867" s="3" t="n"/>
      <c r="W867" s="3" t="n"/>
      <c r="X867" s="4" t="n"/>
      <c r="Y867" s="5" t="n">
        <v>0.444</v>
      </c>
      <c r="Z867" s="4">
        <f>IF(L867&lt;&gt;"",SQRT(3)*G867*L867/1000,"")</f>
        <v/>
      </c>
      <c r="AA867" t="inlineStr">
        <is>
          <t>Source=Copeland 2D/3D/4D/4R/6D/8D/9R compressors (pdf) p36</t>
        </is>
      </c>
      <c r="AB867" t="inlineStr">
        <is>
          <t>Copeland_RLA_230_460_3ph_60Hz.xlsx</t>
        </is>
      </c>
      <c r="AC867" t="inlineStr">
        <is>
          <t>Recip_2D-9R</t>
        </is>
      </c>
    </row>
    <row r="868">
      <c r="A868" t="inlineStr">
        <is>
          <t>COPELAND</t>
        </is>
      </c>
      <c r="B868" t="inlineStr">
        <is>
          <t>4DR3-200E-TSK</t>
        </is>
      </c>
      <c r="D868" t="inlineStr">
        <is>
          <t>Reciprocating Semi-hermetic</t>
        </is>
      </c>
      <c r="E868" s="2" t="n">
        <v>3</v>
      </c>
      <c r="F868" s="2" t="n">
        <v>60</v>
      </c>
      <c r="G868" s="2" t="n">
        <v>230</v>
      </c>
      <c r="H868" t="inlineStr">
        <is>
          <t>208/230</t>
        </is>
      </c>
      <c r="I868" s="2" t="n">
        <v>208</v>
      </c>
      <c r="J868" s="2" t="n">
        <v>230</v>
      </c>
      <c r="L868" s="3" t="n"/>
      <c r="M868" s="3" t="n"/>
      <c r="N868" s="3" t="n">
        <v>66</v>
      </c>
      <c r="O868" s="3" t="n"/>
      <c r="P868" s="3">
        <f>IF(L868&lt;&gt;"",L868/1.4,"")</f>
        <v/>
      </c>
      <c r="Q868" s="3">
        <f>IF(L868&lt;&gt;"",L868/1.56,"")</f>
        <v/>
      </c>
      <c r="R868" s="3">
        <f>IF(M868&lt;&gt;"",M868/1.4,"")</f>
        <v/>
      </c>
      <c r="S868" s="3">
        <f>IF(M868&lt;&gt;"",M868/1.56,"")</f>
        <v/>
      </c>
      <c r="T868" s="3">
        <f>IF(N868&lt;&gt;"",N868,IF(O868&lt;&gt;"",O868,IF(L868&lt;&gt;"",L868/1.56,IF(M868&lt;&gt;"",M868/1.56,""))))</f>
        <v/>
      </c>
      <c r="U868" s="3" t="n">
        <v>346</v>
      </c>
      <c r="V868" s="3" t="n">
        <v>208</v>
      </c>
      <c r="W868" s="3" t="n"/>
      <c r="X868" s="4" t="n"/>
      <c r="Y868" s="5" t="n">
        <v>0.142</v>
      </c>
      <c r="Z868" s="4">
        <f>IF(L868&lt;&gt;"",SQRT(3)*G868*L868/1000,"")</f>
        <v/>
      </c>
      <c r="AA868" t="inlineStr">
        <is>
          <t>Source=Copeland 2D/3D/4D/4R/6D/8D/9R compressors (pdf) p36; PWS_RLA=33.0</t>
        </is>
      </c>
      <c r="AB868" t="inlineStr">
        <is>
          <t>Copeland_RLA_230_460_3ph_60Hz.xlsx</t>
        </is>
      </c>
      <c r="AC868" t="inlineStr">
        <is>
          <t>Recip_2D-9R</t>
        </is>
      </c>
    </row>
    <row r="869">
      <c r="A869" t="inlineStr">
        <is>
          <t>COPELAND</t>
        </is>
      </c>
      <c r="B869" t="inlineStr">
        <is>
          <t>4DR3-200E-TSK</t>
        </is>
      </c>
      <c r="D869" t="inlineStr">
        <is>
          <t>Reciprocating Semi-hermetic</t>
        </is>
      </c>
      <c r="E869" s="2" t="n">
        <v>3</v>
      </c>
      <c r="F869" s="2" t="n">
        <v>60</v>
      </c>
      <c r="G869" s="2" t="n">
        <v>460</v>
      </c>
      <c r="H869" t="inlineStr">
        <is>
          <t>460</t>
        </is>
      </c>
      <c r="I869" s="2" t="n">
        <v>460</v>
      </c>
      <c r="J869" s="2" t="n">
        <v>460</v>
      </c>
      <c r="L869" s="3" t="n"/>
      <c r="M869" s="3" t="n"/>
      <c r="N869" s="3" t="n">
        <v>33</v>
      </c>
      <c r="O869" s="3" t="n"/>
      <c r="P869" s="3">
        <f>IF(L869&lt;&gt;"",L869/1.4,"")</f>
        <v/>
      </c>
      <c r="Q869" s="3">
        <f>IF(L869&lt;&gt;"",L869/1.56,"")</f>
        <v/>
      </c>
      <c r="R869" s="3">
        <f>IF(M869&lt;&gt;"",M869/1.4,"")</f>
        <v/>
      </c>
      <c r="S869" s="3">
        <f>IF(M869&lt;&gt;"",M869/1.56,"")</f>
        <v/>
      </c>
      <c r="T869" s="3">
        <f>IF(N869&lt;&gt;"",N869,IF(O869&lt;&gt;"",O869,IF(L869&lt;&gt;"",L869/1.56,IF(M869&lt;&gt;"",M869/1.56,""))))</f>
        <v/>
      </c>
      <c r="U869" s="3" t="n">
        <v>173</v>
      </c>
      <c r="V869" s="3" t="n"/>
      <c r="W869" s="3" t="n"/>
      <c r="X869" s="4" t="n"/>
      <c r="Y869" s="5" t="n">
        <v>0.5679999999999999</v>
      </c>
      <c r="Z869" s="4">
        <f>IF(L869&lt;&gt;"",SQRT(3)*G869*L869/1000,"")</f>
        <v/>
      </c>
      <c r="AA869" t="inlineStr">
        <is>
          <t>Source=Copeland 2D/3D/4D/4R/6D/8D/9R compressors (pdf) p36</t>
        </is>
      </c>
      <c r="AB869" t="inlineStr">
        <is>
          <t>Copeland_RLA_230_460_3ph_60Hz.xlsx</t>
        </is>
      </c>
      <c r="AC869" t="inlineStr">
        <is>
          <t>Recip_2D-9R</t>
        </is>
      </c>
    </row>
    <row r="870">
      <c r="A870" t="inlineStr">
        <is>
          <t>COPELAND</t>
        </is>
      </c>
      <c r="B870" t="inlineStr">
        <is>
          <t>4DR3-200L-TSK</t>
        </is>
      </c>
      <c r="D870" t="inlineStr">
        <is>
          <t>Reciprocating Semi-hermetic</t>
        </is>
      </c>
      <c r="E870" s="2" t="n">
        <v>3</v>
      </c>
      <c r="F870" s="2" t="n">
        <v>60</v>
      </c>
      <c r="G870" s="2" t="n">
        <v>230</v>
      </c>
      <c r="H870" t="inlineStr">
        <is>
          <t>208/230</t>
        </is>
      </c>
      <c r="I870" s="2" t="n">
        <v>208</v>
      </c>
      <c r="J870" s="2" t="n">
        <v>230</v>
      </c>
      <c r="L870" s="3" t="n"/>
      <c r="M870" s="3" t="n"/>
      <c r="N870" s="3" t="n">
        <v>66</v>
      </c>
      <c r="O870" s="3" t="n"/>
      <c r="P870" s="3">
        <f>IF(L870&lt;&gt;"",L870/1.4,"")</f>
        <v/>
      </c>
      <c r="Q870" s="3">
        <f>IF(L870&lt;&gt;"",L870/1.56,"")</f>
        <v/>
      </c>
      <c r="R870" s="3">
        <f>IF(M870&lt;&gt;"",M870/1.4,"")</f>
        <v/>
      </c>
      <c r="S870" s="3">
        <f>IF(M870&lt;&gt;"",M870/1.56,"")</f>
        <v/>
      </c>
      <c r="T870" s="3">
        <f>IF(N870&lt;&gt;"",N870,IF(O870&lt;&gt;"",O870,IF(L870&lt;&gt;"",L870/1.56,IF(M870&lt;&gt;"",M870/1.56,""))))</f>
        <v/>
      </c>
      <c r="U870" s="3" t="n">
        <v>346</v>
      </c>
      <c r="V870" s="3" t="n">
        <v>208</v>
      </c>
      <c r="W870" s="3" t="n"/>
      <c r="X870" s="4" t="n"/>
      <c r="Y870" s="5" t="n">
        <v>0.142</v>
      </c>
      <c r="Z870" s="4">
        <f>IF(L870&lt;&gt;"",SQRT(3)*G870*L870/1000,"")</f>
        <v/>
      </c>
      <c r="AA870" t="inlineStr">
        <is>
          <t>Source=Copeland 2D/3D/4D/4R/6D/8D/9R compressors (pdf) p36; PWS_RLA=33.0</t>
        </is>
      </c>
      <c r="AB870" t="inlineStr">
        <is>
          <t>Copeland_RLA_230_460_3ph_60Hz.xlsx</t>
        </is>
      </c>
      <c r="AC870" t="inlineStr">
        <is>
          <t>Recip_2D-9R</t>
        </is>
      </c>
    </row>
    <row r="871">
      <c r="A871" t="inlineStr">
        <is>
          <t>COPELAND</t>
        </is>
      </c>
      <c r="B871" t="inlineStr">
        <is>
          <t>4DR3-200L-TSK</t>
        </is>
      </c>
      <c r="D871" t="inlineStr">
        <is>
          <t>Reciprocating Semi-hermetic</t>
        </is>
      </c>
      <c r="E871" s="2" t="n">
        <v>3</v>
      </c>
      <c r="F871" s="2" t="n">
        <v>60</v>
      </c>
      <c r="G871" s="2" t="n">
        <v>460</v>
      </c>
      <c r="H871" t="inlineStr">
        <is>
          <t>460</t>
        </is>
      </c>
      <c r="I871" s="2" t="n">
        <v>460</v>
      </c>
      <c r="J871" s="2" t="n">
        <v>460</v>
      </c>
      <c r="L871" s="3" t="n"/>
      <c r="M871" s="3" t="n"/>
      <c r="N871" s="3" t="n">
        <v>33</v>
      </c>
      <c r="O871" s="3" t="n"/>
      <c r="P871" s="3">
        <f>IF(L871&lt;&gt;"",L871/1.4,"")</f>
        <v/>
      </c>
      <c r="Q871" s="3">
        <f>IF(L871&lt;&gt;"",L871/1.56,"")</f>
        <v/>
      </c>
      <c r="R871" s="3">
        <f>IF(M871&lt;&gt;"",M871/1.4,"")</f>
        <v/>
      </c>
      <c r="S871" s="3">
        <f>IF(M871&lt;&gt;"",M871/1.56,"")</f>
        <v/>
      </c>
      <c r="T871" s="3">
        <f>IF(N871&lt;&gt;"",N871,IF(O871&lt;&gt;"",O871,IF(L871&lt;&gt;"",L871/1.56,IF(M871&lt;&gt;"",M871/1.56,""))))</f>
        <v/>
      </c>
      <c r="U871" s="3" t="n">
        <v>173</v>
      </c>
      <c r="V871" s="3" t="n"/>
      <c r="W871" s="3" t="n"/>
      <c r="X871" s="4" t="n"/>
      <c r="Y871" s="5" t="n">
        <v>0.5679999999999999</v>
      </c>
      <c r="Z871" s="4">
        <f>IF(L871&lt;&gt;"",SQRT(3)*G871*L871/1000,"")</f>
        <v/>
      </c>
      <c r="AA871" t="inlineStr">
        <is>
          <t>Source=Copeland 2D/3D/4D/4R/6D/8D/9R compressors (pdf) p36</t>
        </is>
      </c>
      <c r="AB871" t="inlineStr">
        <is>
          <t>Copeland_RLA_230_460_3ph_60Hz.xlsx</t>
        </is>
      </c>
      <c r="AC871" t="inlineStr">
        <is>
          <t>Recip_2D-9R</t>
        </is>
      </c>
    </row>
    <row r="872">
      <c r="A872" t="inlineStr">
        <is>
          <t>COPELAND</t>
        </is>
      </c>
      <c r="B872" t="inlineStr">
        <is>
          <t>4DR3-270E-TSK</t>
        </is>
      </c>
      <c r="D872" t="inlineStr">
        <is>
          <t>Reciprocating Semi-hermetic</t>
        </is>
      </c>
      <c r="E872" s="2" t="n">
        <v>3</v>
      </c>
      <c r="F872" s="2" t="n">
        <v>60</v>
      </c>
      <c r="G872" s="2" t="n">
        <v>230</v>
      </c>
      <c r="H872" t="inlineStr">
        <is>
          <t>208/230</t>
        </is>
      </c>
      <c r="I872" s="2" t="n">
        <v>208</v>
      </c>
      <c r="J872" s="2" t="n">
        <v>230</v>
      </c>
      <c r="L872" s="3" t="n"/>
      <c r="M872" s="3" t="n"/>
      <c r="N872" s="3" t="n">
        <v>94</v>
      </c>
      <c r="O872" s="3" t="n"/>
      <c r="P872" s="3">
        <f>IF(L872&lt;&gt;"",L872/1.4,"")</f>
        <v/>
      </c>
      <c r="Q872" s="3">
        <f>IF(L872&lt;&gt;"",L872/1.56,"")</f>
        <v/>
      </c>
      <c r="R872" s="3">
        <f>IF(M872&lt;&gt;"",M872/1.4,"")</f>
        <v/>
      </c>
      <c r="S872" s="3">
        <f>IF(M872&lt;&gt;"",M872/1.56,"")</f>
        <v/>
      </c>
      <c r="T872" s="3">
        <f>IF(N872&lt;&gt;"",N872,IF(O872&lt;&gt;"",O872,IF(L872&lt;&gt;"",L872/1.56,IF(M872&lt;&gt;"",M872/1.56,""))))</f>
        <v/>
      </c>
      <c r="U872" s="3" t="n">
        <v>470</v>
      </c>
      <c r="V872" s="3" t="n">
        <v>292</v>
      </c>
      <c r="W872" s="3" t="n"/>
      <c r="X872" s="4" t="n"/>
      <c r="Y872" s="5" t="n">
        <v>0.111</v>
      </c>
      <c r="Z872" s="4">
        <f>IF(L872&lt;&gt;"",SQRT(3)*G872*L872/1000,"")</f>
        <v/>
      </c>
      <c r="AA872" t="inlineStr">
        <is>
          <t>Source=Copeland 2D/3D/4D/4R/6D/8D/9R compressors (pdf) p36; PWS_RLA=47.0</t>
        </is>
      </c>
      <c r="AB872" t="inlineStr">
        <is>
          <t>Copeland_RLA_230_460_3ph_60Hz.xlsx</t>
        </is>
      </c>
      <c r="AC872" t="inlineStr">
        <is>
          <t>Recip_2D-9R</t>
        </is>
      </c>
    </row>
    <row r="873">
      <c r="A873" t="inlineStr">
        <is>
          <t>COPELAND</t>
        </is>
      </c>
      <c r="B873" t="inlineStr">
        <is>
          <t>4DR3-270E-TSK</t>
        </is>
      </c>
      <c r="D873" t="inlineStr">
        <is>
          <t>Reciprocating Semi-hermetic</t>
        </is>
      </c>
      <c r="E873" s="2" t="n">
        <v>3</v>
      </c>
      <c r="F873" s="2" t="n">
        <v>60</v>
      </c>
      <c r="G873" s="2" t="n">
        <v>460</v>
      </c>
      <c r="H873" t="inlineStr">
        <is>
          <t>460</t>
        </is>
      </c>
      <c r="I873" s="2" t="n">
        <v>460</v>
      </c>
      <c r="J873" s="2" t="n">
        <v>460</v>
      </c>
      <c r="L873" s="3" t="n"/>
      <c r="M873" s="3" t="n"/>
      <c r="N873" s="3" t="n">
        <v>47</v>
      </c>
      <c r="O873" s="3" t="n"/>
      <c r="P873" s="3">
        <f>IF(L873&lt;&gt;"",L873/1.4,"")</f>
        <v/>
      </c>
      <c r="Q873" s="3">
        <f>IF(L873&lt;&gt;"",L873/1.56,"")</f>
        <v/>
      </c>
      <c r="R873" s="3">
        <f>IF(M873&lt;&gt;"",M873/1.4,"")</f>
        <v/>
      </c>
      <c r="S873" s="3">
        <f>IF(M873&lt;&gt;"",M873/1.56,"")</f>
        <v/>
      </c>
      <c r="T873" s="3">
        <f>IF(N873&lt;&gt;"",N873,IF(O873&lt;&gt;"",O873,IF(L873&lt;&gt;"",L873/1.56,IF(M873&lt;&gt;"",M873/1.56,""))))</f>
        <v/>
      </c>
      <c r="U873" s="3" t="n">
        <v>235</v>
      </c>
      <c r="V873" s="3" t="n"/>
      <c r="W873" s="3" t="n"/>
      <c r="X873" s="4" t="n"/>
      <c r="Y873" s="5" t="n">
        <v>0.444</v>
      </c>
      <c r="Z873" s="4">
        <f>IF(L873&lt;&gt;"",SQRT(3)*G873*L873/1000,"")</f>
        <v/>
      </c>
      <c r="AA873" t="inlineStr">
        <is>
          <t>Source=Copeland 2D/3D/4D/4R/6D/8D/9R compressors (pdf) p36</t>
        </is>
      </c>
      <c r="AB873" t="inlineStr">
        <is>
          <t>Copeland_RLA_230_460_3ph_60Hz.xlsx</t>
        </is>
      </c>
      <c r="AC873" t="inlineStr">
        <is>
          <t>Recip_2D-9R</t>
        </is>
      </c>
    </row>
    <row r="874">
      <c r="A874" t="inlineStr">
        <is>
          <t>COPELAND</t>
        </is>
      </c>
      <c r="B874" t="inlineStr">
        <is>
          <t>4DR3-270L-TSK</t>
        </is>
      </c>
      <c r="D874" t="inlineStr">
        <is>
          <t>Reciprocating Semi-hermetic</t>
        </is>
      </c>
      <c r="E874" s="2" t="n">
        <v>3</v>
      </c>
      <c r="F874" s="2" t="n">
        <v>60</v>
      </c>
      <c r="G874" s="2" t="n">
        <v>230</v>
      </c>
      <c r="H874" t="inlineStr">
        <is>
          <t>208/230</t>
        </is>
      </c>
      <c r="I874" s="2" t="n">
        <v>208</v>
      </c>
      <c r="J874" s="2" t="n">
        <v>230</v>
      </c>
      <c r="L874" s="3" t="n"/>
      <c r="M874" s="3" t="n"/>
      <c r="N874" s="3" t="n">
        <v>94</v>
      </c>
      <c r="O874" s="3" t="n"/>
      <c r="P874" s="3">
        <f>IF(L874&lt;&gt;"",L874/1.4,"")</f>
        <v/>
      </c>
      <c r="Q874" s="3">
        <f>IF(L874&lt;&gt;"",L874/1.56,"")</f>
        <v/>
      </c>
      <c r="R874" s="3">
        <f>IF(M874&lt;&gt;"",M874/1.4,"")</f>
        <v/>
      </c>
      <c r="S874" s="3">
        <f>IF(M874&lt;&gt;"",M874/1.56,"")</f>
        <v/>
      </c>
      <c r="T874" s="3">
        <f>IF(N874&lt;&gt;"",N874,IF(O874&lt;&gt;"",O874,IF(L874&lt;&gt;"",L874/1.56,IF(M874&lt;&gt;"",M874/1.56,""))))</f>
        <v/>
      </c>
      <c r="U874" s="3" t="n">
        <v>470</v>
      </c>
      <c r="V874" s="3" t="n">
        <v>292</v>
      </c>
      <c r="W874" s="3" t="n"/>
      <c r="X874" s="4" t="n"/>
      <c r="Y874" s="5" t="n">
        <v>0.111</v>
      </c>
      <c r="Z874" s="4">
        <f>IF(L874&lt;&gt;"",SQRT(3)*G874*L874/1000,"")</f>
        <v/>
      </c>
      <c r="AA874" t="inlineStr">
        <is>
          <t>Source=Copeland 2D/3D/4D/4R/6D/8D/9R compressors (pdf) p36; PWS_RLA=47.0</t>
        </is>
      </c>
      <c r="AB874" t="inlineStr">
        <is>
          <t>Copeland_RLA_230_460_3ph_60Hz.xlsx</t>
        </is>
      </c>
      <c r="AC874" t="inlineStr">
        <is>
          <t>Recip_2D-9R</t>
        </is>
      </c>
    </row>
    <row r="875">
      <c r="A875" t="inlineStr">
        <is>
          <t>COPELAND</t>
        </is>
      </c>
      <c r="B875" t="inlineStr">
        <is>
          <t>4DR3-270L-TSK</t>
        </is>
      </c>
      <c r="D875" t="inlineStr">
        <is>
          <t>Reciprocating Semi-hermetic</t>
        </is>
      </c>
      <c r="E875" s="2" t="n">
        <v>3</v>
      </c>
      <c r="F875" s="2" t="n">
        <v>60</v>
      </c>
      <c r="G875" s="2" t="n">
        <v>460</v>
      </c>
      <c r="H875" t="inlineStr">
        <is>
          <t>460</t>
        </is>
      </c>
      <c r="I875" s="2" t="n">
        <v>460</v>
      </c>
      <c r="J875" s="2" t="n">
        <v>460</v>
      </c>
      <c r="L875" s="3" t="n"/>
      <c r="M875" s="3" t="n"/>
      <c r="N875" s="3" t="n">
        <v>47</v>
      </c>
      <c r="O875" s="3" t="n"/>
      <c r="P875" s="3">
        <f>IF(L875&lt;&gt;"",L875/1.4,"")</f>
        <v/>
      </c>
      <c r="Q875" s="3">
        <f>IF(L875&lt;&gt;"",L875/1.56,"")</f>
        <v/>
      </c>
      <c r="R875" s="3">
        <f>IF(M875&lt;&gt;"",M875/1.4,"")</f>
        <v/>
      </c>
      <c r="S875" s="3">
        <f>IF(M875&lt;&gt;"",M875/1.56,"")</f>
        <v/>
      </c>
      <c r="T875" s="3">
        <f>IF(N875&lt;&gt;"",N875,IF(O875&lt;&gt;"",O875,IF(L875&lt;&gt;"",L875/1.56,IF(M875&lt;&gt;"",M875/1.56,""))))</f>
        <v/>
      </c>
      <c r="U875" s="3" t="n">
        <v>235</v>
      </c>
      <c r="V875" s="3" t="n"/>
      <c r="W875" s="3" t="n"/>
      <c r="X875" s="4" t="n"/>
      <c r="Y875" s="5" t="n">
        <v>0.444</v>
      </c>
      <c r="Z875" s="4">
        <f>IF(L875&lt;&gt;"",SQRT(3)*G875*L875/1000,"")</f>
        <v/>
      </c>
      <c r="AA875" t="inlineStr">
        <is>
          <t>Source=Copeland 2D/3D/4D/4R/6D/8D/9R compressors (pdf) p36</t>
        </is>
      </c>
      <c r="AB875" t="inlineStr">
        <is>
          <t>Copeland_RLA_230_460_3ph_60Hz.xlsx</t>
        </is>
      </c>
      <c r="AC875" t="inlineStr">
        <is>
          <t>Recip_2D-9R</t>
        </is>
      </c>
    </row>
    <row r="876">
      <c r="A876" t="inlineStr">
        <is>
          <t>COPELAND</t>
        </is>
      </c>
      <c r="B876" t="inlineStr">
        <is>
          <t>4DR3-3000-FSD</t>
        </is>
      </c>
      <c r="D876" t="inlineStr">
        <is>
          <t>Reciprocating Semi-hermetic</t>
        </is>
      </c>
      <c r="E876" s="2" t="n">
        <v>3</v>
      </c>
      <c r="F876" s="2" t="n">
        <v>60</v>
      </c>
      <c r="G876" s="2" t="n">
        <v>460</v>
      </c>
      <c r="H876" t="inlineStr">
        <is>
          <t>460</t>
        </is>
      </c>
      <c r="I876" s="2" t="n">
        <v>460</v>
      </c>
      <c r="J876" s="2" t="n">
        <v>460</v>
      </c>
      <c r="L876" s="3" t="n"/>
      <c r="M876" s="3" t="n"/>
      <c r="N876" s="3" t="n">
        <v>45</v>
      </c>
      <c r="O876" s="3" t="n"/>
      <c r="P876" s="3">
        <f>IF(L876&lt;&gt;"",L876/1.4,"")</f>
        <v/>
      </c>
      <c r="Q876" s="3">
        <f>IF(L876&lt;&gt;"",L876/1.56,"")</f>
        <v/>
      </c>
      <c r="R876" s="3">
        <f>IF(M876&lt;&gt;"",M876/1.4,"")</f>
        <v/>
      </c>
      <c r="S876" s="3">
        <f>IF(M876&lt;&gt;"",M876/1.56,"")</f>
        <v/>
      </c>
      <c r="T876" s="3">
        <f>IF(N876&lt;&gt;"",N876,IF(O876&lt;&gt;"",O876,IF(L876&lt;&gt;"",L876/1.56,IF(M876&lt;&gt;"",M876/1.56,""))))</f>
        <v/>
      </c>
      <c r="U876" s="3" t="n">
        <v>235</v>
      </c>
      <c r="V876" s="3" t="n">
        <v>141</v>
      </c>
      <c r="W876" s="3" t="n"/>
      <c r="X876" s="4" t="n"/>
      <c r="Y876" s="5" t="n">
        <v>0.45</v>
      </c>
      <c r="Z876" s="4">
        <f>IF(L876&lt;&gt;"",SQRT(3)*G876*L876/1000,"")</f>
        <v/>
      </c>
      <c r="AA876" t="inlineStr">
        <is>
          <t>Source=Copeland 2D/3D/4D/4R/6D/8D/9R compressors (pdf) p36; PWS_RLA=22.5</t>
        </is>
      </c>
      <c r="AB876" t="inlineStr">
        <is>
          <t>Copeland_RLA_230_460_3ph_60Hz.xlsx</t>
        </is>
      </c>
      <c r="AC876" t="inlineStr">
        <is>
          <t>Recip_2D-9R</t>
        </is>
      </c>
    </row>
    <row r="877">
      <c r="A877" t="inlineStr">
        <is>
          <t>COPELAND</t>
        </is>
      </c>
      <c r="B877" t="inlineStr">
        <is>
          <t>4DR3-3000-FXD</t>
        </is>
      </c>
      <c r="D877" t="inlineStr">
        <is>
          <t>Reciprocating Semi-hermetic</t>
        </is>
      </c>
      <c r="E877" s="2" t="n">
        <v>3</v>
      </c>
      <c r="F877" s="2" t="n">
        <v>60</v>
      </c>
      <c r="G877" s="2" t="n">
        <v>460</v>
      </c>
      <c r="H877" t="inlineStr">
        <is>
          <t>460</t>
        </is>
      </c>
      <c r="I877" s="2" t="n">
        <v>460</v>
      </c>
      <c r="J877" s="2" t="n">
        <v>460</v>
      </c>
      <c r="L877" s="3" t="n"/>
      <c r="M877" s="3" t="n"/>
      <c r="N877" s="3" t="n"/>
      <c r="O877" s="3" t="n"/>
      <c r="P877" s="3">
        <f>IF(L877&lt;&gt;"",L877/1.4,"")</f>
        <v/>
      </c>
      <c r="Q877" s="3">
        <f>IF(L877&lt;&gt;"",L877/1.56,"")</f>
        <v/>
      </c>
      <c r="R877" s="3">
        <f>IF(M877&lt;&gt;"",M877/1.4,"")</f>
        <v/>
      </c>
      <c r="S877" s="3">
        <f>IF(M877&lt;&gt;"",M877/1.56,"")</f>
        <v/>
      </c>
      <c r="T877" s="3">
        <f>IF(N877&lt;&gt;"",N877,IF(O877&lt;&gt;"",O877,IF(L877&lt;&gt;"",L877/1.56,IF(M877&lt;&gt;"",M877/1.56,""))))</f>
        <v/>
      </c>
      <c r="U877" s="3" t="n">
        <v>235</v>
      </c>
      <c r="V877" s="3" t="n">
        <v>141</v>
      </c>
      <c r="W877" s="3" t="n"/>
      <c r="X877" s="4" t="n"/>
      <c r="Y877" s="5" t="n">
        <v>0.45</v>
      </c>
      <c r="Z877" s="4">
        <f>IF(L877&lt;&gt;"",SQRT(3)*G877*L877/1000,"")</f>
        <v/>
      </c>
      <c r="AA877" t="inlineStr">
        <is>
          <t>Source=Copeland 2D/3D/4D/4R/6D/8D/9R compressors (pdf) p36</t>
        </is>
      </c>
      <c r="AB877" t="inlineStr">
        <is>
          <t>Copeland_RLA_230_460_3ph_60Hz.xlsx</t>
        </is>
      </c>
      <c r="AC877" t="inlineStr">
        <is>
          <t>Recip_2D-9R</t>
        </is>
      </c>
    </row>
    <row r="878">
      <c r="A878" t="inlineStr">
        <is>
          <t>COPELAND</t>
        </is>
      </c>
      <c r="B878" t="inlineStr">
        <is>
          <t>4DR3-3000-TSK</t>
        </is>
      </c>
      <c r="D878" t="inlineStr">
        <is>
          <t>Reciprocating Semi-hermetic</t>
        </is>
      </c>
      <c r="E878" s="2" t="n">
        <v>3</v>
      </c>
      <c r="F878" s="2" t="n">
        <v>60</v>
      </c>
      <c r="G878" s="2" t="n">
        <v>230</v>
      </c>
      <c r="H878" t="inlineStr">
        <is>
          <t>208/230</t>
        </is>
      </c>
      <c r="I878" s="2" t="n">
        <v>208</v>
      </c>
      <c r="J878" s="2" t="n">
        <v>230</v>
      </c>
      <c r="L878" s="3" t="n"/>
      <c r="M878" s="3" t="n"/>
      <c r="N878" s="3" t="n">
        <v>94</v>
      </c>
      <c r="O878" s="3" t="n"/>
      <c r="P878" s="3">
        <f>IF(L878&lt;&gt;"",L878/1.4,"")</f>
        <v/>
      </c>
      <c r="Q878" s="3">
        <f>IF(L878&lt;&gt;"",L878/1.56,"")</f>
        <v/>
      </c>
      <c r="R878" s="3">
        <f>IF(M878&lt;&gt;"",M878/1.4,"")</f>
        <v/>
      </c>
      <c r="S878" s="3">
        <f>IF(M878&lt;&gt;"",M878/1.56,"")</f>
        <v/>
      </c>
      <c r="T878" s="3">
        <f>IF(N878&lt;&gt;"",N878,IF(O878&lt;&gt;"",O878,IF(L878&lt;&gt;"",L878/1.56,IF(M878&lt;&gt;"",M878/1.56,""))))</f>
        <v/>
      </c>
      <c r="U878" s="3" t="n">
        <v>470</v>
      </c>
      <c r="V878" s="3" t="n">
        <v>292</v>
      </c>
      <c r="W878" s="3" t="n"/>
      <c r="X878" s="4" t="n"/>
      <c r="Y878" s="5" t="n">
        <v>0.111</v>
      </c>
      <c r="Z878" s="4">
        <f>IF(L878&lt;&gt;"",SQRT(3)*G878*L878/1000,"")</f>
        <v/>
      </c>
      <c r="AA878" t="inlineStr">
        <is>
          <t>Source=Copeland 2D/3D/4D/4R/6D/8D/9R compressors (pdf) p36; PWS_RLA=47.0</t>
        </is>
      </c>
      <c r="AB878" t="inlineStr">
        <is>
          <t>Copeland_RLA_230_460_3ph_60Hz.xlsx</t>
        </is>
      </c>
      <c r="AC878" t="inlineStr">
        <is>
          <t>Recip_2D-9R</t>
        </is>
      </c>
    </row>
    <row r="879">
      <c r="A879" t="inlineStr">
        <is>
          <t>COPELAND</t>
        </is>
      </c>
      <c r="B879" t="inlineStr">
        <is>
          <t>4DR3-3000-TSK</t>
        </is>
      </c>
      <c r="D879" t="inlineStr">
        <is>
          <t>Reciprocating Semi-hermetic</t>
        </is>
      </c>
      <c r="E879" s="2" t="n">
        <v>3</v>
      </c>
      <c r="F879" s="2" t="n">
        <v>60</v>
      </c>
      <c r="G879" s="2" t="n">
        <v>460</v>
      </c>
      <c r="H879" t="inlineStr">
        <is>
          <t>460</t>
        </is>
      </c>
      <c r="I879" s="2" t="n">
        <v>460</v>
      </c>
      <c r="J879" s="2" t="n">
        <v>460</v>
      </c>
      <c r="L879" s="3" t="n"/>
      <c r="M879" s="3" t="n"/>
      <c r="N879" s="3" t="n">
        <v>47</v>
      </c>
      <c r="O879" s="3" t="n"/>
      <c r="P879" s="3">
        <f>IF(L879&lt;&gt;"",L879/1.4,"")</f>
        <v/>
      </c>
      <c r="Q879" s="3">
        <f>IF(L879&lt;&gt;"",L879/1.56,"")</f>
        <v/>
      </c>
      <c r="R879" s="3">
        <f>IF(M879&lt;&gt;"",M879/1.4,"")</f>
        <v/>
      </c>
      <c r="S879" s="3">
        <f>IF(M879&lt;&gt;"",M879/1.56,"")</f>
        <v/>
      </c>
      <c r="T879" s="3">
        <f>IF(N879&lt;&gt;"",N879,IF(O879&lt;&gt;"",O879,IF(L879&lt;&gt;"",L879/1.56,IF(M879&lt;&gt;"",M879/1.56,""))))</f>
        <v/>
      </c>
      <c r="U879" s="3" t="n">
        <v>235</v>
      </c>
      <c r="V879" s="3" t="n"/>
      <c r="W879" s="3" t="n"/>
      <c r="X879" s="4" t="n"/>
      <c r="Y879" s="5" t="n">
        <v>0.444</v>
      </c>
      <c r="Z879" s="4">
        <f>IF(L879&lt;&gt;"",SQRT(3)*G879*L879/1000,"")</f>
        <v/>
      </c>
      <c r="AA879" t="inlineStr">
        <is>
          <t>Source=Copeland 2D/3D/4D/4R/6D/8D/9R compressors (pdf) p36</t>
        </is>
      </c>
      <c r="AB879" t="inlineStr">
        <is>
          <t>Copeland_RLA_230_460_3ph_60Hz.xlsx</t>
        </is>
      </c>
      <c r="AC879" t="inlineStr">
        <is>
          <t>Recip_2D-9R</t>
        </is>
      </c>
    </row>
    <row r="880">
      <c r="A880" t="inlineStr">
        <is>
          <t>COPELAND</t>
        </is>
      </c>
      <c r="B880" t="inlineStr">
        <is>
          <t>4DR3-3000-TXK</t>
        </is>
      </c>
      <c r="D880" t="inlineStr">
        <is>
          <t>Reciprocating Semi-hermetic</t>
        </is>
      </c>
      <c r="E880" s="2" t="n">
        <v>3</v>
      </c>
      <c r="F880" s="2" t="n">
        <v>60</v>
      </c>
      <c r="G880" s="2" t="n">
        <v>230</v>
      </c>
      <c r="H880" t="inlineStr">
        <is>
          <t>208/230</t>
        </is>
      </c>
      <c r="I880" s="2" t="n">
        <v>208</v>
      </c>
      <c r="J880" s="2" t="n">
        <v>230</v>
      </c>
      <c r="L880" s="3" t="n"/>
      <c r="M880" s="3" t="n"/>
      <c r="N880" s="3" t="n"/>
      <c r="O880" s="3" t="n"/>
      <c r="P880" s="3">
        <f>IF(L880&lt;&gt;"",L880/1.4,"")</f>
        <v/>
      </c>
      <c r="Q880" s="3">
        <f>IF(L880&lt;&gt;"",L880/1.56,"")</f>
        <v/>
      </c>
      <c r="R880" s="3">
        <f>IF(M880&lt;&gt;"",M880/1.4,"")</f>
        <v/>
      </c>
      <c r="S880" s="3">
        <f>IF(M880&lt;&gt;"",M880/1.56,"")</f>
        <v/>
      </c>
      <c r="T880" s="3">
        <f>IF(N880&lt;&gt;"",N880,IF(O880&lt;&gt;"",O880,IF(L880&lt;&gt;"",L880/1.56,IF(M880&lt;&gt;"",M880/1.56,""))))</f>
        <v/>
      </c>
      <c r="U880" s="3" t="n">
        <v>470</v>
      </c>
      <c r="V880" s="3" t="n">
        <v>292</v>
      </c>
      <c r="W880" s="3" t="n"/>
      <c r="X880" s="4" t="n"/>
      <c r="Y880" s="5" t="n">
        <v>0.111</v>
      </c>
      <c r="Z880" s="4">
        <f>IF(L880&lt;&gt;"",SQRT(3)*G880*L880/1000,"")</f>
        <v/>
      </c>
      <c r="AA880" t="inlineStr">
        <is>
          <t>Source=Copeland 2D/3D/4D/4R/6D/8D/9R compressors (pdf) p36</t>
        </is>
      </c>
      <c r="AB880" t="inlineStr">
        <is>
          <t>Copeland_RLA_230_460_3ph_60Hz.xlsx</t>
        </is>
      </c>
      <c r="AC880" t="inlineStr">
        <is>
          <t>Recip_2D-9R</t>
        </is>
      </c>
    </row>
    <row r="881">
      <c r="A881" t="inlineStr">
        <is>
          <t>COPELAND</t>
        </is>
      </c>
      <c r="B881" t="inlineStr">
        <is>
          <t>4DR3-3000-TXK</t>
        </is>
      </c>
      <c r="D881" t="inlineStr">
        <is>
          <t>Reciprocating Semi-hermetic</t>
        </is>
      </c>
      <c r="E881" s="2" t="n">
        <v>3</v>
      </c>
      <c r="F881" s="2" t="n">
        <v>60</v>
      </c>
      <c r="G881" s="2" t="n">
        <v>460</v>
      </c>
      <c r="H881" t="inlineStr">
        <is>
          <t>460</t>
        </is>
      </c>
      <c r="I881" s="2" t="n">
        <v>460</v>
      </c>
      <c r="J881" s="2" t="n">
        <v>460</v>
      </c>
      <c r="L881" s="3" t="n"/>
      <c r="M881" s="3" t="n"/>
      <c r="N881" s="3" t="n"/>
      <c r="O881" s="3" t="n"/>
      <c r="P881" s="3">
        <f>IF(L881&lt;&gt;"",L881/1.4,"")</f>
        <v/>
      </c>
      <c r="Q881" s="3">
        <f>IF(L881&lt;&gt;"",L881/1.56,"")</f>
        <v/>
      </c>
      <c r="R881" s="3">
        <f>IF(M881&lt;&gt;"",M881/1.4,"")</f>
        <v/>
      </c>
      <c r="S881" s="3">
        <f>IF(M881&lt;&gt;"",M881/1.56,"")</f>
        <v/>
      </c>
      <c r="T881" s="3">
        <f>IF(N881&lt;&gt;"",N881,IF(O881&lt;&gt;"",O881,IF(L881&lt;&gt;"",L881/1.56,IF(M881&lt;&gt;"",M881/1.56,""))))</f>
        <v/>
      </c>
      <c r="U881" s="3" t="n">
        <v>235</v>
      </c>
      <c r="V881" s="3" t="n"/>
      <c r="W881" s="3" t="n"/>
      <c r="X881" s="4" t="n"/>
      <c r="Y881" s="5" t="n">
        <v>0.444</v>
      </c>
      <c r="Z881" s="4">
        <f>IF(L881&lt;&gt;"",SQRT(3)*G881*L881/1000,"")</f>
        <v/>
      </c>
      <c r="AA881" t="inlineStr">
        <is>
          <t>Source=Copeland 2D/3D/4D/4R/6D/8D/9R compressors (pdf) p36</t>
        </is>
      </c>
      <c r="AB881" t="inlineStr">
        <is>
          <t>Copeland_RLA_230_460_3ph_60Hz.xlsx</t>
        </is>
      </c>
      <c r="AC881" t="inlineStr">
        <is>
          <t>Recip_2D-9R</t>
        </is>
      </c>
    </row>
    <row r="882">
      <c r="A882" t="inlineStr">
        <is>
          <t>COPELAND</t>
        </is>
      </c>
      <c r="B882" t="inlineStr">
        <is>
          <t>4DR3-300E-FSD</t>
        </is>
      </c>
      <c r="D882" t="inlineStr">
        <is>
          <t>Reciprocating Semi-hermetic</t>
        </is>
      </c>
      <c r="E882" s="2" t="n">
        <v>3</v>
      </c>
      <c r="F882" s="2" t="n">
        <v>60</v>
      </c>
      <c r="G882" s="2" t="n">
        <v>460</v>
      </c>
      <c r="H882" t="inlineStr">
        <is>
          <t>460</t>
        </is>
      </c>
      <c r="I882" s="2" t="n">
        <v>460</v>
      </c>
      <c r="J882" s="2" t="n">
        <v>460</v>
      </c>
      <c r="L882" s="3" t="n"/>
      <c r="M882" s="3" t="n"/>
      <c r="N882" s="3" t="n">
        <v>45</v>
      </c>
      <c r="O882" s="3" t="n"/>
      <c r="P882" s="3">
        <f>IF(L882&lt;&gt;"",L882/1.4,"")</f>
        <v/>
      </c>
      <c r="Q882" s="3">
        <f>IF(L882&lt;&gt;"",L882/1.56,"")</f>
        <v/>
      </c>
      <c r="R882" s="3">
        <f>IF(M882&lt;&gt;"",M882/1.4,"")</f>
        <v/>
      </c>
      <c r="S882" s="3">
        <f>IF(M882&lt;&gt;"",M882/1.56,"")</f>
        <v/>
      </c>
      <c r="T882" s="3">
        <f>IF(N882&lt;&gt;"",N882,IF(O882&lt;&gt;"",O882,IF(L882&lt;&gt;"",L882/1.56,IF(M882&lt;&gt;"",M882/1.56,""))))</f>
        <v/>
      </c>
      <c r="U882" s="3" t="n">
        <v>235</v>
      </c>
      <c r="V882" s="3" t="n">
        <v>141</v>
      </c>
      <c r="W882" s="3" t="n"/>
      <c r="X882" s="4" t="n"/>
      <c r="Y882" s="5" t="n">
        <v>0.45</v>
      </c>
      <c r="Z882" s="4">
        <f>IF(L882&lt;&gt;"",SQRT(3)*G882*L882/1000,"")</f>
        <v/>
      </c>
      <c r="AA882" t="inlineStr">
        <is>
          <t>Source=Copeland 2D/3D/4D/4R/6D/8D/9R compressors (pdf) p36; PWS_RLA=22.5</t>
        </is>
      </c>
      <c r="AB882" t="inlineStr">
        <is>
          <t>Copeland_RLA_230_460_3ph_60Hz.xlsx</t>
        </is>
      </c>
      <c r="AC882" t="inlineStr">
        <is>
          <t>Recip_2D-9R</t>
        </is>
      </c>
    </row>
    <row r="883">
      <c r="A883" t="inlineStr">
        <is>
          <t>COPELAND</t>
        </is>
      </c>
      <c r="B883" t="inlineStr">
        <is>
          <t>4DR3-300E-TSK</t>
        </is>
      </c>
      <c r="D883" t="inlineStr">
        <is>
          <t>Reciprocating Semi-hermetic</t>
        </is>
      </c>
      <c r="E883" s="2" t="n">
        <v>3</v>
      </c>
      <c r="F883" s="2" t="n">
        <v>60</v>
      </c>
      <c r="G883" s="2" t="n">
        <v>230</v>
      </c>
      <c r="H883" t="inlineStr">
        <is>
          <t>208/230</t>
        </is>
      </c>
      <c r="I883" s="2" t="n">
        <v>208</v>
      </c>
      <c r="J883" s="2" t="n">
        <v>230</v>
      </c>
      <c r="L883" s="3" t="n"/>
      <c r="M883" s="3" t="n"/>
      <c r="N883" s="3" t="n">
        <v>94</v>
      </c>
      <c r="O883" s="3" t="n"/>
      <c r="P883" s="3">
        <f>IF(L883&lt;&gt;"",L883/1.4,"")</f>
        <v/>
      </c>
      <c r="Q883" s="3">
        <f>IF(L883&lt;&gt;"",L883/1.56,"")</f>
        <v/>
      </c>
      <c r="R883" s="3">
        <f>IF(M883&lt;&gt;"",M883/1.4,"")</f>
        <v/>
      </c>
      <c r="S883" s="3">
        <f>IF(M883&lt;&gt;"",M883/1.56,"")</f>
        <v/>
      </c>
      <c r="T883" s="3">
        <f>IF(N883&lt;&gt;"",N883,IF(O883&lt;&gt;"",O883,IF(L883&lt;&gt;"",L883/1.56,IF(M883&lt;&gt;"",M883/1.56,""))))</f>
        <v/>
      </c>
      <c r="U883" s="3" t="n">
        <v>470</v>
      </c>
      <c r="V883" s="3" t="n">
        <v>292</v>
      </c>
      <c r="W883" s="3" t="n"/>
      <c r="X883" s="4" t="n"/>
      <c r="Y883" s="5" t="n">
        <v>0.111</v>
      </c>
      <c r="Z883" s="4">
        <f>IF(L883&lt;&gt;"",SQRT(3)*G883*L883/1000,"")</f>
        <v/>
      </c>
      <c r="AA883" t="inlineStr">
        <is>
          <t>Source=Copeland 2D/3D/4D/4R/6D/8D/9R compressors (pdf) p36; PWS_RLA=47.0</t>
        </is>
      </c>
      <c r="AB883" t="inlineStr">
        <is>
          <t>Copeland_RLA_230_460_3ph_60Hz.xlsx</t>
        </is>
      </c>
      <c r="AC883" t="inlineStr">
        <is>
          <t>Recip_2D-9R</t>
        </is>
      </c>
    </row>
    <row r="884">
      <c r="A884" t="inlineStr">
        <is>
          <t>COPELAND</t>
        </is>
      </c>
      <c r="B884" t="inlineStr">
        <is>
          <t>4DR3-300E-TSK</t>
        </is>
      </c>
      <c r="D884" t="inlineStr">
        <is>
          <t>Reciprocating Semi-hermetic</t>
        </is>
      </c>
      <c r="E884" s="2" t="n">
        <v>3</v>
      </c>
      <c r="F884" s="2" t="n">
        <v>60</v>
      </c>
      <c r="G884" s="2" t="n">
        <v>460</v>
      </c>
      <c r="H884" t="inlineStr">
        <is>
          <t>460</t>
        </is>
      </c>
      <c r="I884" s="2" t="n">
        <v>460</v>
      </c>
      <c r="J884" s="2" t="n">
        <v>460</v>
      </c>
      <c r="L884" s="3" t="n"/>
      <c r="M884" s="3" t="n"/>
      <c r="N884" s="3" t="n">
        <v>47</v>
      </c>
      <c r="O884" s="3" t="n"/>
      <c r="P884" s="3">
        <f>IF(L884&lt;&gt;"",L884/1.4,"")</f>
        <v/>
      </c>
      <c r="Q884" s="3">
        <f>IF(L884&lt;&gt;"",L884/1.56,"")</f>
        <v/>
      </c>
      <c r="R884" s="3">
        <f>IF(M884&lt;&gt;"",M884/1.4,"")</f>
        <v/>
      </c>
      <c r="S884" s="3">
        <f>IF(M884&lt;&gt;"",M884/1.56,"")</f>
        <v/>
      </c>
      <c r="T884" s="3">
        <f>IF(N884&lt;&gt;"",N884,IF(O884&lt;&gt;"",O884,IF(L884&lt;&gt;"",L884/1.56,IF(M884&lt;&gt;"",M884/1.56,""))))</f>
        <v/>
      </c>
      <c r="U884" s="3" t="n">
        <v>235</v>
      </c>
      <c r="V884" s="3" t="n"/>
      <c r="W884" s="3" t="n"/>
      <c r="X884" s="4" t="n"/>
      <c r="Y884" s="5" t="n">
        <v>0.444</v>
      </c>
      <c r="Z884" s="4">
        <f>IF(L884&lt;&gt;"",SQRT(3)*G884*L884/1000,"")</f>
        <v/>
      </c>
      <c r="AA884" t="inlineStr">
        <is>
          <t>Source=Copeland 2D/3D/4D/4R/6D/8D/9R compressors (pdf) p36</t>
        </is>
      </c>
      <c r="AB884" t="inlineStr">
        <is>
          <t>Copeland_RLA_230_460_3ph_60Hz.xlsx</t>
        </is>
      </c>
      <c r="AC884" t="inlineStr">
        <is>
          <t>Recip_2D-9R</t>
        </is>
      </c>
    </row>
    <row r="885">
      <c r="A885" t="inlineStr">
        <is>
          <t>COPELAND</t>
        </is>
      </c>
      <c r="B885" t="inlineStr">
        <is>
          <t>4DR3-300L-FSD</t>
        </is>
      </c>
      <c r="D885" t="inlineStr">
        <is>
          <t>Reciprocating Semi-hermetic</t>
        </is>
      </c>
      <c r="E885" s="2" t="n">
        <v>3</v>
      </c>
      <c r="F885" s="2" t="n">
        <v>60</v>
      </c>
      <c r="G885" s="2" t="n">
        <v>460</v>
      </c>
      <c r="H885" t="inlineStr">
        <is>
          <t>460</t>
        </is>
      </c>
      <c r="I885" s="2" t="n">
        <v>460</v>
      </c>
      <c r="J885" s="2" t="n">
        <v>460</v>
      </c>
      <c r="L885" s="3" t="n"/>
      <c r="M885" s="3" t="n"/>
      <c r="N885" s="3" t="n">
        <v>45</v>
      </c>
      <c r="O885" s="3" t="n"/>
      <c r="P885" s="3">
        <f>IF(L885&lt;&gt;"",L885/1.4,"")</f>
        <v/>
      </c>
      <c r="Q885" s="3">
        <f>IF(L885&lt;&gt;"",L885/1.56,"")</f>
        <v/>
      </c>
      <c r="R885" s="3">
        <f>IF(M885&lt;&gt;"",M885/1.4,"")</f>
        <v/>
      </c>
      <c r="S885" s="3">
        <f>IF(M885&lt;&gt;"",M885/1.56,"")</f>
        <v/>
      </c>
      <c r="T885" s="3">
        <f>IF(N885&lt;&gt;"",N885,IF(O885&lt;&gt;"",O885,IF(L885&lt;&gt;"",L885/1.56,IF(M885&lt;&gt;"",M885/1.56,""))))</f>
        <v/>
      </c>
      <c r="U885" s="3" t="n">
        <v>235</v>
      </c>
      <c r="V885" s="3" t="n">
        <v>141</v>
      </c>
      <c r="W885" s="3" t="n"/>
      <c r="X885" s="4" t="n"/>
      <c r="Y885" s="5" t="n">
        <v>0.45</v>
      </c>
      <c r="Z885" s="4">
        <f>IF(L885&lt;&gt;"",SQRT(3)*G885*L885/1000,"")</f>
        <v/>
      </c>
      <c r="AA885" t="inlineStr">
        <is>
          <t>Source=Copeland 2D/3D/4D/4R/6D/8D/9R compressors (pdf) p37; PWS_RLA=22.5</t>
        </is>
      </c>
      <c r="AB885" t="inlineStr">
        <is>
          <t>Copeland_RLA_230_460_3ph_60Hz.xlsx</t>
        </is>
      </c>
      <c r="AC885" t="inlineStr">
        <is>
          <t>Recip_2D-9R</t>
        </is>
      </c>
    </row>
    <row r="886">
      <c r="A886" t="inlineStr">
        <is>
          <t>COPELAND</t>
        </is>
      </c>
      <c r="B886" t="inlineStr">
        <is>
          <t>4DR3-300L-TSK</t>
        </is>
      </c>
      <c r="D886" t="inlineStr">
        <is>
          <t>Reciprocating Semi-hermetic</t>
        </is>
      </c>
      <c r="E886" s="2" t="n">
        <v>3</v>
      </c>
      <c r="F886" s="2" t="n">
        <v>60</v>
      </c>
      <c r="G886" s="2" t="n">
        <v>230</v>
      </c>
      <c r="H886" t="inlineStr">
        <is>
          <t>208/230</t>
        </is>
      </c>
      <c r="I886" s="2" t="n">
        <v>208</v>
      </c>
      <c r="J886" s="2" t="n">
        <v>230</v>
      </c>
      <c r="L886" s="3" t="n"/>
      <c r="M886" s="3" t="n"/>
      <c r="N886" s="3" t="n">
        <v>94</v>
      </c>
      <c r="O886" s="3" t="n"/>
      <c r="P886" s="3">
        <f>IF(L886&lt;&gt;"",L886/1.4,"")</f>
        <v/>
      </c>
      <c r="Q886" s="3">
        <f>IF(L886&lt;&gt;"",L886/1.56,"")</f>
        <v/>
      </c>
      <c r="R886" s="3">
        <f>IF(M886&lt;&gt;"",M886/1.4,"")</f>
        <v/>
      </c>
      <c r="S886" s="3">
        <f>IF(M886&lt;&gt;"",M886/1.56,"")</f>
        <v/>
      </c>
      <c r="T886" s="3">
        <f>IF(N886&lt;&gt;"",N886,IF(O886&lt;&gt;"",O886,IF(L886&lt;&gt;"",L886/1.56,IF(M886&lt;&gt;"",M886/1.56,""))))</f>
        <v/>
      </c>
      <c r="U886" s="3" t="n">
        <v>470</v>
      </c>
      <c r="V886" s="3" t="n">
        <v>292</v>
      </c>
      <c r="W886" s="3" t="n"/>
      <c r="X886" s="4" t="n"/>
      <c r="Y886" s="5" t="n">
        <v>0.111</v>
      </c>
      <c r="Z886" s="4">
        <f>IF(L886&lt;&gt;"",SQRT(3)*G886*L886/1000,"")</f>
        <v/>
      </c>
      <c r="AA886" t="inlineStr">
        <is>
          <t>Source=Copeland 2D/3D/4D/4R/6D/8D/9R compressors (pdf) p37; PWS_RLA=47.0</t>
        </is>
      </c>
      <c r="AB886" t="inlineStr">
        <is>
          <t>Copeland_RLA_230_460_3ph_60Hz.xlsx</t>
        </is>
      </c>
      <c r="AC886" t="inlineStr">
        <is>
          <t>Recip_2D-9R</t>
        </is>
      </c>
    </row>
    <row r="887">
      <c r="A887" t="inlineStr">
        <is>
          <t>COPELAND</t>
        </is>
      </c>
      <c r="B887" t="inlineStr">
        <is>
          <t>4DR3-300L-TSK</t>
        </is>
      </c>
      <c r="D887" t="inlineStr">
        <is>
          <t>Reciprocating Semi-hermetic</t>
        </is>
      </c>
      <c r="E887" s="2" t="n">
        <v>3</v>
      </c>
      <c r="F887" s="2" t="n">
        <v>60</v>
      </c>
      <c r="G887" s="2" t="n">
        <v>460</v>
      </c>
      <c r="H887" t="inlineStr">
        <is>
          <t>460</t>
        </is>
      </c>
      <c r="I887" s="2" t="n">
        <v>460</v>
      </c>
      <c r="J887" s="2" t="n">
        <v>460</v>
      </c>
      <c r="L887" s="3" t="n"/>
      <c r="M887" s="3" t="n"/>
      <c r="N887" s="3" t="n">
        <v>47</v>
      </c>
      <c r="O887" s="3" t="n"/>
      <c r="P887" s="3">
        <f>IF(L887&lt;&gt;"",L887/1.4,"")</f>
        <v/>
      </c>
      <c r="Q887" s="3">
        <f>IF(L887&lt;&gt;"",L887/1.56,"")</f>
        <v/>
      </c>
      <c r="R887" s="3">
        <f>IF(M887&lt;&gt;"",M887/1.4,"")</f>
        <v/>
      </c>
      <c r="S887" s="3">
        <f>IF(M887&lt;&gt;"",M887/1.56,"")</f>
        <v/>
      </c>
      <c r="T887" s="3">
        <f>IF(N887&lt;&gt;"",N887,IF(O887&lt;&gt;"",O887,IF(L887&lt;&gt;"",L887/1.56,IF(M887&lt;&gt;"",M887/1.56,""))))</f>
        <v/>
      </c>
      <c r="U887" s="3" t="n">
        <v>235</v>
      </c>
      <c r="V887" s="3" t="n"/>
      <c r="W887" s="3" t="n"/>
      <c r="X887" s="4" t="n"/>
      <c r="Y887" s="5" t="n">
        <v>0.444</v>
      </c>
      <c r="Z887" s="4">
        <f>IF(L887&lt;&gt;"",SQRT(3)*G887*L887/1000,"")</f>
        <v/>
      </c>
      <c r="AA887" t="inlineStr">
        <is>
          <t>Source=Copeland 2D/3D/4D/4R/6D/8D/9R compressors (pdf) p37</t>
        </is>
      </c>
      <c r="AB887" t="inlineStr">
        <is>
          <t>Copeland_RLA_230_460_3ph_60Hz.xlsx</t>
        </is>
      </c>
      <c r="AC887" t="inlineStr">
        <is>
          <t>Recip_2D-9R</t>
        </is>
      </c>
    </row>
    <row r="888">
      <c r="A888" t="inlineStr">
        <is>
          <t>COPELAND</t>
        </is>
      </c>
      <c r="B888" t="inlineStr">
        <is>
          <t>4DR3A200E-TSK</t>
        </is>
      </c>
      <c r="D888" t="inlineStr">
        <is>
          <t>Reciprocating Semi-hermetic</t>
        </is>
      </c>
      <c r="E888" s="2" t="n">
        <v>3</v>
      </c>
      <c r="F888" s="2" t="n">
        <v>60</v>
      </c>
      <c r="G888" s="2" t="n">
        <v>230</v>
      </c>
      <c r="H888" t="inlineStr">
        <is>
          <t>208/230</t>
        </is>
      </c>
      <c r="I888" s="2" t="n">
        <v>208</v>
      </c>
      <c r="J888" s="2" t="n">
        <v>230</v>
      </c>
      <c r="L888" s="3" t="n"/>
      <c r="M888" s="3" t="n"/>
      <c r="N888" s="3" t="n">
        <v>66</v>
      </c>
      <c r="O888" s="3" t="n"/>
      <c r="P888" s="3">
        <f>IF(L888&lt;&gt;"",L888/1.4,"")</f>
        <v/>
      </c>
      <c r="Q888" s="3">
        <f>IF(L888&lt;&gt;"",L888/1.56,"")</f>
        <v/>
      </c>
      <c r="R888" s="3">
        <f>IF(M888&lt;&gt;"",M888/1.4,"")</f>
        <v/>
      </c>
      <c r="S888" s="3">
        <f>IF(M888&lt;&gt;"",M888/1.56,"")</f>
        <v/>
      </c>
      <c r="T888" s="3">
        <f>IF(N888&lt;&gt;"",N888,IF(O888&lt;&gt;"",O888,IF(L888&lt;&gt;"",L888/1.56,IF(M888&lt;&gt;"",M888/1.56,""))))</f>
        <v/>
      </c>
      <c r="U888" s="3" t="n">
        <v>346</v>
      </c>
      <c r="V888" s="3" t="n">
        <v>208</v>
      </c>
      <c r="W888" s="3" t="n"/>
      <c r="X888" s="4" t="n"/>
      <c r="Y888" s="5" t="n">
        <v>0.142</v>
      </c>
      <c r="Z888" s="4">
        <f>IF(L888&lt;&gt;"",SQRT(3)*G888*L888/1000,"")</f>
        <v/>
      </c>
      <c r="AA888" t="inlineStr">
        <is>
          <t>Source=Copeland 2D/3D/4D/4R/6D/8D/9R compressors (pdf) p37; PWS_RLA=33.0</t>
        </is>
      </c>
      <c r="AB888" t="inlineStr">
        <is>
          <t>Copeland_RLA_230_460_3ph_60Hz.xlsx</t>
        </is>
      </c>
      <c r="AC888" t="inlineStr">
        <is>
          <t>Recip_2D-9R</t>
        </is>
      </c>
    </row>
    <row r="889">
      <c r="A889" t="inlineStr">
        <is>
          <t>COPELAND</t>
        </is>
      </c>
      <c r="B889" t="inlineStr">
        <is>
          <t>4DR3A200E-TSK</t>
        </is>
      </c>
      <c r="D889" t="inlineStr">
        <is>
          <t>Reciprocating Semi-hermetic</t>
        </is>
      </c>
      <c r="E889" s="2" t="n">
        <v>3</v>
      </c>
      <c r="F889" s="2" t="n">
        <v>60</v>
      </c>
      <c r="G889" s="2" t="n">
        <v>460</v>
      </c>
      <c r="H889" t="inlineStr">
        <is>
          <t>460</t>
        </is>
      </c>
      <c r="I889" s="2" t="n">
        <v>460</v>
      </c>
      <c r="J889" s="2" t="n">
        <v>460</v>
      </c>
      <c r="L889" s="3" t="n"/>
      <c r="M889" s="3" t="n"/>
      <c r="N889" s="3" t="n">
        <v>33</v>
      </c>
      <c r="O889" s="3" t="n"/>
      <c r="P889" s="3">
        <f>IF(L889&lt;&gt;"",L889/1.4,"")</f>
        <v/>
      </c>
      <c r="Q889" s="3">
        <f>IF(L889&lt;&gt;"",L889/1.56,"")</f>
        <v/>
      </c>
      <c r="R889" s="3">
        <f>IF(M889&lt;&gt;"",M889/1.4,"")</f>
        <v/>
      </c>
      <c r="S889" s="3">
        <f>IF(M889&lt;&gt;"",M889/1.56,"")</f>
        <v/>
      </c>
      <c r="T889" s="3">
        <f>IF(N889&lt;&gt;"",N889,IF(O889&lt;&gt;"",O889,IF(L889&lt;&gt;"",L889/1.56,IF(M889&lt;&gt;"",M889/1.56,""))))</f>
        <v/>
      </c>
      <c r="U889" s="3" t="n">
        <v>173</v>
      </c>
      <c r="V889" s="3" t="n"/>
      <c r="W889" s="3" t="n"/>
      <c r="X889" s="4" t="n"/>
      <c r="Y889" s="5" t="n">
        <v>0.5679999999999999</v>
      </c>
      <c r="Z889" s="4">
        <f>IF(L889&lt;&gt;"",SQRT(3)*G889*L889/1000,"")</f>
        <v/>
      </c>
      <c r="AA889" t="inlineStr">
        <is>
          <t>Source=Copeland 2D/3D/4D/4R/6D/8D/9R compressors (pdf) p37</t>
        </is>
      </c>
      <c r="AB889" t="inlineStr">
        <is>
          <t>Copeland_RLA_230_460_3ph_60Hz.xlsx</t>
        </is>
      </c>
      <c r="AC889" t="inlineStr">
        <is>
          <t>Recip_2D-9R</t>
        </is>
      </c>
    </row>
    <row r="890">
      <c r="A890" t="inlineStr">
        <is>
          <t>COPELAND</t>
        </is>
      </c>
      <c r="B890" t="inlineStr">
        <is>
          <t>4DR3A200L-TSK</t>
        </is>
      </c>
      <c r="D890" t="inlineStr">
        <is>
          <t>Reciprocating Semi-hermetic</t>
        </is>
      </c>
      <c r="E890" s="2" t="n">
        <v>3</v>
      </c>
      <c r="F890" s="2" t="n">
        <v>60</v>
      </c>
      <c r="G890" s="2" t="n">
        <v>230</v>
      </c>
      <c r="H890" t="inlineStr">
        <is>
          <t>208/230</t>
        </is>
      </c>
      <c r="I890" s="2" t="n">
        <v>208</v>
      </c>
      <c r="J890" s="2" t="n">
        <v>230</v>
      </c>
      <c r="L890" s="3" t="n"/>
      <c r="M890" s="3" t="n"/>
      <c r="N890" s="3" t="n">
        <v>66</v>
      </c>
      <c r="O890" s="3" t="n"/>
      <c r="P890" s="3">
        <f>IF(L890&lt;&gt;"",L890/1.4,"")</f>
        <v/>
      </c>
      <c r="Q890" s="3">
        <f>IF(L890&lt;&gt;"",L890/1.56,"")</f>
        <v/>
      </c>
      <c r="R890" s="3">
        <f>IF(M890&lt;&gt;"",M890/1.4,"")</f>
        <v/>
      </c>
      <c r="S890" s="3">
        <f>IF(M890&lt;&gt;"",M890/1.56,"")</f>
        <v/>
      </c>
      <c r="T890" s="3">
        <f>IF(N890&lt;&gt;"",N890,IF(O890&lt;&gt;"",O890,IF(L890&lt;&gt;"",L890/1.56,IF(M890&lt;&gt;"",M890/1.56,""))))</f>
        <v/>
      </c>
      <c r="U890" s="3" t="n">
        <v>346</v>
      </c>
      <c r="V890" s="3" t="n">
        <v>208</v>
      </c>
      <c r="W890" s="3" t="n"/>
      <c r="X890" s="4" t="n"/>
      <c r="Y890" s="5" t="n">
        <v>0.142</v>
      </c>
      <c r="Z890" s="4">
        <f>IF(L890&lt;&gt;"",SQRT(3)*G890*L890/1000,"")</f>
        <v/>
      </c>
      <c r="AA890" t="inlineStr">
        <is>
          <t>Source=Copeland 2D/3D/4D/4R/6D/8D/9R compressors (pdf) p37; PWS_RLA=33.0</t>
        </is>
      </c>
      <c r="AB890" t="inlineStr">
        <is>
          <t>Copeland_RLA_230_460_3ph_60Hz.xlsx</t>
        </is>
      </c>
      <c r="AC890" t="inlineStr">
        <is>
          <t>Recip_2D-9R</t>
        </is>
      </c>
    </row>
    <row r="891">
      <c r="A891" t="inlineStr">
        <is>
          <t>COPELAND</t>
        </is>
      </c>
      <c r="B891" t="inlineStr">
        <is>
          <t>4DR3A200L-TSK</t>
        </is>
      </c>
      <c r="D891" t="inlineStr">
        <is>
          <t>Reciprocating Semi-hermetic</t>
        </is>
      </c>
      <c r="E891" s="2" t="n">
        <v>3</v>
      </c>
      <c r="F891" s="2" t="n">
        <v>60</v>
      </c>
      <c r="G891" s="2" t="n">
        <v>460</v>
      </c>
      <c r="H891" t="inlineStr">
        <is>
          <t>460</t>
        </is>
      </c>
      <c r="I891" s="2" t="n">
        <v>460</v>
      </c>
      <c r="J891" s="2" t="n">
        <v>460</v>
      </c>
      <c r="L891" s="3" t="n"/>
      <c r="M891" s="3" t="n"/>
      <c r="N891" s="3" t="n">
        <v>33</v>
      </c>
      <c r="O891" s="3" t="n"/>
      <c r="P891" s="3">
        <f>IF(L891&lt;&gt;"",L891/1.4,"")</f>
        <v/>
      </c>
      <c r="Q891" s="3">
        <f>IF(L891&lt;&gt;"",L891/1.56,"")</f>
        <v/>
      </c>
      <c r="R891" s="3">
        <f>IF(M891&lt;&gt;"",M891/1.4,"")</f>
        <v/>
      </c>
      <c r="S891" s="3">
        <f>IF(M891&lt;&gt;"",M891/1.56,"")</f>
        <v/>
      </c>
      <c r="T891" s="3">
        <f>IF(N891&lt;&gt;"",N891,IF(O891&lt;&gt;"",O891,IF(L891&lt;&gt;"",L891/1.56,IF(M891&lt;&gt;"",M891/1.56,""))))</f>
        <v/>
      </c>
      <c r="U891" s="3" t="n">
        <v>173</v>
      </c>
      <c r="V891" s="3" t="n"/>
      <c r="W891" s="3" t="n"/>
      <c r="X891" s="4" t="n"/>
      <c r="Y891" s="5" t="n">
        <v>0.5679999999999999</v>
      </c>
      <c r="Z891" s="4">
        <f>IF(L891&lt;&gt;"",SQRT(3)*G891*L891/1000,"")</f>
        <v/>
      </c>
      <c r="AA891" t="inlineStr">
        <is>
          <t>Source=Copeland 2D/3D/4D/4R/6D/8D/9R compressors (pdf) p37</t>
        </is>
      </c>
      <c r="AB891" t="inlineStr">
        <is>
          <t>Copeland_RLA_230_460_3ph_60Hz.xlsx</t>
        </is>
      </c>
      <c r="AC891" t="inlineStr">
        <is>
          <t>Recip_2D-9R</t>
        </is>
      </c>
    </row>
    <row r="892">
      <c r="A892" t="inlineStr">
        <is>
          <t>COPELAND</t>
        </is>
      </c>
      <c r="B892" t="inlineStr">
        <is>
          <t>4DR3A270E-TSK</t>
        </is>
      </c>
      <c r="D892" t="inlineStr">
        <is>
          <t>Reciprocating Semi-hermetic</t>
        </is>
      </c>
      <c r="E892" s="2" t="n">
        <v>3</v>
      </c>
      <c r="F892" s="2" t="n">
        <v>60</v>
      </c>
      <c r="G892" s="2" t="n">
        <v>230</v>
      </c>
      <c r="H892" t="inlineStr">
        <is>
          <t>208/230</t>
        </is>
      </c>
      <c r="I892" s="2" t="n">
        <v>208</v>
      </c>
      <c r="J892" s="2" t="n">
        <v>230</v>
      </c>
      <c r="L892" s="3" t="n"/>
      <c r="M892" s="3" t="n"/>
      <c r="N892" s="3" t="n">
        <v>94</v>
      </c>
      <c r="O892" s="3" t="n"/>
      <c r="P892" s="3">
        <f>IF(L892&lt;&gt;"",L892/1.4,"")</f>
        <v/>
      </c>
      <c r="Q892" s="3">
        <f>IF(L892&lt;&gt;"",L892/1.56,"")</f>
        <v/>
      </c>
      <c r="R892" s="3">
        <f>IF(M892&lt;&gt;"",M892/1.4,"")</f>
        <v/>
      </c>
      <c r="S892" s="3">
        <f>IF(M892&lt;&gt;"",M892/1.56,"")</f>
        <v/>
      </c>
      <c r="T892" s="3">
        <f>IF(N892&lt;&gt;"",N892,IF(O892&lt;&gt;"",O892,IF(L892&lt;&gt;"",L892/1.56,IF(M892&lt;&gt;"",M892/1.56,""))))</f>
        <v/>
      </c>
      <c r="U892" s="3" t="n">
        <v>470</v>
      </c>
      <c r="V892" s="3" t="n">
        <v>292</v>
      </c>
      <c r="W892" s="3" t="n"/>
      <c r="X892" s="4" t="n"/>
      <c r="Y892" s="5" t="n">
        <v>0.111</v>
      </c>
      <c r="Z892" s="4">
        <f>IF(L892&lt;&gt;"",SQRT(3)*G892*L892/1000,"")</f>
        <v/>
      </c>
      <c r="AA892" t="inlineStr">
        <is>
          <t>Source=Copeland 2D/3D/4D/4R/6D/8D/9R compressors (pdf) p37; PWS_RLA=47.0</t>
        </is>
      </c>
      <c r="AB892" t="inlineStr">
        <is>
          <t>Copeland_RLA_230_460_3ph_60Hz.xlsx</t>
        </is>
      </c>
      <c r="AC892" t="inlineStr">
        <is>
          <t>Recip_2D-9R</t>
        </is>
      </c>
    </row>
    <row r="893">
      <c r="A893" t="inlineStr">
        <is>
          <t>COPELAND</t>
        </is>
      </c>
      <c r="B893" t="inlineStr">
        <is>
          <t>4DR3A270E-TSK</t>
        </is>
      </c>
      <c r="D893" t="inlineStr">
        <is>
          <t>Reciprocating Semi-hermetic</t>
        </is>
      </c>
      <c r="E893" s="2" t="n">
        <v>3</v>
      </c>
      <c r="F893" s="2" t="n">
        <v>60</v>
      </c>
      <c r="G893" s="2" t="n">
        <v>460</v>
      </c>
      <c r="H893" t="inlineStr">
        <is>
          <t>460</t>
        </is>
      </c>
      <c r="I893" s="2" t="n">
        <v>460</v>
      </c>
      <c r="J893" s="2" t="n">
        <v>460</v>
      </c>
      <c r="L893" s="3" t="n"/>
      <c r="M893" s="3" t="n"/>
      <c r="N893" s="3" t="n">
        <v>55</v>
      </c>
      <c r="O893" s="3" t="n"/>
      <c r="P893" s="3">
        <f>IF(L893&lt;&gt;"",L893/1.4,"")</f>
        <v/>
      </c>
      <c r="Q893" s="3">
        <f>IF(L893&lt;&gt;"",L893/1.56,"")</f>
        <v/>
      </c>
      <c r="R893" s="3">
        <f>IF(M893&lt;&gt;"",M893/1.4,"")</f>
        <v/>
      </c>
      <c r="S893" s="3">
        <f>IF(M893&lt;&gt;"",M893/1.56,"")</f>
        <v/>
      </c>
      <c r="T893" s="3">
        <f>IF(N893&lt;&gt;"",N893,IF(O893&lt;&gt;"",O893,IF(L893&lt;&gt;"",L893/1.56,IF(M893&lt;&gt;"",M893/1.56,""))))</f>
        <v/>
      </c>
      <c r="U893" s="3" t="n">
        <v>235</v>
      </c>
      <c r="V893" s="3" t="n"/>
      <c r="W893" s="3" t="n"/>
      <c r="X893" s="4" t="n"/>
      <c r="Y893" s="5" t="n">
        <v>0.444</v>
      </c>
      <c r="Z893" s="4">
        <f>IF(L893&lt;&gt;"",SQRT(3)*G893*L893/1000,"")</f>
        <v/>
      </c>
      <c r="AA893" t="inlineStr">
        <is>
          <t>Source=Copeland 2D/3D/4D/4R/6D/8D/9R compressors (pdf) p37</t>
        </is>
      </c>
      <c r="AB893" t="inlineStr">
        <is>
          <t>Copeland_RLA_230_460_3ph_60Hz.xlsx</t>
        </is>
      </c>
      <c r="AC893" t="inlineStr">
        <is>
          <t>Recip_2D-9R</t>
        </is>
      </c>
    </row>
    <row r="894">
      <c r="A894" t="inlineStr">
        <is>
          <t>COPELAND</t>
        </is>
      </c>
      <c r="B894" t="inlineStr">
        <is>
          <t>4DR3A270L-TSK</t>
        </is>
      </c>
      <c r="D894" t="inlineStr">
        <is>
          <t>Reciprocating Semi-hermetic</t>
        </is>
      </c>
      <c r="E894" s="2" t="n">
        <v>3</v>
      </c>
      <c r="F894" s="2" t="n">
        <v>60</v>
      </c>
      <c r="G894" s="2" t="n">
        <v>230</v>
      </c>
      <c r="H894" t="inlineStr">
        <is>
          <t>208/230</t>
        </is>
      </c>
      <c r="I894" s="2" t="n">
        <v>208</v>
      </c>
      <c r="J894" s="2" t="n">
        <v>230</v>
      </c>
      <c r="L894" s="3" t="n"/>
      <c r="M894" s="3" t="n"/>
      <c r="N894" s="3" t="n">
        <v>94</v>
      </c>
      <c r="O894" s="3" t="n"/>
      <c r="P894" s="3">
        <f>IF(L894&lt;&gt;"",L894/1.4,"")</f>
        <v/>
      </c>
      <c r="Q894" s="3">
        <f>IF(L894&lt;&gt;"",L894/1.56,"")</f>
        <v/>
      </c>
      <c r="R894" s="3">
        <f>IF(M894&lt;&gt;"",M894/1.4,"")</f>
        <v/>
      </c>
      <c r="S894" s="3">
        <f>IF(M894&lt;&gt;"",M894/1.56,"")</f>
        <v/>
      </c>
      <c r="T894" s="3">
        <f>IF(N894&lt;&gt;"",N894,IF(O894&lt;&gt;"",O894,IF(L894&lt;&gt;"",L894/1.56,IF(M894&lt;&gt;"",M894/1.56,""))))</f>
        <v/>
      </c>
      <c r="U894" s="3" t="n">
        <v>470</v>
      </c>
      <c r="V894" s="3" t="n">
        <v>292</v>
      </c>
      <c r="W894" s="3" t="n"/>
      <c r="X894" s="4" t="n"/>
      <c r="Y894" s="5" t="n">
        <v>0.111</v>
      </c>
      <c r="Z894" s="4">
        <f>IF(L894&lt;&gt;"",SQRT(3)*G894*L894/1000,"")</f>
        <v/>
      </c>
      <c r="AA894" t="inlineStr">
        <is>
          <t>Source=Copeland 2D/3D/4D/4R/6D/8D/9R compressors (pdf) p37; PWS_RLA=47.0</t>
        </is>
      </c>
      <c r="AB894" t="inlineStr">
        <is>
          <t>Copeland_RLA_230_460_3ph_60Hz.xlsx</t>
        </is>
      </c>
      <c r="AC894" t="inlineStr">
        <is>
          <t>Recip_2D-9R</t>
        </is>
      </c>
    </row>
    <row r="895">
      <c r="A895" t="inlineStr">
        <is>
          <t>COPELAND</t>
        </is>
      </c>
      <c r="B895" t="inlineStr">
        <is>
          <t>4DR3A270L-TSK</t>
        </is>
      </c>
      <c r="D895" t="inlineStr">
        <is>
          <t>Reciprocating Semi-hermetic</t>
        </is>
      </c>
      <c r="E895" s="2" t="n">
        <v>3</v>
      </c>
      <c r="F895" s="2" t="n">
        <v>60</v>
      </c>
      <c r="G895" s="2" t="n">
        <v>460</v>
      </c>
      <c r="H895" t="inlineStr">
        <is>
          <t>460</t>
        </is>
      </c>
      <c r="I895" s="2" t="n">
        <v>460</v>
      </c>
      <c r="J895" s="2" t="n">
        <v>460</v>
      </c>
      <c r="L895" s="3" t="n"/>
      <c r="M895" s="3" t="n"/>
      <c r="N895" s="3" t="n">
        <v>55</v>
      </c>
      <c r="O895" s="3" t="n"/>
      <c r="P895" s="3">
        <f>IF(L895&lt;&gt;"",L895/1.4,"")</f>
        <v/>
      </c>
      <c r="Q895" s="3">
        <f>IF(L895&lt;&gt;"",L895/1.56,"")</f>
        <v/>
      </c>
      <c r="R895" s="3">
        <f>IF(M895&lt;&gt;"",M895/1.4,"")</f>
        <v/>
      </c>
      <c r="S895" s="3">
        <f>IF(M895&lt;&gt;"",M895/1.56,"")</f>
        <v/>
      </c>
      <c r="T895" s="3">
        <f>IF(N895&lt;&gt;"",N895,IF(O895&lt;&gt;"",O895,IF(L895&lt;&gt;"",L895/1.56,IF(M895&lt;&gt;"",M895/1.56,""))))</f>
        <v/>
      </c>
      <c r="U895" s="3" t="n">
        <v>235</v>
      </c>
      <c r="V895" s="3" t="n"/>
      <c r="W895" s="3" t="n"/>
      <c r="X895" s="4" t="n"/>
      <c r="Y895" s="5" t="n">
        <v>0.444</v>
      </c>
      <c r="Z895" s="4">
        <f>IF(L895&lt;&gt;"",SQRT(3)*G895*L895/1000,"")</f>
        <v/>
      </c>
      <c r="AA895" t="inlineStr">
        <is>
          <t>Source=Copeland 2D/3D/4D/4R/6D/8D/9R compressors (pdf) p37</t>
        </is>
      </c>
      <c r="AB895" t="inlineStr">
        <is>
          <t>Copeland_RLA_230_460_3ph_60Hz.xlsx</t>
        </is>
      </c>
      <c r="AC895" t="inlineStr">
        <is>
          <t>Recip_2D-9R</t>
        </is>
      </c>
    </row>
    <row r="896">
      <c r="A896" t="inlineStr">
        <is>
          <t>COPELAND</t>
        </is>
      </c>
      <c r="B896" t="inlineStr">
        <is>
          <t>4DR3A3000-FSD</t>
        </is>
      </c>
      <c r="D896" t="inlineStr">
        <is>
          <t>Reciprocating Semi-hermetic</t>
        </is>
      </c>
      <c r="E896" s="2" t="n">
        <v>3</v>
      </c>
      <c r="F896" s="2" t="n">
        <v>60</v>
      </c>
      <c r="G896" s="2" t="n">
        <v>460</v>
      </c>
      <c r="H896" t="inlineStr">
        <is>
          <t>460</t>
        </is>
      </c>
      <c r="I896" s="2" t="n">
        <v>460</v>
      </c>
      <c r="J896" s="2" t="n">
        <v>460</v>
      </c>
      <c r="L896" s="3" t="n"/>
      <c r="M896" s="3" t="n"/>
      <c r="N896" s="3" t="n">
        <v>45</v>
      </c>
      <c r="O896" s="3" t="n"/>
      <c r="P896" s="3">
        <f>IF(L896&lt;&gt;"",L896/1.4,"")</f>
        <v/>
      </c>
      <c r="Q896" s="3">
        <f>IF(L896&lt;&gt;"",L896/1.56,"")</f>
        <v/>
      </c>
      <c r="R896" s="3">
        <f>IF(M896&lt;&gt;"",M896/1.4,"")</f>
        <v/>
      </c>
      <c r="S896" s="3">
        <f>IF(M896&lt;&gt;"",M896/1.56,"")</f>
        <v/>
      </c>
      <c r="T896" s="3">
        <f>IF(N896&lt;&gt;"",N896,IF(O896&lt;&gt;"",O896,IF(L896&lt;&gt;"",L896/1.56,IF(M896&lt;&gt;"",M896/1.56,""))))</f>
        <v/>
      </c>
      <c r="U896" s="3" t="n">
        <v>235</v>
      </c>
      <c r="V896" s="3" t="n">
        <v>141</v>
      </c>
      <c r="W896" s="3" t="n"/>
      <c r="X896" s="4" t="n"/>
      <c r="Y896" s="5" t="n">
        <v>0.45</v>
      </c>
      <c r="Z896" s="4">
        <f>IF(L896&lt;&gt;"",SQRT(3)*G896*L896/1000,"")</f>
        <v/>
      </c>
      <c r="AA896" t="inlineStr">
        <is>
          <t>Source=Copeland 2D/3D/4D/4R/6D/8D/9R compressors (pdf) p37; PWS_RLA=22.5</t>
        </is>
      </c>
      <c r="AB896" t="inlineStr">
        <is>
          <t>Copeland_RLA_230_460_3ph_60Hz.xlsx</t>
        </is>
      </c>
      <c r="AC896" t="inlineStr">
        <is>
          <t>Recip_2D-9R</t>
        </is>
      </c>
    </row>
    <row r="897">
      <c r="A897" t="inlineStr">
        <is>
          <t>COPELAND</t>
        </is>
      </c>
      <c r="B897" t="inlineStr">
        <is>
          <t>4DR3A3000-FXD</t>
        </is>
      </c>
      <c r="D897" t="inlineStr">
        <is>
          <t>Reciprocating Semi-hermetic</t>
        </is>
      </c>
      <c r="E897" s="2" t="n">
        <v>3</v>
      </c>
      <c r="F897" s="2" t="n">
        <v>60</v>
      </c>
      <c r="G897" s="2" t="n">
        <v>460</v>
      </c>
      <c r="H897" t="inlineStr">
        <is>
          <t>460</t>
        </is>
      </c>
      <c r="I897" s="2" t="n">
        <v>460</v>
      </c>
      <c r="J897" s="2" t="n">
        <v>460</v>
      </c>
      <c r="L897" s="3" t="n"/>
      <c r="M897" s="3" t="n"/>
      <c r="N897" s="3" t="n"/>
      <c r="O897" s="3" t="n"/>
      <c r="P897" s="3">
        <f>IF(L897&lt;&gt;"",L897/1.4,"")</f>
        <v/>
      </c>
      <c r="Q897" s="3">
        <f>IF(L897&lt;&gt;"",L897/1.56,"")</f>
        <v/>
      </c>
      <c r="R897" s="3">
        <f>IF(M897&lt;&gt;"",M897/1.4,"")</f>
        <v/>
      </c>
      <c r="S897" s="3">
        <f>IF(M897&lt;&gt;"",M897/1.56,"")</f>
        <v/>
      </c>
      <c r="T897" s="3">
        <f>IF(N897&lt;&gt;"",N897,IF(O897&lt;&gt;"",O897,IF(L897&lt;&gt;"",L897/1.56,IF(M897&lt;&gt;"",M897/1.56,""))))</f>
        <v/>
      </c>
      <c r="U897" s="3" t="n">
        <v>235</v>
      </c>
      <c r="V897" s="3" t="n">
        <v>141</v>
      </c>
      <c r="W897" s="3" t="n"/>
      <c r="X897" s="4" t="n"/>
      <c r="Y897" s="5" t="n">
        <v>0.45</v>
      </c>
      <c r="Z897" s="4">
        <f>IF(L897&lt;&gt;"",SQRT(3)*G897*L897/1000,"")</f>
        <v/>
      </c>
      <c r="AA897" t="inlineStr">
        <is>
          <t>Source=Copeland 2D/3D/4D/4R/6D/8D/9R compressors (pdf) p37</t>
        </is>
      </c>
      <c r="AB897" t="inlineStr">
        <is>
          <t>Copeland_RLA_230_460_3ph_60Hz.xlsx</t>
        </is>
      </c>
      <c r="AC897" t="inlineStr">
        <is>
          <t>Recip_2D-9R</t>
        </is>
      </c>
    </row>
    <row r="898">
      <c r="A898" t="inlineStr">
        <is>
          <t>COPELAND</t>
        </is>
      </c>
      <c r="B898" t="inlineStr">
        <is>
          <t>4DR3A3000-TSK</t>
        </is>
      </c>
      <c r="D898" t="inlineStr">
        <is>
          <t>Reciprocating Semi-hermetic</t>
        </is>
      </c>
      <c r="E898" s="2" t="n">
        <v>3</v>
      </c>
      <c r="F898" s="2" t="n">
        <v>60</v>
      </c>
      <c r="G898" s="2" t="n">
        <v>230</v>
      </c>
      <c r="H898" t="inlineStr">
        <is>
          <t>208/230</t>
        </is>
      </c>
      <c r="I898" s="2" t="n">
        <v>208</v>
      </c>
      <c r="J898" s="2" t="n">
        <v>230</v>
      </c>
      <c r="L898" s="3" t="n"/>
      <c r="M898" s="3" t="n"/>
      <c r="N898" s="3" t="n">
        <v>94</v>
      </c>
      <c r="O898" s="3" t="n"/>
      <c r="P898" s="3">
        <f>IF(L898&lt;&gt;"",L898/1.4,"")</f>
        <v/>
      </c>
      <c r="Q898" s="3">
        <f>IF(L898&lt;&gt;"",L898/1.56,"")</f>
        <v/>
      </c>
      <c r="R898" s="3">
        <f>IF(M898&lt;&gt;"",M898/1.4,"")</f>
        <v/>
      </c>
      <c r="S898" s="3">
        <f>IF(M898&lt;&gt;"",M898/1.56,"")</f>
        <v/>
      </c>
      <c r="T898" s="3">
        <f>IF(N898&lt;&gt;"",N898,IF(O898&lt;&gt;"",O898,IF(L898&lt;&gt;"",L898/1.56,IF(M898&lt;&gt;"",M898/1.56,""))))</f>
        <v/>
      </c>
      <c r="U898" s="3" t="n">
        <v>470</v>
      </c>
      <c r="V898" s="3" t="n">
        <v>292</v>
      </c>
      <c r="W898" s="3" t="n"/>
      <c r="X898" s="4" t="n"/>
      <c r="Y898" s="5" t="n">
        <v>0.111</v>
      </c>
      <c r="Z898" s="4">
        <f>IF(L898&lt;&gt;"",SQRT(3)*G898*L898/1000,"")</f>
        <v/>
      </c>
      <c r="AA898" t="inlineStr">
        <is>
          <t>Source=Copeland 2D/3D/4D/4R/6D/8D/9R compressors (pdf) p37; PWS_RLA=47.0</t>
        </is>
      </c>
      <c r="AB898" t="inlineStr">
        <is>
          <t>Copeland_RLA_230_460_3ph_60Hz.xlsx</t>
        </is>
      </c>
      <c r="AC898" t="inlineStr">
        <is>
          <t>Recip_2D-9R</t>
        </is>
      </c>
    </row>
    <row r="899">
      <c r="A899" t="inlineStr">
        <is>
          <t>COPELAND</t>
        </is>
      </c>
      <c r="B899" t="inlineStr">
        <is>
          <t>4DR3A3000-TSK</t>
        </is>
      </c>
      <c r="D899" t="inlineStr">
        <is>
          <t>Reciprocating Semi-hermetic</t>
        </is>
      </c>
      <c r="E899" s="2" t="n">
        <v>3</v>
      </c>
      <c r="F899" s="2" t="n">
        <v>60</v>
      </c>
      <c r="G899" s="2" t="n">
        <v>460</v>
      </c>
      <c r="H899" t="inlineStr">
        <is>
          <t>460</t>
        </is>
      </c>
      <c r="I899" s="2" t="n">
        <v>460</v>
      </c>
      <c r="J899" s="2" t="n">
        <v>460</v>
      </c>
      <c r="L899" s="3" t="n"/>
      <c r="M899" s="3" t="n"/>
      <c r="N899" s="3" t="n">
        <v>47</v>
      </c>
      <c r="O899" s="3" t="n"/>
      <c r="P899" s="3">
        <f>IF(L899&lt;&gt;"",L899/1.4,"")</f>
        <v/>
      </c>
      <c r="Q899" s="3">
        <f>IF(L899&lt;&gt;"",L899/1.56,"")</f>
        <v/>
      </c>
      <c r="R899" s="3">
        <f>IF(M899&lt;&gt;"",M899/1.4,"")</f>
        <v/>
      </c>
      <c r="S899" s="3">
        <f>IF(M899&lt;&gt;"",M899/1.56,"")</f>
        <v/>
      </c>
      <c r="T899" s="3">
        <f>IF(N899&lt;&gt;"",N899,IF(O899&lt;&gt;"",O899,IF(L899&lt;&gt;"",L899/1.56,IF(M899&lt;&gt;"",M899/1.56,""))))</f>
        <v/>
      </c>
      <c r="U899" s="3" t="n">
        <v>235</v>
      </c>
      <c r="V899" s="3" t="n"/>
      <c r="W899" s="3" t="n"/>
      <c r="X899" s="4" t="n"/>
      <c r="Y899" s="5" t="n">
        <v>0.444</v>
      </c>
      <c r="Z899" s="4">
        <f>IF(L899&lt;&gt;"",SQRT(3)*G899*L899/1000,"")</f>
        <v/>
      </c>
      <c r="AA899" t="inlineStr">
        <is>
          <t>Source=Copeland 2D/3D/4D/4R/6D/8D/9R compressors (pdf) p37</t>
        </is>
      </c>
      <c r="AB899" t="inlineStr">
        <is>
          <t>Copeland_RLA_230_460_3ph_60Hz.xlsx</t>
        </is>
      </c>
      <c r="AC899" t="inlineStr">
        <is>
          <t>Recip_2D-9R</t>
        </is>
      </c>
    </row>
    <row r="900">
      <c r="A900" t="inlineStr">
        <is>
          <t>COPELAND</t>
        </is>
      </c>
      <c r="B900" t="inlineStr">
        <is>
          <t>4DR3A3000-TXK</t>
        </is>
      </c>
      <c r="D900" t="inlineStr">
        <is>
          <t>Reciprocating Semi-hermetic</t>
        </is>
      </c>
      <c r="E900" s="2" t="n">
        <v>3</v>
      </c>
      <c r="F900" s="2" t="n">
        <v>60</v>
      </c>
      <c r="G900" s="2" t="n">
        <v>230</v>
      </c>
      <c r="H900" t="inlineStr">
        <is>
          <t>208/230</t>
        </is>
      </c>
      <c r="I900" s="2" t="n">
        <v>208</v>
      </c>
      <c r="J900" s="2" t="n">
        <v>230</v>
      </c>
      <c r="L900" s="3" t="n"/>
      <c r="M900" s="3" t="n"/>
      <c r="N900" s="3" t="n"/>
      <c r="O900" s="3" t="n"/>
      <c r="P900" s="3">
        <f>IF(L900&lt;&gt;"",L900/1.4,"")</f>
        <v/>
      </c>
      <c r="Q900" s="3">
        <f>IF(L900&lt;&gt;"",L900/1.56,"")</f>
        <v/>
      </c>
      <c r="R900" s="3">
        <f>IF(M900&lt;&gt;"",M900/1.4,"")</f>
        <v/>
      </c>
      <c r="S900" s="3">
        <f>IF(M900&lt;&gt;"",M900/1.56,"")</f>
        <v/>
      </c>
      <c r="T900" s="3">
        <f>IF(N900&lt;&gt;"",N900,IF(O900&lt;&gt;"",O900,IF(L900&lt;&gt;"",L900/1.56,IF(M900&lt;&gt;"",M900/1.56,""))))</f>
        <v/>
      </c>
      <c r="U900" s="3" t="n">
        <v>470</v>
      </c>
      <c r="V900" s="3" t="n">
        <v>292</v>
      </c>
      <c r="W900" s="3" t="n"/>
      <c r="X900" s="4" t="n"/>
      <c r="Y900" s="5" t="n">
        <v>0.111</v>
      </c>
      <c r="Z900" s="4">
        <f>IF(L900&lt;&gt;"",SQRT(3)*G900*L900/1000,"")</f>
        <v/>
      </c>
      <c r="AA900" t="inlineStr">
        <is>
          <t>Source=Copeland 2D/3D/4D/4R/6D/8D/9R compressors (pdf) p37</t>
        </is>
      </c>
      <c r="AB900" t="inlineStr">
        <is>
          <t>Copeland_RLA_230_460_3ph_60Hz.xlsx</t>
        </is>
      </c>
      <c r="AC900" t="inlineStr">
        <is>
          <t>Recip_2D-9R</t>
        </is>
      </c>
    </row>
    <row r="901">
      <c r="A901" t="inlineStr">
        <is>
          <t>COPELAND</t>
        </is>
      </c>
      <c r="B901" t="inlineStr">
        <is>
          <t>4DR3A3000-TXK</t>
        </is>
      </c>
      <c r="D901" t="inlineStr">
        <is>
          <t>Reciprocating Semi-hermetic</t>
        </is>
      </c>
      <c r="E901" s="2" t="n">
        <v>3</v>
      </c>
      <c r="F901" s="2" t="n">
        <v>60</v>
      </c>
      <c r="G901" s="2" t="n">
        <v>460</v>
      </c>
      <c r="H901" t="inlineStr">
        <is>
          <t>460</t>
        </is>
      </c>
      <c r="I901" s="2" t="n">
        <v>460</v>
      </c>
      <c r="J901" s="2" t="n">
        <v>460</v>
      </c>
      <c r="L901" s="3" t="n"/>
      <c r="M901" s="3" t="n"/>
      <c r="N901" s="3" t="n"/>
      <c r="O901" s="3" t="n"/>
      <c r="P901" s="3">
        <f>IF(L901&lt;&gt;"",L901/1.4,"")</f>
        <v/>
      </c>
      <c r="Q901" s="3">
        <f>IF(L901&lt;&gt;"",L901/1.56,"")</f>
        <v/>
      </c>
      <c r="R901" s="3">
        <f>IF(M901&lt;&gt;"",M901/1.4,"")</f>
        <v/>
      </c>
      <c r="S901" s="3">
        <f>IF(M901&lt;&gt;"",M901/1.56,"")</f>
        <v/>
      </c>
      <c r="T901" s="3">
        <f>IF(N901&lt;&gt;"",N901,IF(O901&lt;&gt;"",O901,IF(L901&lt;&gt;"",L901/1.56,IF(M901&lt;&gt;"",M901/1.56,""))))</f>
        <v/>
      </c>
      <c r="U901" s="3" t="n">
        <v>235</v>
      </c>
      <c r="V901" s="3" t="n"/>
      <c r="W901" s="3" t="n"/>
      <c r="X901" s="4" t="n"/>
      <c r="Y901" s="5" t="n">
        <v>0.444</v>
      </c>
      <c r="Z901" s="4">
        <f>IF(L901&lt;&gt;"",SQRT(3)*G901*L901/1000,"")</f>
        <v/>
      </c>
      <c r="AA901" t="inlineStr">
        <is>
          <t>Source=Copeland 2D/3D/4D/4R/6D/8D/9R compressors (pdf) p37</t>
        </is>
      </c>
      <c r="AB901" t="inlineStr">
        <is>
          <t>Copeland_RLA_230_460_3ph_60Hz.xlsx</t>
        </is>
      </c>
      <c r="AC901" t="inlineStr">
        <is>
          <t>Recip_2D-9R</t>
        </is>
      </c>
    </row>
    <row r="902">
      <c r="A902" t="inlineStr">
        <is>
          <t>COPELAND</t>
        </is>
      </c>
      <c r="B902" t="inlineStr">
        <is>
          <t>4DR3A300E-FSD</t>
        </is>
      </c>
      <c r="D902" t="inlineStr">
        <is>
          <t>Reciprocating Semi-hermetic</t>
        </is>
      </c>
      <c r="E902" s="2" t="n">
        <v>3</v>
      </c>
      <c r="F902" s="2" t="n">
        <v>60</v>
      </c>
      <c r="G902" s="2" t="n">
        <v>460</v>
      </c>
      <c r="H902" t="inlineStr">
        <is>
          <t>460</t>
        </is>
      </c>
      <c r="I902" s="2" t="n">
        <v>460</v>
      </c>
      <c r="J902" s="2" t="n">
        <v>460</v>
      </c>
      <c r="L902" s="3" t="n"/>
      <c r="M902" s="3" t="n"/>
      <c r="N902" s="3" t="n">
        <v>45</v>
      </c>
      <c r="O902" s="3" t="n"/>
      <c r="P902" s="3">
        <f>IF(L902&lt;&gt;"",L902/1.4,"")</f>
        <v/>
      </c>
      <c r="Q902" s="3">
        <f>IF(L902&lt;&gt;"",L902/1.56,"")</f>
        <v/>
      </c>
      <c r="R902" s="3">
        <f>IF(M902&lt;&gt;"",M902/1.4,"")</f>
        <v/>
      </c>
      <c r="S902" s="3">
        <f>IF(M902&lt;&gt;"",M902/1.56,"")</f>
        <v/>
      </c>
      <c r="T902" s="3">
        <f>IF(N902&lt;&gt;"",N902,IF(O902&lt;&gt;"",O902,IF(L902&lt;&gt;"",L902/1.56,IF(M902&lt;&gt;"",M902/1.56,""))))</f>
        <v/>
      </c>
      <c r="U902" s="3" t="n">
        <v>235</v>
      </c>
      <c r="V902" s="3" t="n">
        <v>141</v>
      </c>
      <c r="W902" s="3" t="n"/>
      <c r="X902" s="4" t="n"/>
      <c r="Y902" s="5" t="n">
        <v>0.45</v>
      </c>
      <c r="Z902" s="4">
        <f>IF(L902&lt;&gt;"",SQRT(3)*G902*L902/1000,"")</f>
        <v/>
      </c>
      <c r="AA902" t="inlineStr">
        <is>
          <t>Source=Copeland 2D/3D/4D/4R/6D/8D/9R compressors (pdf) p37; PWS_RLA=22.5</t>
        </is>
      </c>
      <c r="AB902" t="inlineStr">
        <is>
          <t>Copeland_RLA_230_460_3ph_60Hz.xlsx</t>
        </is>
      </c>
      <c r="AC902" t="inlineStr">
        <is>
          <t>Recip_2D-9R</t>
        </is>
      </c>
    </row>
    <row r="903">
      <c r="A903" t="inlineStr">
        <is>
          <t>COPELAND</t>
        </is>
      </c>
      <c r="B903" t="inlineStr">
        <is>
          <t>4DR3A300E-TSK</t>
        </is>
      </c>
      <c r="D903" t="inlineStr">
        <is>
          <t>Reciprocating Semi-hermetic</t>
        </is>
      </c>
      <c r="E903" s="2" t="n">
        <v>3</v>
      </c>
      <c r="F903" s="2" t="n">
        <v>60</v>
      </c>
      <c r="G903" s="2" t="n">
        <v>230</v>
      </c>
      <c r="H903" t="inlineStr">
        <is>
          <t>208/230</t>
        </is>
      </c>
      <c r="I903" s="2" t="n">
        <v>208</v>
      </c>
      <c r="J903" s="2" t="n">
        <v>230</v>
      </c>
      <c r="L903" s="3" t="n"/>
      <c r="M903" s="3" t="n"/>
      <c r="N903" s="3" t="n">
        <v>94</v>
      </c>
      <c r="O903" s="3" t="n"/>
      <c r="P903" s="3">
        <f>IF(L903&lt;&gt;"",L903/1.4,"")</f>
        <v/>
      </c>
      <c r="Q903" s="3">
        <f>IF(L903&lt;&gt;"",L903/1.56,"")</f>
        <v/>
      </c>
      <c r="R903" s="3">
        <f>IF(M903&lt;&gt;"",M903/1.4,"")</f>
        <v/>
      </c>
      <c r="S903" s="3">
        <f>IF(M903&lt;&gt;"",M903/1.56,"")</f>
        <v/>
      </c>
      <c r="T903" s="3">
        <f>IF(N903&lt;&gt;"",N903,IF(O903&lt;&gt;"",O903,IF(L903&lt;&gt;"",L903/1.56,IF(M903&lt;&gt;"",M903/1.56,""))))</f>
        <v/>
      </c>
      <c r="U903" s="3" t="n">
        <v>470</v>
      </c>
      <c r="V903" s="3" t="n">
        <v>292</v>
      </c>
      <c r="W903" s="3" t="n"/>
      <c r="X903" s="4" t="n"/>
      <c r="Y903" s="5" t="n">
        <v>0.111</v>
      </c>
      <c r="Z903" s="4">
        <f>IF(L903&lt;&gt;"",SQRT(3)*G903*L903/1000,"")</f>
        <v/>
      </c>
      <c r="AA903" t="inlineStr">
        <is>
          <t>Source=Copeland 2D/3D/4D/4R/6D/8D/9R compressors (pdf) p38; PWS_RLA=47.0</t>
        </is>
      </c>
      <c r="AB903" t="inlineStr">
        <is>
          <t>Copeland_RLA_230_460_3ph_60Hz.xlsx</t>
        </is>
      </c>
      <c r="AC903" t="inlineStr">
        <is>
          <t>Recip_2D-9R</t>
        </is>
      </c>
    </row>
    <row r="904">
      <c r="A904" t="inlineStr">
        <is>
          <t>COPELAND</t>
        </is>
      </c>
      <c r="B904" t="inlineStr">
        <is>
          <t>4DR3A300E-TSK</t>
        </is>
      </c>
      <c r="D904" t="inlineStr">
        <is>
          <t>Reciprocating Semi-hermetic</t>
        </is>
      </c>
      <c r="E904" s="2" t="n">
        <v>3</v>
      </c>
      <c r="F904" s="2" t="n">
        <v>60</v>
      </c>
      <c r="G904" s="2" t="n">
        <v>460</v>
      </c>
      <c r="H904" t="inlineStr">
        <is>
          <t>460</t>
        </is>
      </c>
      <c r="I904" s="2" t="n">
        <v>460</v>
      </c>
      <c r="J904" s="2" t="n">
        <v>460</v>
      </c>
      <c r="L904" s="3" t="n"/>
      <c r="M904" s="3" t="n"/>
      <c r="N904" s="3" t="n">
        <v>55</v>
      </c>
      <c r="O904" s="3" t="n"/>
      <c r="P904" s="3">
        <f>IF(L904&lt;&gt;"",L904/1.4,"")</f>
        <v/>
      </c>
      <c r="Q904" s="3">
        <f>IF(L904&lt;&gt;"",L904/1.56,"")</f>
        <v/>
      </c>
      <c r="R904" s="3">
        <f>IF(M904&lt;&gt;"",M904/1.4,"")</f>
        <v/>
      </c>
      <c r="S904" s="3">
        <f>IF(M904&lt;&gt;"",M904/1.56,"")</f>
        <v/>
      </c>
      <c r="T904" s="3">
        <f>IF(N904&lt;&gt;"",N904,IF(O904&lt;&gt;"",O904,IF(L904&lt;&gt;"",L904/1.56,IF(M904&lt;&gt;"",M904/1.56,""))))</f>
        <v/>
      </c>
      <c r="U904" s="3" t="n">
        <v>235</v>
      </c>
      <c r="V904" s="3" t="n"/>
      <c r="W904" s="3" t="n"/>
      <c r="X904" s="4" t="n"/>
      <c r="Y904" s="5" t="n">
        <v>0.444</v>
      </c>
      <c r="Z904" s="4">
        <f>IF(L904&lt;&gt;"",SQRT(3)*G904*L904/1000,"")</f>
        <v/>
      </c>
      <c r="AA904" t="inlineStr">
        <is>
          <t>Source=Copeland 2D/3D/4D/4R/6D/8D/9R compressors (pdf) p38</t>
        </is>
      </c>
      <c r="AB904" t="inlineStr">
        <is>
          <t>Copeland_RLA_230_460_3ph_60Hz.xlsx</t>
        </is>
      </c>
      <c r="AC904" t="inlineStr">
        <is>
          <t>Recip_2D-9R</t>
        </is>
      </c>
    </row>
    <row r="905">
      <c r="A905" t="inlineStr">
        <is>
          <t>COPELAND</t>
        </is>
      </c>
      <c r="B905" t="inlineStr">
        <is>
          <t>4DR3A300L-FSD</t>
        </is>
      </c>
      <c r="D905" t="inlineStr">
        <is>
          <t>Reciprocating Semi-hermetic</t>
        </is>
      </c>
      <c r="E905" s="2" t="n">
        <v>3</v>
      </c>
      <c r="F905" s="2" t="n">
        <v>60</v>
      </c>
      <c r="G905" s="2" t="n">
        <v>460</v>
      </c>
      <c r="H905" t="inlineStr">
        <is>
          <t>460</t>
        </is>
      </c>
      <c r="I905" s="2" t="n">
        <v>460</v>
      </c>
      <c r="J905" s="2" t="n">
        <v>460</v>
      </c>
      <c r="L905" s="3" t="n"/>
      <c r="M905" s="3" t="n"/>
      <c r="N905" s="3" t="n">
        <v>45</v>
      </c>
      <c r="O905" s="3" t="n"/>
      <c r="P905" s="3">
        <f>IF(L905&lt;&gt;"",L905/1.4,"")</f>
        <v/>
      </c>
      <c r="Q905" s="3">
        <f>IF(L905&lt;&gt;"",L905/1.56,"")</f>
        <v/>
      </c>
      <c r="R905" s="3">
        <f>IF(M905&lt;&gt;"",M905/1.4,"")</f>
        <v/>
      </c>
      <c r="S905" s="3">
        <f>IF(M905&lt;&gt;"",M905/1.56,"")</f>
        <v/>
      </c>
      <c r="T905" s="3">
        <f>IF(N905&lt;&gt;"",N905,IF(O905&lt;&gt;"",O905,IF(L905&lt;&gt;"",L905/1.56,IF(M905&lt;&gt;"",M905/1.56,""))))</f>
        <v/>
      </c>
      <c r="U905" s="3" t="n">
        <v>235</v>
      </c>
      <c r="V905" s="3" t="n">
        <v>141</v>
      </c>
      <c r="W905" s="3" t="n"/>
      <c r="X905" s="4" t="n"/>
      <c r="Y905" s="5" t="n">
        <v>0.45</v>
      </c>
      <c r="Z905" s="4">
        <f>IF(L905&lt;&gt;"",SQRT(3)*G905*L905/1000,"")</f>
        <v/>
      </c>
      <c r="AA905" t="inlineStr">
        <is>
          <t>Source=Copeland 2D/3D/4D/4R/6D/8D/9R compressors (pdf) p38; PWS_RLA=22.5</t>
        </is>
      </c>
      <c r="AB905" t="inlineStr">
        <is>
          <t>Copeland_RLA_230_460_3ph_60Hz.xlsx</t>
        </is>
      </c>
      <c r="AC905" t="inlineStr">
        <is>
          <t>Recip_2D-9R</t>
        </is>
      </c>
    </row>
    <row r="906">
      <c r="A906" t="inlineStr">
        <is>
          <t>COPELAND</t>
        </is>
      </c>
      <c r="B906" t="inlineStr">
        <is>
          <t>4DR3A300L-TSK</t>
        </is>
      </c>
      <c r="D906" t="inlineStr">
        <is>
          <t>Reciprocating Semi-hermetic</t>
        </is>
      </c>
      <c r="E906" s="2" t="n">
        <v>3</v>
      </c>
      <c r="F906" s="2" t="n">
        <v>60</v>
      </c>
      <c r="G906" s="2" t="n">
        <v>230</v>
      </c>
      <c r="H906" t="inlineStr">
        <is>
          <t>208/230</t>
        </is>
      </c>
      <c r="I906" s="2" t="n">
        <v>208</v>
      </c>
      <c r="J906" s="2" t="n">
        <v>230</v>
      </c>
      <c r="L906" s="3" t="n"/>
      <c r="M906" s="3" t="n"/>
      <c r="N906" s="3" t="n">
        <v>94</v>
      </c>
      <c r="O906" s="3" t="n"/>
      <c r="P906" s="3">
        <f>IF(L906&lt;&gt;"",L906/1.4,"")</f>
        <v/>
      </c>
      <c r="Q906" s="3">
        <f>IF(L906&lt;&gt;"",L906/1.56,"")</f>
        <v/>
      </c>
      <c r="R906" s="3">
        <f>IF(M906&lt;&gt;"",M906/1.4,"")</f>
        <v/>
      </c>
      <c r="S906" s="3">
        <f>IF(M906&lt;&gt;"",M906/1.56,"")</f>
        <v/>
      </c>
      <c r="T906" s="3">
        <f>IF(N906&lt;&gt;"",N906,IF(O906&lt;&gt;"",O906,IF(L906&lt;&gt;"",L906/1.56,IF(M906&lt;&gt;"",M906/1.56,""))))</f>
        <v/>
      </c>
      <c r="U906" s="3" t="n">
        <v>470</v>
      </c>
      <c r="V906" s="3" t="n">
        <v>292</v>
      </c>
      <c r="W906" s="3" t="n"/>
      <c r="X906" s="4" t="n"/>
      <c r="Y906" s="5" t="n">
        <v>0.111</v>
      </c>
      <c r="Z906" s="4">
        <f>IF(L906&lt;&gt;"",SQRT(3)*G906*L906/1000,"")</f>
        <v/>
      </c>
      <c r="AA906" t="inlineStr">
        <is>
          <t>Source=Copeland 2D/3D/4D/4R/6D/8D/9R compressors (pdf) p38; PWS_RLA=47.0</t>
        </is>
      </c>
      <c r="AB906" t="inlineStr">
        <is>
          <t>Copeland_RLA_230_460_3ph_60Hz.xlsx</t>
        </is>
      </c>
      <c r="AC906" t="inlineStr">
        <is>
          <t>Recip_2D-9R</t>
        </is>
      </c>
    </row>
    <row r="907">
      <c r="A907" t="inlineStr">
        <is>
          <t>COPELAND</t>
        </is>
      </c>
      <c r="B907" t="inlineStr">
        <is>
          <t>4DR3A300L-TSK</t>
        </is>
      </c>
      <c r="D907" t="inlineStr">
        <is>
          <t>Reciprocating Semi-hermetic</t>
        </is>
      </c>
      <c r="E907" s="2" t="n">
        <v>3</v>
      </c>
      <c r="F907" s="2" t="n">
        <v>60</v>
      </c>
      <c r="G907" s="2" t="n">
        <v>460</v>
      </c>
      <c r="H907" t="inlineStr">
        <is>
          <t>460</t>
        </is>
      </c>
      <c r="I907" s="2" t="n">
        <v>460</v>
      </c>
      <c r="J907" s="2" t="n">
        <v>460</v>
      </c>
      <c r="L907" s="3" t="n"/>
      <c r="M907" s="3" t="n"/>
      <c r="N907" s="3" t="n">
        <v>55</v>
      </c>
      <c r="O907" s="3" t="n"/>
      <c r="P907" s="3">
        <f>IF(L907&lt;&gt;"",L907/1.4,"")</f>
        <v/>
      </c>
      <c r="Q907" s="3">
        <f>IF(L907&lt;&gt;"",L907/1.56,"")</f>
        <v/>
      </c>
      <c r="R907" s="3">
        <f>IF(M907&lt;&gt;"",M907/1.4,"")</f>
        <v/>
      </c>
      <c r="S907" s="3">
        <f>IF(M907&lt;&gt;"",M907/1.56,"")</f>
        <v/>
      </c>
      <c r="T907" s="3">
        <f>IF(N907&lt;&gt;"",N907,IF(O907&lt;&gt;"",O907,IF(L907&lt;&gt;"",L907/1.56,IF(M907&lt;&gt;"",M907/1.56,""))))</f>
        <v/>
      </c>
      <c r="U907" s="3" t="n">
        <v>235</v>
      </c>
      <c r="V907" s="3" t="n"/>
      <c r="W907" s="3" t="n"/>
      <c r="X907" s="4" t="n"/>
      <c r="Y907" s="5" t="n">
        <v>0.444</v>
      </c>
      <c r="Z907" s="4">
        <f>IF(L907&lt;&gt;"",SQRT(3)*G907*L907/1000,"")</f>
        <v/>
      </c>
      <c r="AA907" t="inlineStr">
        <is>
          <t>Source=Copeland 2D/3D/4D/4R/6D/8D/9R compressors (pdf) p38</t>
        </is>
      </c>
      <c r="AB907" t="inlineStr">
        <is>
          <t>Copeland_RLA_230_460_3ph_60Hz.xlsx</t>
        </is>
      </c>
      <c r="AC907" t="inlineStr">
        <is>
          <t>Recip_2D-9R</t>
        </is>
      </c>
    </row>
    <row r="908">
      <c r="A908" t="inlineStr">
        <is>
          <t>COPELAND</t>
        </is>
      </c>
      <c r="B908" t="inlineStr">
        <is>
          <t>4DR3F76KE-FSD</t>
        </is>
      </c>
      <c r="D908" t="inlineStr">
        <is>
          <t>Reciprocating Semi-hermetic</t>
        </is>
      </c>
      <c r="E908" s="2" t="n">
        <v>3</v>
      </c>
      <c r="F908" s="2" t="n">
        <v>60</v>
      </c>
      <c r="G908" s="2" t="n">
        <v>460</v>
      </c>
      <c r="H908" t="inlineStr">
        <is>
          <t>460</t>
        </is>
      </c>
      <c r="I908" s="2" t="n">
        <v>460</v>
      </c>
      <c r="J908" s="2" t="n">
        <v>460</v>
      </c>
      <c r="L908" s="3" t="n"/>
      <c r="M908" s="3" t="n"/>
      <c r="N908" s="3" t="n">
        <v>33.9</v>
      </c>
      <c r="O908" s="3" t="n"/>
      <c r="P908" s="3">
        <f>IF(L908&lt;&gt;"",L908/1.4,"")</f>
        <v/>
      </c>
      <c r="Q908" s="3">
        <f>IF(L908&lt;&gt;"",L908/1.56,"")</f>
        <v/>
      </c>
      <c r="R908" s="3">
        <f>IF(M908&lt;&gt;"",M908/1.4,"")</f>
        <v/>
      </c>
      <c r="S908" s="3">
        <f>IF(M908&lt;&gt;"",M908/1.56,"")</f>
        <v/>
      </c>
      <c r="T908" s="3">
        <f>IF(N908&lt;&gt;"",N908,IF(O908&lt;&gt;"",O908,IF(L908&lt;&gt;"",L908/1.56,IF(M908&lt;&gt;"",M908/1.56,""))))</f>
        <v/>
      </c>
      <c r="U908" s="3" t="n">
        <v>180</v>
      </c>
      <c r="V908" s="3" t="n">
        <v>108</v>
      </c>
      <c r="W908" s="3" t="n"/>
      <c r="X908" s="4" t="n"/>
      <c r="Y908" s="5" t="n">
        <v>0.5580000000000001</v>
      </c>
      <c r="Z908" s="4">
        <f>IF(L908&lt;&gt;"",SQRT(3)*G908*L908/1000,"")</f>
        <v/>
      </c>
      <c r="AA908" t="inlineStr">
        <is>
          <t>Source=Copeland 2D/3D/4D/4R/6D/8D/9R compressors (pdf) p38; PWS_RLA=17.0</t>
        </is>
      </c>
      <c r="AB908" t="inlineStr">
        <is>
          <t>Copeland_RLA_230_460_3ph_60Hz.xlsx</t>
        </is>
      </c>
      <c r="AC908" t="inlineStr">
        <is>
          <t>Recip_2D-9R</t>
        </is>
      </c>
    </row>
    <row r="909">
      <c r="A909" t="inlineStr">
        <is>
          <t>COPELAND</t>
        </is>
      </c>
      <c r="B909" t="inlineStr">
        <is>
          <t>4DR3F76KE-TSK</t>
        </is>
      </c>
      <c r="D909" t="inlineStr">
        <is>
          <t>Reciprocating Semi-hermetic</t>
        </is>
      </c>
      <c r="E909" s="2" t="n">
        <v>3</v>
      </c>
      <c r="F909" s="2" t="n">
        <v>60</v>
      </c>
      <c r="G909" s="2" t="n">
        <v>230</v>
      </c>
      <c r="H909" t="inlineStr">
        <is>
          <t>208/230</t>
        </is>
      </c>
      <c r="I909" s="2" t="n">
        <v>208</v>
      </c>
      <c r="J909" s="2" t="n">
        <v>230</v>
      </c>
      <c r="L909" s="3" t="n"/>
      <c r="M909" s="3" t="n"/>
      <c r="N909" s="3" t="n">
        <v>64.3</v>
      </c>
      <c r="O909" s="3" t="n"/>
      <c r="P909" s="3">
        <f>IF(L909&lt;&gt;"",L909/1.4,"")</f>
        <v/>
      </c>
      <c r="Q909" s="3">
        <f>IF(L909&lt;&gt;"",L909/1.56,"")</f>
        <v/>
      </c>
      <c r="R909" s="3">
        <f>IF(M909&lt;&gt;"",M909/1.4,"")</f>
        <v/>
      </c>
      <c r="S909" s="3">
        <f>IF(M909&lt;&gt;"",M909/1.56,"")</f>
        <v/>
      </c>
      <c r="T909" s="3">
        <f>IF(N909&lt;&gt;"",N909,IF(O909&lt;&gt;"",O909,IF(L909&lt;&gt;"",L909/1.56,IF(M909&lt;&gt;"",M909/1.56,""))))</f>
        <v/>
      </c>
      <c r="U909" s="3" t="n">
        <v>374</v>
      </c>
      <c r="V909" s="3" t="n">
        <v>222</v>
      </c>
      <c r="W909" s="3" t="n"/>
      <c r="X909" s="4" t="n"/>
      <c r="Y909" s="5" t="n">
        <v>0.14</v>
      </c>
      <c r="Z909" s="4">
        <f>IF(L909&lt;&gt;"",SQRT(3)*G909*L909/1000,"")</f>
        <v/>
      </c>
      <c r="AA909" t="inlineStr">
        <is>
          <t>Source=Copeland 2D/3D/4D/4R/6D/8D/9R compressors (pdf) p38; PWS_RLA=33.0</t>
        </is>
      </c>
      <c r="AB909" t="inlineStr">
        <is>
          <t>Copeland_RLA_230_460_3ph_60Hz.xlsx</t>
        </is>
      </c>
      <c r="AC909" t="inlineStr">
        <is>
          <t>Recip_2D-9R</t>
        </is>
      </c>
    </row>
    <row r="910">
      <c r="A910" t="inlineStr">
        <is>
          <t>COPELAND</t>
        </is>
      </c>
      <c r="B910" t="inlineStr">
        <is>
          <t>4DR3F76KE-TSK</t>
        </is>
      </c>
      <c r="D910" t="inlineStr">
        <is>
          <t>Reciprocating Semi-hermetic</t>
        </is>
      </c>
      <c r="E910" s="2" t="n">
        <v>3</v>
      </c>
      <c r="F910" s="2" t="n">
        <v>60</v>
      </c>
      <c r="G910" s="2" t="n">
        <v>460</v>
      </c>
      <c r="H910" t="inlineStr">
        <is>
          <t>460</t>
        </is>
      </c>
      <c r="I910" s="2" t="n">
        <v>460</v>
      </c>
      <c r="J910" s="2" t="n">
        <v>460</v>
      </c>
      <c r="L910" s="3" t="n"/>
      <c r="M910" s="3" t="n"/>
      <c r="N910" s="3" t="n">
        <v>32.1</v>
      </c>
      <c r="O910" s="3" t="n"/>
      <c r="P910" s="3">
        <f>IF(L910&lt;&gt;"",L910/1.4,"")</f>
        <v/>
      </c>
      <c r="Q910" s="3">
        <f>IF(L910&lt;&gt;"",L910/1.56,"")</f>
        <v/>
      </c>
      <c r="R910" s="3">
        <f>IF(M910&lt;&gt;"",M910/1.4,"")</f>
        <v/>
      </c>
      <c r="S910" s="3">
        <f>IF(M910&lt;&gt;"",M910/1.56,"")</f>
        <v/>
      </c>
      <c r="T910" s="3">
        <f>IF(N910&lt;&gt;"",N910,IF(O910&lt;&gt;"",O910,IF(L910&lt;&gt;"",L910/1.56,IF(M910&lt;&gt;"",M910/1.56,""))))</f>
        <v/>
      </c>
      <c r="U910" s="3" t="n">
        <v>187</v>
      </c>
      <c r="V910" s="3" t="n"/>
      <c r="W910" s="3" t="n"/>
      <c r="X910" s="4" t="n"/>
      <c r="Y910" s="5" t="n">
        <v>0.5600000000000001</v>
      </c>
      <c r="Z910" s="4">
        <f>IF(L910&lt;&gt;"",SQRT(3)*G910*L910/1000,"")</f>
        <v/>
      </c>
      <c r="AA910" t="inlineStr">
        <is>
          <t>Source=Copeland 2D/3D/4D/4R/6D/8D/9R compressors (pdf) p38</t>
        </is>
      </c>
      <c r="AB910" t="inlineStr">
        <is>
          <t>Copeland_RLA_230_460_3ph_60Hz.xlsx</t>
        </is>
      </c>
      <c r="AC910" t="inlineStr">
        <is>
          <t>Recip_2D-9R</t>
        </is>
      </c>
    </row>
    <row r="911">
      <c r="A911" t="inlineStr">
        <is>
          <t>COPELAND</t>
        </is>
      </c>
      <c r="B911" t="inlineStr">
        <is>
          <t>4DR3F76KL-FSD</t>
        </is>
      </c>
      <c r="D911" t="inlineStr">
        <is>
          <t>Reciprocating Semi-hermetic</t>
        </is>
      </c>
      <c r="E911" s="2" t="n">
        <v>3</v>
      </c>
      <c r="F911" s="2" t="n">
        <v>60</v>
      </c>
      <c r="G911" s="2" t="n">
        <v>460</v>
      </c>
      <c r="H911" t="inlineStr">
        <is>
          <t>460</t>
        </is>
      </c>
      <c r="I911" s="2" t="n">
        <v>460</v>
      </c>
      <c r="J911" s="2" t="n">
        <v>460</v>
      </c>
      <c r="L911" s="3" t="n"/>
      <c r="M911" s="3" t="n"/>
      <c r="N911" s="3" t="n">
        <v>33.9</v>
      </c>
      <c r="O911" s="3" t="n"/>
      <c r="P911" s="3">
        <f>IF(L911&lt;&gt;"",L911/1.4,"")</f>
        <v/>
      </c>
      <c r="Q911" s="3">
        <f>IF(L911&lt;&gt;"",L911/1.56,"")</f>
        <v/>
      </c>
      <c r="R911" s="3">
        <f>IF(M911&lt;&gt;"",M911/1.4,"")</f>
        <v/>
      </c>
      <c r="S911" s="3">
        <f>IF(M911&lt;&gt;"",M911/1.56,"")</f>
        <v/>
      </c>
      <c r="T911" s="3">
        <f>IF(N911&lt;&gt;"",N911,IF(O911&lt;&gt;"",O911,IF(L911&lt;&gt;"",L911/1.56,IF(M911&lt;&gt;"",M911/1.56,""))))</f>
        <v/>
      </c>
      <c r="U911" s="3" t="n">
        <v>180</v>
      </c>
      <c r="V911" s="3" t="n">
        <v>108</v>
      </c>
      <c r="W911" s="3" t="n"/>
      <c r="X911" s="4" t="n"/>
      <c r="Y911" s="5" t="n">
        <v>0.5580000000000001</v>
      </c>
      <c r="Z911" s="4">
        <f>IF(L911&lt;&gt;"",SQRT(3)*G911*L911/1000,"")</f>
        <v/>
      </c>
      <c r="AA911" t="inlineStr">
        <is>
          <t>Source=Copeland 2D/3D/4D/4R/6D/8D/9R compressors (pdf) p38; PWS_RLA=17.0</t>
        </is>
      </c>
      <c r="AB911" t="inlineStr">
        <is>
          <t>Copeland_RLA_230_460_3ph_60Hz.xlsx</t>
        </is>
      </c>
      <c r="AC911" t="inlineStr">
        <is>
          <t>Recip_2D-9R</t>
        </is>
      </c>
    </row>
    <row r="912">
      <c r="A912" t="inlineStr">
        <is>
          <t>COPELAND</t>
        </is>
      </c>
      <c r="B912" t="inlineStr">
        <is>
          <t>4DR3F76KL-TSK</t>
        </is>
      </c>
      <c r="D912" t="inlineStr">
        <is>
          <t>Reciprocating Semi-hermetic</t>
        </is>
      </c>
      <c r="E912" s="2" t="n">
        <v>3</v>
      </c>
      <c r="F912" s="2" t="n">
        <v>60</v>
      </c>
      <c r="G912" s="2" t="n">
        <v>230</v>
      </c>
      <c r="H912" t="inlineStr">
        <is>
          <t>208/230</t>
        </is>
      </c>
      <c r="I912" s="2" t="n">
        <v>208</v>
      </c>
      <c r="J912" s="2" t="n">
        <v>230</v>
      </c>
      <c r="L912" s="3" t="n"/>
      <c r="M912" s="3" t="n"/>
      <c r="N912" s="3" t="n">
        <v>64.3</v>
      </c>
      <c r="O912" s="3" t="n"/>
      <c r="P912" s="3">
        <f>IF(L912&lt;&gt;"",L912/1.4,"")</f>
        <v/>
      </c>
      <c r="Q912" s="3">
        <f>IF(L912&lt;&gt;"",L912/1.56,"")</f>
        <v/>
      </c>
      <c r="R912" s="3">
        <f>IF(M912&lt;&gt;"",M912/1.4,"")</f>
        <v/>
      </c>
      <c r="S912" s="3">
        <f>IF(M912&lt;&gt;"",M912/1.56,"")</f>
        <v/>
      </c>
      <c r="T912" s="3">
        <f>IF(N912&lt;&gt;"",N912,IF(O912&lt;&gt;"",O912,IF(L912&lt;&gt;"",L912/1.56,IF(M912&lt;&gt;"",M912/1.56,""))))</f>
        <v/>
      </c>
      <c r="U912" s="3" t="n">
        <v>374</v>
      </c>
      <c r="V912" s="3" t="n">
        <v>222</v>
      </c>
      <c r="W912" s="3" t="n"/>
      <c r="X912" s="4" t="n"/>
      <c r="Y912" s="5" t="n">
        <v>0.14</v>
      </c>
      <c r="Z912" s="4">
        <f>IF(L912&lt;&gt;"",SQRT(3)*G912*L912/1000,"")</f>
        <v/>
      </c>
      <c r="AA912" t="inlineStr">
        <is>
          <t>Source=Copeland 2D/3D/4D/4R/6D/8D/9R compressors (pdf) p38; PWS_RLA=33.0</t>
        </is>
      </c>
      <c r="AB912" t="inlineStr">
        <is>
          <t>Copeland_RLA_230_460_3ph_60Hz.xlsx</t>
        </is>
      </c>
      <c r="AC912" t="inlineStr">
        <is>
          <t>Recip_2D-9R</t>
        </is>
      </c>
    </row>
    <row r="913">
      <c r="A913" t="inlineStr">
        <is>
          <t>COPELAND</t>
        </is>
      </c>
      <c r="B913" t="inlineStr">
        <is>
          <t>4DR3F76KL-TSK</t>
        </is>
      </c>
      <c r="D913" t="inlineStr">
        <is>
          <t>Reciprocating Semi-hermetic</t>
        </is>
      </c>
      <c r="E913" s="2" t="n">
        <v>3</v>
      </c>
      <c r="F913" s="2" t="n">
        <v>60</v>
      </c>
      <c r="G913" s="2" t="n">
        <v>460</v>
      </c>
      <c r="H913" t="inlineStr">
        <is>
          <t>460</t>
        </is>
      </c>
      <c r="I913" s="2" t="n">
        <v>460</v>
      </c>
      <c r="J913" s="2" t="n">
        <v>460</v>
      </c>
      <c r="L913" s="3" t="n"/>
      <c r="M913" s="3" t="n"/>
      <c r="N913" s="3" t="n">
        <v>32.1</v>
      </c>
      <c r="O913" s="3" t="n"/>
      <c r="P913" s="3">
        <f>IF(L913&lt;&gt;"",L913/1.4,"")</f>
        <v/>
      </c>
      <c r="Q913" s="3">
        <f>IF(L913&lt;&gt;"",L913/1.56,"")</f>
        <v/>
      </c>
      <c r="R913" s="3">
        <f>IF(M913&lt;&gt;"",M913/1.4,"")</f>
        <v/>
      </c>
      <c r="S913" s="3">
        <f>IF(M913&lt;&gt;"",M913/1.56,"")</f>
        <v/>
      </c>
      <c r="T913" s="3">
        <f>IF(N913&lt;&gt;"",N913,IF(O913&lt;&gt;"",O913,IF(L913&lt;&gt;"",L913/1.56,IF(M913&lt;&gt;"",M913/1.56,""))))</f>
        <v/>
      </c>
      <c r="U913" s="3" t="n">
        <v>187</v>
      </c>
      <c r="V913" s="3" t="n"/>
      <c r="W913" s="3" t="n"/>
      <c r="X913" s="4" t="n"/>
      <c r="Y913" s="5" t="n">
        <v>0.5600000000000001</v>
      </c>
      <c r="Z913" s="4">
        <f>IF(L913&lt;&gt;"",SQRT(3)*G913*L913/1000,"")</f>
        <v/>
      </c>
      <c r="AA913" t="inlineStr">
        <is>
          <t>Source=Copeland 2D/3D/4D/4R/6D/8D/9R compressors (pdf) p38</t>
        </is>
      </c>
      <c r="AB913" t="inlineStr">
        <is>
          <t>Copeland_RLA_230_460_3ph_60Hz.xlsx</t>
        </is>
      </c>
      <c r="AC913" t="inlineStr">
        <is>
          <t>Recip_2D-9R</t>
        </is>
      </c>
    </row>
    <row r="914">
      <c r="A914" t="inlineStr">
        <is>
          <t>COPELAND</t>
        </is>
      </c>
      <c r="B914" t="inlineStr">
        <is>
          <t>4DR3R19ME-TSK</t>
        </is>
      </c>
      <c r="D914" t="inlineStr">
        <is>
          <t>Reciprocating Semi-hermetic</t>
        </is>
      </c>
      <c r="E914" s="2" t="n">
        <v>3</v>
      </c>
      <c r="F914" s="2" t="n">
        <v>60</v>
      </c>
      <c r="G914" s="2" t="n">
        <v>230</v>
      </c>
      <c r="H914" t="inlineStr">
        <is>
          <t>208/230</t>
        </is>
      </c>
      <c r="I914" s="2" t="n">
        <v>208</v>
      </c>
      <c r="J914" s="2" t="n">
        <v>230</v>
      </c>
      <c r="L914" s="3" t="n"/>
      <c r="M914" s="3" t="n"/>
      <c r="N914" s="3" t="n">
        <v>66</v>
      </c>
      <c r="O914" s="3" t="n"/>
      <c r="P914" s="3">
        <f>IF(L914&lt;&gt;"",L914/1.4,"")</f>
        <v/>
      </c>
      <c r="Q914" s="3">
        <f>IF(L914&lt;&gt;"",L914/1.56,"")</f>
        <v/>
      </c>
      <c r="R914" s="3">
        <f>IF(M914&lt;&gt;"",M914/1.4,"")</f>
        <v/>
      </c>
      <c r="S914" s="3">
        <f>IF(M914&lt;&gt;"",M914/1.56,"")</f>
        <v/>
      </c>
      <c r="T914" s="3">
        <f>IF(N914&lt;&gt;"",N914,IF(O914&lt;&gt;"",O914,IF(L914&lt;&gt;"",L914/1.56,IF(M914&lt;&gt;"",M914/1.56,""))))</f>
        <v/>
      </c>
      <c r="U914" s="3" t="n">
        <v>346</v>
      </c>
      <c r="V914" s="3" t="n">
        <v>208</v>
      </c>
      <c r="W914" s="3" t="n"/>
      <c r="X914" s="4" t="n"/>
      <c r="Y914" s="5" t="n">
        <v>0.142</v>
      </c>
      <c r="Z914" s="4">
        <f>IF(L914&lt;&gt;"",SQRT(3)*G914*L914/1000,"")</f>
        <v/>
      </c>
      <c r="AA914" t="inlineStr">
        <is>
          <t>Source=Copeland 2D/3D/4D/4R/6D/8D/9R compressors (pdf) p38; PWS_RLA=33.0</t>
        </is>
      </c>
      <c r="AB914" t="inlineStr">
        <is>
          <t>Copeland_RLA_230_460_3ph_60Hz.xlsx</t>
        </is>
      </c>
      <c r="AC914" t="inlineStr">
        <is>
          <t>Recip_2D-9R</t>
        </is>
      </c>
    </row>
    <row r="915">
      <c r="A915" t="inlineStr">
        <is>
          <t>COPELAND</t>
        </is>
      </c>
      <c r="B915" t="inlineStr">
        <is>
          <t>4DR3R19ME-TSK</t>
        </is>
      </c>
      <c r="D915" t="inlineStr">
        <is>
          <t>Reciprocating Semi-hermetic</t>
        </is>
      </c>
      <c r="E915" s="2" t="n">
        <v>3</v>
      </c>
      <c r="F915" s="2" t="n">
        <v>60</v>
      </c>
      <c r="G915" s="2" t="n">
        <v>460</v>
      </c>
      <c r="H915" t="inlineStr">
        <is>
          <t>460</t>
        </is>
      </c>
      <c r="I915" s="2" t="n">
        <v>460</v>
      </c>
      <c r="J915" s="2" t="n">
        <v>460</v>
      </c>
      <c r="L915" s="3" t="n"/>
      <c r="M915" s="3" t="n"/>
      <c r="N915" s="3" t="n">
        <v>33</v>
      </c>
      <c r="O915" s="3" t="n"/>
      <c r="P915" s="3">
        <f>IF(L915&lt;&gt;"",L915/1.4,"")</f>
        <v/>
      </c>
      <c r="Q915" s="3">
        <f>IF(L915&lt;&gt;"",L915/1.56,"")</f>
        <v/>
      </c>
      <c r="R915" s="3">
        <f>IF(M915&lt;&gt;"",M915/1.4,"")</f>
        <v/>
      </c>
      <c r="S915" s="3">
        <f>IF(M915&lt;&gt;"",M915/1.56,"")</f>
        <v/>
      </c>
      <c r="T915" s="3">
        <f>IF(N915&lt;&gt;"",N915,IF(O915&lt;&gt;"",O915,IF(L915&lt;&gt;"",L915/1.56,IF(M915&lt;&gt;"",M915/1.56,""))))</f>
        <v/>
      </c>
      <c r="U915" s="3" t="n">
        <v>173</v>
      </c>
      <c r="V915" s="3" t="n"/>
      <c r="W915" s="3" t="n"/>
      <c r="X915" s="4" t="n"/>
      <c r="Y915" s="5" t="n">
        <v>0.5679999999999999</v>
      </c>
      <c r="Z915" s="4">
        <f>IF(L915&lt;&gt;"",SQRT(3)*G915*L915/1000,"")</f>
        <v/>
      </c>
      <c r="AA915" t="inlineStr">
        <is>
          <t>Source=Copeland 2D/3D/4D/4R/6D/8D/9R compressors (pdf) p38</t>
        </is>
      </c>
      <c r="AB915" t="inlineStr">
        <is>
          <t>Copeland_RLA_230_460_3ph_60Hz.xlsx</t>
        </is>
      </c>
      <c r="AC915" t="inlineStr">
        <is>
          <t>Recip_2D-9R</t>
        </is>
      </c>
    </row>
    <row r="916">
      <c r="A916" t="inlineStr">
        <is>
          <t>COPELAND</t>
        </is>
      </c>
      <c r="B916" t="inlineStr">
        <is>
          <t>4DR3R28M0-FSD</t>
        </is>
      </c>
      <c r="D916" t="inlineStr">
        <is>
          <t>Reciprocating Semi-hermetic</t>
        </is>
      </c>
      <c r="E916" s="2" t="n">
        <v>3</v>
      </c>
      <c r="F916" s="2" t="n">
        <v>60</v>
      </c>
      <c r="G916" s="2" t="n">
        <v>460</v>
      </c>
      <c r="H916" t="inlineStr">
        <is>
          <t>460</t>
        </is>
      </c>
      <c r="I916" s="2" t="n">
        <v>460</v>
      </c>
      <c r="J916" s="2" t="n">
        <v>460</v>
      </c>
      <c r="L916" s="3" t="n"/>
      <c r="M916" s="3" t="n"/>
      <c r="N916" s="3" t="n">
        <v>45</v>
      </c>
      <c r="O916" s="3" t="n"/>
      <c r="P916" s="3">
        <f>IF(L916&lt;&gt;"",L916/1.4,"")</f>
        <v/>
      </c>
      <c r="Q916" s="3">
        <f>IF(L916&lt;&gt;"",L916/1.56,"")</f>
        <v/>
      </c>
      <c r="R916" s="3">
        <f>IF(M916&lt;&gt;"",M916/1.4,"")</f>
        <v/>
      </c>
      <c r="S916" s="3">
        <f>IF(M916&lt;&gt;"",M916/1.56,"")</f>
        <v/>
      </c>
      <c r="T916" s="3">
        <f>IF(N916&lt;&gt;"",N916,IF(O916&lt;&gt;"",O916,IF(L916&lt;&gt;"",L916/1.56,IF(M916&lt;&gt;"",M916/1.56,""))))</f>
        <v/>
      </c>
      <c r="U916" s="3" t="n">
        <v>235</v>
      </c>
      <c r="V916" s="3" t="n">
        <v>141</v>
      </c>
      <c r="W916" s="3" t="n"/>
      <c r="X916" s="4" t="n"/>
      <c r="Y916" s="5" t="n">
        <v>0.45</v>
      </c>
      <c r="Z916" s="4">
        <f>IF(L916&lt;&gt;"",SQRT(3)*G916*L916/1000,"")</f>
        <v/>
      </c>
      <c r="AA916" t="inlineStr">
        <is>
          <t>Source=Copeland 2D/3D/4D/4R/6D/8D/9R compressors (pdf) p38; PWS_RLA=22.5</t>
        </is>
      </c>
      <c r="AB916" t="inlineStr">
        <is>
          <t>Copeland_RLA_230_460_3ph_60Hz.xlsx</t>
        </is>
      </c>
      <c r="AC916" t="inlineStr">
        <is>
          <t>Recip_2D-9R</t>
        </is>
      </c>
    </row>
    <row r="917">
      <c r="A917" t="inlineStr">
        <is>
          <t>COPELAND</t>
        </is>
      </c>
      <c r="B917" t="inlineStr">
        <is>
          <t>4DR3R28M0-TSK</t>
        </is>
      </c>
      <c r="D917" t="inlineStr">
        <is>
          <t>Reciprocating Semi-hermetic</t>
        </is>
      </c>
      <c r="E917" s="2" t="n">
        <v>3</v>
      </c>
      <c r="F917" s="2" t="n">
        <v>60</v>
      </c>
      <c r="G917" s="2" t="n">
        <v>230</v>
      </c>
      <c r="H917" t="inlineStr">
        <is>
          <t>208/230</t>
        </is>
      </c>
      <c r="I917" s="2" t="n">
        <v>208</v>
      </c>
      <c r="J917" s="2" t="n">
        <v>230</v>
      </c>
      <c r="L917" s="3" t="n"/>
      <c r="M917" s="3" t="n"/>
      <c r="N917" s="3" t="n">
        <v>94</v>
      </c>
      <c r="O917" s="3" t="n"/>
      <c r="P917" s="3">
        <f>IF(L917&lt;&gt;"",L917/1.4,"")</f>
        <v/>
      </c>
      <c r="Q917" s="3">
        <f>IF(L917&lt;&gt;"",L917/1.56,"")</f>
        <v/>
      </c>
      <c r="R917" s="3">
        <f>IF(M917&lt;&gt;"",M917/1.4,"")</f>
        <v/>
      </c>
      <c r="S917" s="3">
        <f>IF(M917&lt;&gt;"",M917/1.56,"")</f>
        <v/>
      </c>
      <c r="T917" s="3">
        <f>IF(N917&lt;&gt;"",N917,IF(O917&lt;&gt;"",O917,IF(L917&lt;&gt;"",L917/1.56,IF(M917&lt;&gt;"",M917/1.56,""))))</f>
        <v/>
      </c>
      <c r="U917" s="3" t="n">
        <v>470</v>
      </c>
      <c r="V917" s="3" t="n">
        <v>292</v>
      </c>
      <c r="W917" s="3" t="n"/>
      <c r="X917" s="4" t="n"/>
      <c r="Y917" s="5" t="n">
        <v>0.111</v>
      </c>
      <c r="Z917" s="4">
        <f>IF(L917&lt;&gt;"",SQRT(3)*G917*L917/1000,"")</f>
        <v/>
      </c>
      <c r="AA917" t="inlineStr">
        <is>
          <t>Source=Copeland 2D/3D/4D/4R/6D/8D/9R compressors (pdf) p38; PWS_RLA=47.0</t>
        </is>
      </c>
      <c r="AB917" t="inlineStr">
        <is>
          <t>Copeland_RLA_230_460_3ph_60Hz.xlsx</t>
        </is>
      </c>
      <c r="AC917" t="inlineStr">
        <is>
          <t>Recip_2D-9R</t>
        </is>
      </c>
    </row>
    <row r="918">
      <c r="A918" t="inlineStr">
        <is>
          <t>COPELAND</t>
        </is>
      </c>
      <c r="B918" t="inlineStr">
        <is>
          <t>4DR3R28M0-TSK</t>
        </is>
      </c>
      <c r="D918" t="inlineStr">
        <is>
          <t>Reciprocating Semi-hermetic</t>
        </is>
      </c>
      <c r="E918" s="2" t="n">
        <v>3</v>
      </c>
      <c r="F918" s="2" t="n">
        <v>60</v>
      </c>
      <c r="G918" s="2" t="n">
        <v>460</v>
      </c>
      <c r="H918" t="inlineStr">
        <is>
          <t>460</t>
        </is>
      </c>
      <c r="I918" s="2" t="n">
        <v>460</v>
      </c>
      <c r="J918" s="2" t="n">
        <v>460</v>
      </c>
      <c r="L918" s="3" t="n"/>
      <c r="M918" s="3" t="n"/>
      <c r="N918" s="3" t="n">
        <v>47</v>
      </c>
      <c r="O918" s="3" t="n"/>
      <c r="P918" s="3">
        <f>IF(L918&lt;&gt;"",L918/1.4,"")</f>
        <v/>
      </c>
      <c r="Q918" s="3">
        <f>IF(L918&lt;&gt;"",L918/1.56,"")</f>
        <v/>
      </c>
      <c r="R918" s="3">
        <f>IF(M918&lt;&gt;"",M918/1.4,"")</f>
        <v/>
      </c>
      <c r="S918" s="3">
        <f>IF(M918&lt;&gt;"",M918/1.56,"")</f>
        <v/>
      </c>
      <c r="T918" s="3">
        <f>IF(N918&lt;&gt;"",N918,IF(O918&lt;&gt;"",O918,IF(L918&lt;&gt;"",L918/1.56,IF(M918&lt;&gt;"",M918/1.56,""))))</f>
        <v/>
      </c>
      <c r="U918" s="3" t="n">
        <v>235</v>
      </c>
      <c r="V918" s="3" t="n"/>
      <c r="W918" s="3" t="n"/>
      <c r="X918" s="4" t="n"/>
      <c r="Y918" s="5" t="n">
        <v>0.444</v>
      </c>
      <c r="Z918" s="4">
        <f>IF(L918&lt;&gt;"",SQRT(3)*G918*L918/1000,"")</f>
        <v/>
      </c>
      <c r="AA918" t="inlineStr">
        <is>
          <t>Source=Copeland 2D/3D/4D/4R/6D/8D/9R compressors (pdf) p38</t>
        </is>
      </c>
      <c r="AB918" t="inlineStr">
        <is>
          <t>Copeland_RLA_230_460_3ph_60Hz.xlsx</t>
        </is>
      </c>
      <c r="AC918" t="inlineStr">
        <is>
          <t>Recip_2D-9R</t>
        </is>
      </c>
    </row>
    <row r="919">
      <c r="A919" t="inlineStr">
        <is>
          <t>COPELAND</t>
        </is>
      </c>
      <c r="B919" t="inlineStr">
        <is>
          <t>4DR3R28ME-FSD</t>
        </is>
      </c>
      <c r="D919" t="inlineStr">
        <is>
          <t>Reciprocating Semi-hermetic</t>
        </is>
      </c>
      <c r="E919" s="2" t="n">
        <v>3</v>
      </c>
      <c r="F919" s="2" t="n">
        <v>60</v>
      </c>
      <c r="G919" s="2" t="n">
        <v>460</v>
      </c>
      <c r="H919" t="inlineStr">
        <is>
          <t>460</t>
        </is>
      </c>
      <c r="I919" s="2" t="n">
        <v>460</v>
      </c>
      <c r="J919" s="2" t="n">
        <v>460</v>
      </c>
      <c r="L919" s="3" t="n"/>
      <c r="M919" s="3" t="n"/>
      <c r="N919" s="3" t="n">
        <v>45</v>
      </c>
      <c r="O919" s="3" t="n"/>
      <c r="P919" s="3">
        <f>IF(L919&lt;&gt;"",L919/1.4,"")</f>
        <v/>
      </c>
      <c r="Q919" s="3">
        <f>IF(L919&lt;&gt;"",L919/1.56,"")</f>
        <v/>
      </c>
      <c r="R919" s="3">
        <f>IF(M919&lt;&gt;"",M919/1.4,"")</f>
        <v/>
      </c>
      <c r="S919" s="3">
        <f>IF(M919&lt;&gt;"",M919/1.56,"")</f>
        <v/>
      </c>
      <c r="T919" s="3">
        <f>IF(N919&lt;&gt;"",N919,IF(O919&lt;&gt;"",O919,IF(L919&lt;&gt;"",L919/1.56,IF(M919&lt;&gt;"",M919/1.56,""))))</f>
        <v/>
      </c>
      <c r="U919" s="3" t="n">
        <v>235</v>
      </c>
      <c r="V919" s="3" t="n">
        <v>141</v>
      </c>
      <c r="W919" s="3" t="n"/>
      <c r="X919" s="4" t="n"/>
      <c r="Y919" s="5" t="n">
        <v>0.45</v>
      </c>
      <c r="Z919" s="4">
        <f>IF(L919&lt;&gt;"",SQRT(3)*G919*L919/1000,"")</f>
        <v/>
      </c>
      <c r="AA919" t="inlineStr">
        <is>
          <t>Source=Copeland 2D/3D/4D/4R/6D/8D/9R compressors (pdf) p38; PWS_RLA=22.5</t>
        </is>
      </c>
      <c r="AB919" t="inlineStr">
        <is>
          <t>Copeland_RLA_230_460_3ph_60Hz.xlsx</t>
        </is>
      </c>
      <c r="AC919" t="inlineStr">
        <is>
          <t>Recip_2D-9R</t>
        </is>
      </c>
    </row>
    <row r="920">
      <c r="A920" t="inlineStr">
        <is>
          <t>COPELAND</t>
        </is>
      </c>
      <c r="B920" t="inlineStr">
        <is>
          <t>4DR3R28ME-FSD</t>
        </is>
      </c>
      <c r="D920" t="inlineStr">
        <is>
          <t>Reciprocating Semi-hermetic</t>
        </is>
      </c>
      <c r="E920" s="2" t="n">
        <v>3</v>
      </c>
      <c r="F920" s="2" t="n">
        <v>60</v>
      </c>
      <c r="G920" s="2" t="n">
        <v>460</v>
      </c>
      <c r="H920" t="inlineStr">
        <is>
          <t>460</t>
        </is>
      </c>
      <c r="I920" s="2" t="n">
        <v>460</v>
      </c>
      <c r="J920" s="2" t="n">
        <v>460</v>
      </c>
      <c r="L920" s="3" t="n"/>
      <c r="M920" s="3" t="n"/>
      <c r="N920" s="3" t="n">
        <v>51.9</v>
      </c>
      <c r="O920" s="3" t="n"/>
      <c r="P920" s="3">
        <f>IF(L920&lt;&gt;"",L920/1.4,"")</f>
        <v/>
      </c>
      <c r="Q920" s="3">
        <f>IF(L920&lt;&gt;"",L920/1.56,"")</f>
        <v/>
      </c>
      <c r="R920" s="3">
        <f>IF(M920&lt;&gt;"",M920/1.4,"")</f>
        <v/>
      </c>
      <c r="S920" s="3">
        <f>IF(M920&lt;&gt;"",M920/1.56,"")</f>
        <v/>
      </c>
      <c r="T920" s="3">
        <f>IF(N920&lt;&gt;"",N920,IF(O920&lt;&gt;"",O920,IF(L920&lt;&gt;"",L920/1.56,IF(M920&lt;&gt;"",M920/1.56,""))))</f>
        <v/>
      </c>
      <c r="U920" s="3" t="n">
        <v>235</v>
      </c>
      <c r="V920" s="3" t="n">
        <v>141</v>
      </c>
      <c r="W920" s="3" t="n"/>
      <c r="X920" s="4" t="n"/>
      <c r="Y920" s="5" t="n">
        <v>0.45</v>
      </c>
      <c r="Z920" s="4">
        <f>IF(L920&lt;&gt;"",SQRT(3)*G920*L920/1000,"")</f>
        <v/>
      </c>
      <c r="AA920" t="inlineStr">
        <is>
          <t>Source=Copeland 2D/3D/4D/4R/6D/8D/9R compressors (pdf) p38; PWS_RLA=25.9</t>
        </is>
      </c>
      <c r="AB920" t="inlineStr">
        <is>
          <t>Copeland_RLA_230_460_3ph_60Hz.xlsx</t>
        </is>
      </c>
      <c r="AC920" t="inlineStr">
        <is>
          <t>Recip_2D-9R</t>
        </is>
      </c>
    </row>
    <row r="921">
      <c r="A921" t="inlineStr">
        <is>
          <t>COPELAND</t>
        </is>
      </c>
      <c r="B921" t="inlineStr">
        <is>
          <t>4DR3R28ME-TSK</t>
        </is>
      </c>
      <c r="D921" t="inlineStr">
        <is>
          <t>Reciprocating Semi-hermetic</t>
        </is>
      </c>
      <c r="E921" s="2" t="n">
        <v>3</v>
      </c>
      <c r="F921" s="2" t="n">
        <v>60</v>
      </c>
      <c r="G921" s="2" t="n">
        <v>230</v>
      </c>
      <c r="H921" t="inlineStr">
        <is>
          <t>208/230</t>
        </is>
      </c>
      <c r="I921" s="2" t="n">
        <v>208</v>
      </c>
      <c r="J921" s="2" t="n">
        <v>230</v>
      </c>
      <c r="L921" s="3" t="n"/>
      <c r="M921" s="3" t="n"/>
      <c r="N921" s="3" t="n">
        <v>94</v>
      </c>
      <c r="O921" s="3" t="n"/>
      <c r="P921" s="3">
        <f>IF(L921&lt;&gt;"",L921/1.4,"")</f>
        <v/>
      </c>
      <c r="Q921" s="3">
        <f>IF(L921&lt;&gt;"",L921/1.56,"")</f>
        <v/>
      </c>
      <c r="R921" s="3">
        <f>IF(M921&lt;&gt;"",M921/1.4,"")</f>
        <v/>
      </c>
      <c r="S921" s="3">
        <f>IF(M921&lt;&gt;"",M921/1.56,"")</f>
        <v/>
      </c>
      <c r="T921" s="3">
        <f>IF(N921&lt;&gt;"",N921,IF(O921&lt;&gt;"",O921,IF(L921&lt;&gt;"",L921/1.56,IF(M921&lt;&gt;"",M921/1.56,""))))</f>
        <v/>
      </c>
      <c r="U921" s="3" t="n">
        <v>470</v>
      </c>
      <c r="V921" s="3" t="n">
        <v>292</v>
      </c>
      <c r="W921" s="3" t="n"/>
      <c r="X921" s="4" t="n"/>
      <c r="Y921" s="5" t="n">
        <v>0.111</v>
      </c>
      <c r="Z921" s="4">
        <f>IF(L921&lt;&gt;"",SQRT(3)*G921*L921/1000,"")</f>
        <v/>
      </c>
      <c r="AA921" t="inlineStr">
        <is>
          <t>Source=Copeland 2D/3D/4D/4R/6D/8D/9R compressors (pdf) p39; PWS_RLA=57.1</t>
        </is>
      </c>
      <c r="AB921" t="inlineStr">
        <is>
          <t>Copeland_RLA_230_460_3ph_60Hz.xlsx</t>
        </is>
      </c>
      <c r="AC921" t="inlineStr">
        <is>
          <t>Recip_2D-9R</t>
        </is>
      </c>
    </row>
    <row r="922">
      <c r="A922" t="inlineStr">
        <is>
          <t>COPELAND</t>
        </is>
      </c>
      <c r="B922" t="inlineStr">
        <is>
          <t>4DR3R28ME-TSK</t>
        </is>
      </c>
      <c r="D922" t="inlineStr">
        <is>
          <t>Reciprocating Semi-hermetic</t>
        </is>
      </c>
      <c r="E922" s="2" t="n">
        <v>3</v>
      </c>
      <c r="F922" s="2" t="n">
        <v>60</v>
      </c>
      <c r="G922" s="2" t="n">
        <v>460</v>
      </c>
      <c r="H922" t="inlineStr">
        <is>
          <t>460</t>
        </is>
      </c>
      <c r="I922" s="2" t="n">
        <v>460</v>
      </c>
      <c r="J922" s="2" t="n">
        <v>460</v>
      </c>
      <c r="L922" s="3" t="n"/>
      <c r="M922" s="3" t="n"/>
      <c r="N922" s="3" t="n">
        <v>57.1</v>
      </c>
      <c r="O922" s="3" t="n"/>
      <c r="P922" s="3">
        <f>IF(L922&lt;&gt;"",L922/1.4,"")</f>
        <v/>
      </c>
      <c r="Q922" s="3">
        <f>IF(L922&lt;&gt;"",L922/1.56,"")</f>
        <v/>
      </c>
      <c r="R922" s="3">
        <f>IF(M922&lt;&gt;"",M922/1.4,"")</f>
        <v/>
      </c>
      <c r="S922" s="3">
        <f>IF(M922&lt;&gt;"",M922/1.56,"")</f>
        <v/>
      </c>
      <c r="T922" s="3">
        <f>IF(N922&lt;&gt;"",N922,IF(O922&lt;&gt;"",O922,IF(L922&lt;&gt;"",L922/1.56,IF(M922&lt;&gt;"",M922/1.56,""))))</f>
        <v/>
      </c>
      <c r="U922" s="3" t="n">
        <v>235</v>
      </c>
      <c r="V922" s="3" t="n"/>
      <c r="W922" s="3" t="n"/>
      <c r="X922" s="4" t="n"/>
      <c r="Y922" s="5" t="n">
        <v>0.444</v>
      </c>
      <c r="Z922" s="4">
        <f>IF(L922&lt;&gt;"",SQRT(3)*G922*L922/1000,"")</f>
        <v/>
      </c>
      <c r="AA922" t="inlineStr">
        <is>
          <t>Source=Copeland 2D/3D/4D/4R/6D/8D/9R compressors (pdf) p39</t>
        </is>
      </c>
      <c r="AB922" t="inlineStr">
        <is>
          <t>Copeland_RLA_230_460_3ph_60Hz.xlsx</t>
        </is>
      </c>
      <c r="AC922" t="inlineStr">
        <is>
          <t>Recip_2D-9R</t>
        </is>
      </c>
    </row>
    <row r="923">
      <c r="A923" t="inlineStr">
        <is>
          <t>COPELAND</t>
        </is>
      </c>
      <c r="B923" t="inlineStr">
        <is>
          <t>4DR3R28ML-FSD</t>
        </is>
      </c>
      <c r="D923" t="inlineStr">
        <is>
          <t>Reciprocating Semi-hermetic</t>
        </is>
      </c>
      <c r="E923" s="2" t="n">
        <v>3</v>
      </c>
      <c r="F923" s="2" t="n">
        <v>60</v>
      </c>
      <c r="G923" s="2" t="n">
        <v>460</v>
      </c>
      <c r="H923" t="inlineStr">
        <is>
          <t>460</t>
        </is>
      </c>
      <c r="I923" s="2" t="n">
        <v>460</v>
      </c>
      <c r="J923" s="2" t="n">
        <v>460</v>
      </c>
      <c r="L923" s="3" t="n"/>
      <c r="M923" s="3" t="n"/>
      <c r="N923" s="3" t="n">
        <v>45</v>
      </c>
      <c r="O923" s="3" t="n"/>
      <c r="P923" s="3">
        <f>IF(L923&lt;&gt;"",L923/1.4,"")</f>
        <v/>
      </c>
      <c r="Q923" s="3">
        <f>IF(L923&lt;&gt;"",L923/1.56,"")</f>
        <v/>
      </c>
      <c r="R923" s="3">
        <f>IF(M923&lt;&gt;"",M923/1.4,"")</f>
        <v/>
      </c>
      <c r="S923" s="3">
        <f>IF(M923&lt;&gt;"",M923/1.56,"")</f>
        <v/>
      </c>
      <c r="T923" s="3">
        <f>IF(N923&lt;&gt;"",N923,IF(O923&lt;&gt;"",O923,IF(L923&lt;&gt;"",L923/1.56,IF(M923&lt;&gt;"",M923/1.56,""))))</f>
        <v/>
      </c>
      <c r="U923" s="3" t="n">
        <v>235</v>
      </c>
      <c r="V923" s="3" t="n">
        <v>141</v>
      </c>
      <c r="W923" s="3" t="n"/>
      <c r="X923" s="4" t="n"/>
      <c r="Y923" s="5" t="n">
        <v>0.45</v>
      </c>
      <c r="Z923" s="4">
        <f>IF(L923&lt;&gt;"",SQRT(3)*G923*L923/1000,"")</f>
        <v/>
      </c>
      <c r="AA923" t="inlineStr">
        <is>
          <t>Source=Copeland 2D/3D/4D/4R/6D/8D/9R compressors (pdf) p39; PWS_RLA=22.5</t>
        </is>
      </c>
      <c r="AB923" t="inlineStr">
        <is>
          <t>Copeland_RLA_230_460_3ph_60Hz.xlsx</t>
        </is>
      </c>
      <c r="AC923" t="inlineStr">
        <is>
          <t>Recip_2D-9R</t>
        </is>
      </c>
    </row>
    <row r="924">
      <c r="A924" t="inlineStr">
        <is>
          <t>COPELAND</t>
        </is>
      </c>
      <c r="B924" t="inlineStr">
        <is>
          <t>4DR3R28ML-FSD</t>
        </is>
      </c>
      <c r="D924" t="inlineStr">
        <is>
          <t>Reciprocating Semi-hermetic</t>
        </is>
      </c>
      <c r="E924" s="2" t="n">
        <v>3</v>
      </c>
      <c r="F924" s="2" t="n">
        <v>60</v>
      </c>
      <c r="G924" s="2" t="n">
        <v>460</v>
      </c>
      <c r="H924" t="inlineStr">
        <is>
          <t>460</t>
        </is>
      </c>
      <c r="I924" s="2" t="n">
        <v>460</v>
      </c>
      <c r="J924" s="2" t="n">
        <v>460</v>
      </c>
      <c r="L924" s="3" t="n"/>
      <c r="M924" s="3" t="n"/>
      <c r="N924" s="3" t="n">
        <v>51.9</v>
      </c>
      <c r="O924" s="3" t="n"/>
      <c r="P924" s="3">
        <f>IF(L924&lt;&gt;"",L924/1.4,"")</f>
        <v/>
      </c>
      <c r="Q924" s="3">
        <f>IF(L924&lt;&gt;"",L924/1.56,"")</f>
        <v/>
      </c>
      <c r="R924" s="3">
        <f>IF(M924&lt;&gt;"",M924/1.4,"")</f>
        <v/>
      </c>
      <c r="S924" s="3">
        <f>IF(M924&lt;&gt;"",M924/1.56,"")</f>
        <v/>
      </c>
      <c r="T924" s="3">
        <f>IF(N924&lt;&gt;"",N924,IF(O924&lt;&gt;"",O924,IF(L924&lt;&gt;"",L924/1.56,IF(M924&lt;&gt;"",M924/1.56,""))))</f>
        <v/>
      </c>
      <c r="U924" s="3" t="n">
        <v>235</v>
      </c>
      <c r="V924" s="3" t="n">
        <v>141</v>
      </c>
      <c r="W924" s="3" t="n"/>
      <c r="X924" s="4" t="n"/>
      <c r="Y924" s="5" t="n">
        <v>0.45</v>
      </c>
      <c r="Z924" s="4">
        <f>IF(L924&lt;&gt;"",SQRT(3)*G924*L924/1000,"")</f>
        <v/>
      </c>
      <c r="AA924" t="inlineStr">
        <is>
          <t>Source=Copeland 2D/3D/4D/4R/6D/8D/9R compressors (pdf) p39; PWS_RLA=25.9</t>
        </is>
      </c>
      <c r="AB924" t="inlineStr">
        <is>
          <t>Copeland_RLA_230_460_3ph_60Hz.xlsx</t>
        </is>
      </c>
      <c r="AC924" t="inlineStr">
        <is>
          <t>Recip_2D-9R</t>
        </is>
      </c>
    </row>
    <row r="925">
      <c r="A925" t="inlineStr">
        <is>
          <t>COPELAND</t>
        </is>
      </c>
      <c r="B925" t="inlineStr">
        <is>
          <t>4DR3R28ML-TSK</t>
        </is>
      </c>
      <c r="D925" t="inlineStr">
        <is>
          <t>Reciprocating Semi-hermetic</t>
        </is>
      </c>
      <c r="E925" s="2" t="n">
        <v>3</v>
      </c>
      <c r="F925" s="2" t="n">
        <v>60</v>
      </c>
      <c r="G925" s="2" t="n">
        <v>230</v>
      </c>
      <c r="H925" t="inlineStr">
        <is>
          <t>208/230</t>
        </is>
      </c>
      <c r="I925" s="2" t="n">
        <v>208</v>
      </c>
      <c r="J925" s="2" t="n">
        <v>230</v>
      </c>
      <c r="L925" s="3" t="n"/>
      <c r="M925" s="3" t="n"/>
      <c r="N925" s="3" t="n">
        <v>94</v>
      </c>
      <c r="O925" s="3" t="n"/>
      <c r="P925" s="3">
        <f>IF(L925&lt;&gt;"",L925/1.4,"")</f>
        <v/>
      </c>
      <c r="Q925" s="3">
        <f>IF(L925&lt;&gt;"",L925/1.56,"")</f>
        <v/>
      </c>
      <c r="R925" s="3">
        <f>IF(M925&lt;&gt;"",M925/1.4,"")</f>
        <v/>
      </c>
      <c r="S925" s="3">
        <f>IF(M925&lt;&gt;"",M925/1.56,"")</f>
        <v/>
      </c>
      <c r="T925" s="3">
        <f>IF(N925&lt;&gt;"",N925,IF(O925&lt;&gt;"",O925,IF(L925&lt;&gt;"",L925/1.56,IF(M925&lt;&gt;"",M925/1.56,""))))</f>
        <v/>
      </c>
      <c r="U925" s="3" t="n">
        <v>470</v>
      </c>
      <c r="V925" s="3" t="n">
        <v>292</v>
      </c>
      <c r="W925" s="3" t="n"/>
      <c r="X925" s="4" t="n"/>
      <c r="Y925" s="5" t="n">
        <v>0.111</v>
      </c>
      <c r="Z925" s="4">
        <f>IF(L925&lt;&gt;"",SQRT(3)*G925*L925/1000,"")</f>
        <v/>
      </c>
      <c r="AA925" t="inlineStr">
        <is>
          <t>Source=Copeland 2D/3D/4D/4R/6D/8D/9R compressors (pdf) p39; PWS_RLA=47.0</t>
        </is>
      </c>
      <c r="AB925" t="inlineStr">
        <is>
          <t>Copeland_RLA_230_460_3ph_60Hz.xlsx</t>
        </is>
      </c>
      <c r="AC925" t="inlineStr">
        <is>
          <t>Recip_2D-9R</t>
        </is>
      </c>
    </row>
    <row r="926">
      <c r="A926" t="inlineStr">
        <is>
          <t>COPELAND</t>
        </is>
      </c>
      <c r="B926" t="inlineStr">
        <is>
          <t>4DR3R28ML-TSK</t>
        </is>
      </c>
      <c r="D926" t="inlineStr">
        <is>
          <t>Reciprocating Semi-hermetic</t>
        </is>
      </c>
      <c r="E926" s="2" t="n">
        <v>3</v>
      </c>
      <c r="F926" s="2" t="n">
        <v>60</v>
      </c>
      <c r="G926" s="2" t="n">
        <v>230</v>
      </c>
      <c r="H926" t="inlineStr">
        <is>
          <t>208/230</t>
        </is>
      </c>
      <c r="I926" s="2" t="n">
        <v>208</v>
      </c>
      <c r="J926" s="2" t="n">
        <v>230</v>
      </c>
      <c r="L926" s="3" t="n"/>
      <c r="M926" s="3" t="n"/>
      <c r="N926" s="3" t="n">
        <v>94</v>
      </c>
      <c r="O926" s="3" t="n"/>
      <c r="P926" s="3">
        <f>IF(L926&lt;&gt;"",L926/1.4,"")</f>
        <v/>
      </c>
      <c r="Q926" s="3">
        <f>IF(L926&lt;&gt;"",L926/1.56,"")</f>
        <v/>
      </c>
      <c r="R926" s="3">
        <f>IF(M926&lt;&gt;"",M926/1.4,"")</f>
        <v/>
      </c>
      <c r="S926" s="3">
        <f>IF(M926&lt;&gt;"",M926/1.56,"")</f>
        <v/>
      </c>
      <c r="T926" s="3">
        <f>IF(N926&lt;&gt;"",N926,IF(O926&lt;&gt;"",O926,IF(L926&lt;&gt;"",L926/1.56,IF(M926&lt;&gt;"",M926/1.56,""))))</f>
        <v/>
      </c>
      <c r="U926" s="3" t="n">
        <v>470</v>
      </c>
      <c r="V926" s="3" t="n">
        <v>292</v>
      </c>
      <c r="W926" s="3" t="n"/>
      <c r="X926" s="4" t="n"/>
      <c r="Y926" s="5" t="n">
        <v>0.111</v>
      </c>
      <c r="Z926" s="4">
        <f>IF(L926&lt;&gt;"",SQRT(3)*G926*L926/1000,"")</f>
        <v/>
      </c>
      <c r="AA926" t="inlineStr">
        <is>
          <t>Source=Copeland 2D/3D/4D/4R/6D/8D/9R compressors (pdf) p39; PWS_RLA=57.1</t>
        </is>
      </c>
      <c r="AB926" t="inlineStr">
        <is>
          <t>Copeland_RLA_230_460_3ph_60Hz.xlsx</t>
        </is>
      </c>
      <c r="AC926" t="inlineStr">
        <is>
          <t>Recip_2D-9R</t>
        </is>
      </c>
    </row>
    <row r="927">
      <c r="A927" t="inlineStr">
        <is>
          <t>COPELAND</t>
        </is>
      </c>
      <c r="B927" t="inlineStr">
        <is>
          <t>4DR3R28ML-TSK</t>
        </is>
      </c>
      <c r="D927" t="inlineStr">
        <is>
          <t>Reciprocating Semi-hermetic</t>
        </is>
      </c>
      <c r="E927" s="2" t="n">
        <v>3</v>
      </c>
      <c r="F927" s="2" t="n">
        <v>60</v>
      </c>
      <c r="G927" s="2" t="n">
        <v>460</v>
      </c>
      <c r="H927" t="inlineStr">
        <is>
          <t>460</t>
        </is>
      </c>
      <c r="I927" s="2" t="n">
        <v>460</v>
      </c>
      <c r="J927" s="2" t="n">
        <v>460</v>
      </c>
      <c r="L927" s="3" t="n"/>
      <c r="M927" s="3" t="n"/>
      <c r="N927" s="3" t="n">
        <v>57.1</v>
      </c>
      <c r="O927" s="3" t="n"/>
      <c r="P927" s="3">
        <f>IF(L927&lt;&gt;"",L927/1.4,"")</f>
        <v/>
      </c>
      <c r="Q927" s="3">
        <f>IF(L927&lt;&gt;"",L927/1.56,"")</f>
        <v/>
      </c>
      <c r="R927" s="3">
        <f>IF(M927&lt;&gt;"",M927/1.4,"")</f>
        <v/>
      </c>
      <c r="S927" s="3">
        <f>IF(M927&lt;&gt;"",M927/1.56,"")</f>
        <v/>
      </c>
      <c r="T927" s="3">
        <f>IF(N927&lt;&gt;"",N927,IF(O927&lt;&gt;"",O927,IF(L927&lt;&gt;"",L927/1.56,IF(M927&lt;&gt;"",M927/1.56,""))))</f>
        <v/>
      </c>
      <c r="U927" s="3" t="n">
        <v>235</v>
      </c>
      <c r="V927" s="3" t="n"/>
      <c r="W927" s="3" t="n"/>
      <c r="X927" s="4" t="n"/>
      <c r="Y927" s="5" t="n">
        <v>0.444</v>
      </c>
      <c r="Z927" s="4">
        <f>IF(L927&lt;&gt;"",SQRT(3)*G927*L927/1000,"")</f>
        <v/>
      </c>
      <c r="AA927" t="inlineStr">
        <is>
          <t>Source=Copeland 2D/3D/4D/4R/6D/8D/9R compressors (pdf) p39</t>
        </is>
      </c>
      <c r="AB927" t="inlineStr">
        <is>
          <t>Copeland_RLA_230_460_3ph_60Hz.xlsx</t>
        </is>
      </c>
      <c r="AC927" t="inlineStr">
        <is>
          <t>Recip_2D-9R</t>
        </is>
      </c>
    </row>
    <row r="928">
      <c r="A928" t="inlineStr">
        <is>
          <t>COPELAND</t>
        </is>
      </c>
      <c r="B928" t="inlineStr">
        <is>
          <t>4DR3R29ME-TSK</t>
        </is>
      </c>
      <c r="D928" t="inlineStr">
        <is>
          <t>Reciprocating Semi-hermetic</t>
        </is>
      </c>
      <c r="E928" s="2" t="n">
        <v>3</v>
      </c>
      <c r="F928" s="2" t="n">
        <v>60</v>
      </c>
      <c r="G928" s="2" t="n">
        <v>230</v>
      </c>
      <c r="H928" t="inlineStr">
        <is>
          <t>208/230</t>
        </is>
      </c>
      <c r="I928" s="2" t="n">
        <v>208</v>
      </c>
      <c r="J928" s="2" t="n">
        <v>230</v>
      </c>
      <c r="L928" s="3" t="n"/>
      <c r="M928" s="3" t="n"/>
      <c r="N928" s="3" t="n">
        <v>114.3</v>
      </c>
      <c r="O928" s="3" t="n"/>
      <c r="P928" s="3">
        <f>IF(L928&lt;&gt;"",L928/1.4,"")</f>
        <v/>
      </c>
      <c r="Q928" s="3">
        <f>IF(L928&lt;&gt;"",L928/1.56,"")</f>
        <v/>
      </c>
      <c r="R928" s="3">
        <f>IF(M928&lt;&gt;"",M928/1.4,"")</f>
        <v/>
      </c>
      <c r="S928" s="3">
        <f>IF(M928&lt;&gt;"",M928/1.56,"")</f>
        <v/>
      </c>
      <c r="T928" s="3">
        <f>IF(N928&lt;&gt;"",N928,IF(O928&lt;&gt;"",O928,IF(L928&lt;&gt;"",L928/1.56,IF(M928&lt;&gt;"",M928/1.56,""))))</f>
        <v/>
      </c>
      <c r="U928" s="3" t="n">
        <v>470</v>
      </c>
      <c r="V928" s="3" t="n">
        <v>292</v>
      </c>
      <c r="W928" s="3" t="n"/>
      <c r="X928" s="4" t="n"/>
      <c r="Y928" s="5" t="n">
        <v>0.111</v>
      </c>
      <c r="Z928" s="4">
        <f>IF(L928&lt;&gt;"",SQRT(3)*G928*L928/1000,"")</f>
        <v/>
      </c>
      <c r="AA928" t="inlineStr">
        <is>
          <t>Source=Copeland 2D/3D/4D/4R/6D/8D/9R compressors (pdf) p39; PWS_RLA=57.1</t>
        </is>
      </c>
      <c r="AB928" t="inlineStr">
        <is>
          <t>Copeland_RLA_230_460_3ph_60Hz.xlsx</t>
        </is>
      </c>
      <c r="AC928" t="inlineStr">
        <is>
          <t>Recip_2D-9R</t>
        </is>
      </c>
    </row>
    <row r="929">
      <c r="A929" t="inlineStr">
        <is>
          <t>COPELAND</t>
        </is>
      </c>
      <c r="B929" t="inlineStr">
        <is>
          <t>4DR3R29ME-TSK</t>
        </is>
      </c>
      <c r="D929" t="inlineStr">
        <is>
          <t>Reciprocating Semi-hermetic</t>
        </is>
      </c>
      <c r="E929" s="2" t="n">
        <v>3</v>
      </c>
      <c r="F929" s="2" t="n">
        <v>60</v>
      </c>
      <c r="G929" s="2" t="n">
        <v>460</v>
      </c>
      <c r="H929" t="inlineStr">
        <is>
          <t>460</t>
        </is>
      </c>
      <c r="I929" s="2" t="n">
        <v>460</v>
      </c>
      <c r="J929" s="2" t="n">
        <v>460</v>
      </c>
      <c r="L929" s="3" t="n"/>
      <c r="M929" s="3" t="n"/>
      <c r="N929" s="3" t="n">
        <v>57.1</v>
      </c>
      <c r="O929" s="3" t="n"/>
      <c r="P929" s="3">
        <f>IF(L929&lt;&gt;"",L929/1.4,"")</f>
        <v/>
      </c>
      <c r="Q929" s="3">
        <f>IF(L929&lt;&gt;"",L929/1.56,"")</f>
        <v/>
      </c>
      <c r="R929" s="3">
        <f>IF(M929&lt;&gt;"",M929/1.4,"")</f>
        <v/>
      </c>
      <c r="S929" s="3">
        <f>IF(M929&lt;&gt;"",M929/1.56,"")</f>
        <v/>
      </c>
      <c r="T929" s="3">
        <f>IF(N929&lt;&gt;"",N929,IF(O929&lt;&gt;"",O929,IF(L929&lt;&gt;"",L929/1.56,IF(M929&lt;&gt;"",M929/1.56,""))))</f>
        <v/>
      </c>
      <c r="U929" s="3" t="n">
        <v>235</v>
      </c>
      <c r="V929" s="3" t="n"/>
      <c r="W929" s="3" t="n"/>
      <c r="X929" s="4" t="n"/>
      <c r="Y929" s="5" t="n">
        <v>0.444</v>
      </c>
      <c r="Z929" s="4">
        <f>IF(L929&lt;&gt;"",SQRT(3)*G929*L929/1000,"")</f>
        <v/>
      </c>
      <c r="AA929" t="inlineStr">
        <is>
          <t>Source=Copeland 2D/3D/4D/4R/6D/8D/9R compressors (pdf) p39</t>
        </is>
      </c>
      <c r="AB929" t="inlineStr">
        <is>
          <t>Copeland_RLA_230_460_3ph_60Hz.xlsx</t>
        </is>
      </c>
      <c r="AC929" t="inlineStr">
        <is>
          <t>Recip_2D-9R</t>
        </is>
      </c>
    </row>
    <row r="930">
      <c r="A930" t="inlineStr">
        <is>
          <t>COPELAND</t>
        </is>
      </c>
      <c r="B930" t="inlineStr">
        <is>
          <t>4DR8-200E-TSK</t>
        </is>
      </c>
      <c r="D930" t="inlineStr">
        <is>
          <t>Reciprocating Semi-hermetic</t>
        </is>
      </c>
      <c r="E930" s="2" t="n">
        <v>3</v>
      </c>
      <c r="F930" s="2" t="n">
        <v>60</v>
      </c>
      <c r="G930" s="2" t="n">
        <v>230</v>
      </c>
      <c r="H930" t="inlineStr">
        <is>
          <t>208/230</t>
        </is>
      </c>
      <c r="I930" s="2" t="n">
        <v>208</v>
      </c>
      <c r="J930" s="2" t="n">
        <v>230</v>
      </c>
      <c r="L930" s="3" t="n"/>
      <c r="M930" s="3" t="n"/>
      <c r="N930" s="3" t="n">
        <v>66</v>
      </c>
      <c r="O930" s="3" t="n"/>
      <c r="P930" s="3">
        <f>IF(L930&lt;&gt;"",L930/1.4,"")</f>
        <v/>
      </c>
      <c r="Q930" s="3">
        <f>IF(L930&lt;&gt;"",L930/1.56,"")</f>
        <v/>
      </c>
      <c r="R930" s="3">
        <f>IF(M930&lt;&gt;"",M930/1.4,"")</f>
        <v/>
      </c>
      <c r="S930" s="3">
        <f>IF(M930&lt;&gt;"",M930/1.56,"")</f>
        <v/>
      </c>
      <c r="T930" s="3">
        <f>IF(N930&lt;&gt;"",N930,IF(O930&lt;&gt;"",O930,IF(L930&lt;&gt;"",L930/1.56,IF(M930&lt;&gt;"",M930/1.56,""))))</f>
        <v/>
      </c>
      <c r="U930" s="3" t="n">
        <v>346</v>
      </c>
      <c r="V930" s="3" t="n">
        <v>208</v>
      </c>
      <c r="W930" s="3" t="n"/>
      <c r="X930" s="4" t="n"/>
      <c r="Y930" s="5" t="n">
        <v>0.142</v>
      </c>
      <c r="Z930" s="4">
        <f>IF(L930&lt;&gt;"",SQRT(3)*G930*L930/1000,"")</f>
        <v/>
      </c>
      <c r="AA930" t="inlineStr">
        <is>
          <t>Source=Copeland 2D/3D/4D/4R/6D/8D/9R compressors (pdf) p39; PWS_RLA=33.0</t>
        </is>
      </c>
      <c r="AB930" t="inlineStr">
        <is>
          <t>Copeland_RLA_230_460_3ph_60Hz.xlsx</t>
        </is>
      </c>
      <c r="AC930" t="inlineStr">
        <is>
          <t>Recip_2D-9R</t>
        </is>
      </c>
    </row>
    <row r="931">
      <c r="A931" t="inlineStr">
        <is>
          <t>COPELAND</t>
        </is>
      </c>
      <c r="B931" t="inlineStr">
        <is>
          <t>4DR8-200E-TSK</t>
        </is>
      </c>
      <c r="D931" t="inlineStr">
        <is>
          <t>Reciprocating Semi-hermetic</t>
        </is>
      </c>
      <c r="E931" s="2" t="n">
        <v>3</v>
      </c>
      <c r="F931" s="2" t="n">
        <v>60</v>
      </c>
      <c r="G931" s="2" t="n">
        <v>460</v>
      </c>
      <c r="H931" t="inlineStr">
        <is>
          <t>460</t>
        </is>
      </c>
      <c r="I931" s="2" t="n">
        <v>460</v>
      </c>
      <c r="J931" s="2" t="n">
        <v>460</v>
      </c>
      <c r="L931" s="3" t="n"/>
      <c r="M931" s="3" t="n"/>
      <c r="N931" s="3" t="n">
        <v>33</v>
      </c>
      <c r="O931" s="3" t="n"/>
      <c r="P931" s="3">
        <f>IF(L931&lt;&gt;"",L931/1.4,"")</f>
        <v/>
      </c>
      <c r="Q931" s="3">
        <f>IF(L931&lt;&gt;"",L931/1.56,"")</f>
        <v/>
      </c>
      <c r="R931" s="3">
        <f>IF(M931&lt;&gt;"",M931/1.4,"")</f>
        <v/>
      </c>
      <c r="S931" s="3">
        <f>IF(M931&lt;&gt;"",M931/1.56,"")</f>
        <v/>
      </c>
      <c r="T931" s="3">
        <f>IF(N931&lt;&gt;"",N931,IF(O931&lt;&gt;"",O931,IF(L931&lt;&gt;"",L931/1.56,IF(M931&lt;&gt;"",M931/1.56,""))))</f>
        <v/>
      </c>
      <c r="U931" s="3" t="n">
        <v>173</v>
      </c>
      <c r="V931" s="3" t="n"/>
      <c r="W931" s="3" t="n"/>
      <c r="X931" s="4" t="n"/>
      <c r="Y931" s="5" t="n">
        <v>0.5679999999999999</v>
      </c>
      <c r="Z931" s="4">
        <f>IF(L931&lt;&gt;"",SQRT(3)*G931*L931/1000,"")</f>
        <v/>
      </c>
      <c r="AA931" t="inlineStr">
        <is>
          <t>Source=Copeland 2D/3D/4D/4R/6D/8D/9R compressors (pdf) p39</t>
        </is>
      </c>
      <c r="AB931" t="inlineStr">
        <is>
          <t>Copeland_RLA_230_460_3ph_60Hz.xlsx</t>
        </is>
      </c>
      <c r="AC931" t="inlineStr">
        <is>
          <t>Recip_2D-9R</t>
        </is>
      </c>
    </row>
    <row r="932">
      <c r="A932" t="inlineStr">
        <is>
          <t>COPELAND</t>
        </is>
      </c>
      <c r="B932" t="inlineStr">
        <is>
          <t>4DR8A200E-TSK</t>
        </is>
      </c>
      <c r="D932" t="inlineStr">
        <is>
          <t>Reciprocating Semi-hermetic</t>
        </is>
      </c>
      <c r="E932" s="2" t="n">
        <v>3</v>
      </c>
      <c r="F932" s="2" t="n">
        <v>60</v>
      </c>
      <c r="G932" s="2" t="n">
        <v>230</v>
      </c>
      <c r="H932" t="inlineStr">
        <is>
          <t>208/230</t>
        </is>
      </c>
      <c r="I932" s="2" t="n">
        <v>208</v>
      </c>
      <c r="J932" s="2" t="n">
        <v>230</v>
      </c>
      <c r="L932" s="3" t="n"/>
      <c r="M932" s="3" t="n"/>
      <c r="N932" s="3" t="n">
        <v>66</v>
      </c>
      <c r="O932" s="3" t="n"/>
      <c r="P932" s="3">
        <f>IF(L932&lt;&gt;"",L932/1.4,"")</f>
        <v/>
      </c>
      <c r="Q932" s="3">
        <f>IF(L932&lt;&gt;"",L932/1.56,"")</f>
        <v/>
      </c>
      <c r="R932" s="3">
        <f>IF(M932&lt;&gt;"",M932/1.4,"")</f>
        <v/>
      </c>
      <c r="S932" s="3">
        <f>IF(M932&lt;&gt;"",M932/1.56,"")</f>
        <v/>
      </c>
      <c r="T932" s="3">
        <f>IF(N932&lt;&gt;"",N932,IF(O932&lt;&gt;"",O932,IF(L932&lt;&gt;"",L932/1.56,IF(M932&lt;&gt;"",M932/1.56,""))))</f>
        <v/>
      </c>
      <c r="U932" s="3" t="n">
        <v>346</v>
      </c>
      <c r="V932" s="3" t="n">
        <v>208</v>
      </c>
      <c r="W932" s="3" t="n"/>
      <c r="X932" s="4" t="n"/>
      <c r="Y932" s="5" t="n">
        <v>0.142</v>
      </c>
      <c r="Z932" s="4">
        <f>IF(L932&lt;&gt;"",SQRT(3)*G932*L932/1000,"")</f>
        <v/>
      </c>
      <c r="AA932" t="inlineStr">
        <is>
          <t>Source=Copeland 2D/3D/4D/4R/6D/8D/9R compressors (pdf) p39; PWS_RLA=33.0</t>
        </is>
      </c>
      <c r="AB932" t="inlineStr">
        <is>
          <t>Copeland_RLA_230_460_3ph_60Hz.xlsx</t>
        </is>
      </c>
      <c r="AC932" t="inlineStr">
        <is>
          <t>Recip_2D-9R</t>
        </is>
      </c>
    </row>
    <row r="933">
      <c r="A933" t="inlineStr">
        <is>
          <t>COPELAND</t>
        </is>
      </c>
      <c r="B933" t="inlineStr">
        <is>
          <t>4DR8A200E-TSK</t>
        </is>
      </c>
      <c r="D933" t="inlineStr">
        <is>
          <t>Reciprocating Semi-hermetic</t>
        </is>
      </c>
      <c r="E933" s="2" t="n">
        <v>3</v>
      </c>
      <c r="F933" s="2" t="n">
        <v>60</v>
      </c>
      <c r="G933" s="2" t="n">
        <v>460</v>
      </c>
      <c r="H933" t="inlineStr">
        <is>
          <t>460</t>
        </is>
      </c>
      <c r="I933" s="2" t="n">
        <v>460</v>
      </c>
      <c r="J933" s="2" t="n">
        <v>460</v>
      </c>
      <c r="L933" s="3" t="n"/>
      <c r="M933" s="3" t="n"/>
      <c r="N933" s="3" t="n">
        <v>33</v>
      </c>
      <c r="O933" s="3" t="n"/>
      <c r="P933" s="3">
        <f>IF(L933&lt;&gt;"",L933/1.4,"")</f>
        <v/>
      </c>
      <c r="Q933" s="3">
        <f>IF(L933&lt;&gt;"",L933/1.56,"")</f>
        <v/>
      </c>
      <c r="R933" s="3">
        <f>IF(M933&lt;&gt;"",M933/1.4,"")</f>
        <v/>
      </c>
      <c r="S933" s="3">
        <f>IF(M933&lt;&gt;"",M933/1.56,"")</f>
        <v/>
      </c>
      <c r="T933" s="3">
        <f>IF(N933&lt;&gt;"",N933,IF(O933&lt;&gt;"",O933,IF(L933&lt;&gt;"",L933/1.56,IF(M933&lt;&gt;"",M933/1.56,""))))</f>
        <v/>
      </c>
      <c r="U933" s="3" t="n">
        <v>173</v>
      </c>
      <c r="V933" s="3" t="n"/>
      <c r="W933" s="3" t="n"/>
      <c r="X933" s="4" t="n"/>
      <c r="Y933" s="5" t="n">
        <v>0.5679999999999999</v>
      </c>
      <c r="Z933" s="4">
        <f>IF(L933&lt;&gt;"",SQRT(3)*G933*L933/1000,"")</f>
        <v/>
      </c>
      <c r="AA933" t="inlineStr">
        <is>
          <t>Source=Copeland 2D/3D/4D/4R/6D/8D/9R compressors (pdf) p39</t>
        </is>
      </c>
      <c r="AB933" t="inlineStr">
        <is>
          <t>Copeland_RLA_230_460_3ph_60Hz.xlsx</t>
        </is>
      </c>
      <c r="AC933" t="inlineStr">
        <is>
          <t>Recip_2D-9R</t>
        </is>
      </c>
    </row>
    <row r="934">
      <c r="A934" t="inlineStr">
        <is>
          <t>COPELAND</t>
        </is>
      </c>
      <c r="B934" t="inlineStr">
        <is>
          <t>4DRG-3000-FSD</t>
        </is>
      </c>
      <c r="D934" t="inlineStr">
        <is>
          <t>Reciprocating Semi-hermetic</t>
        </is>
      </c>
      <c r="E934" s="2" t="n">
        <v>3</v>
      </c>
      <c r="F934" s="2" t="n">
        <v>60</v>
      </c>
      <c r="G934" s="2" t="n">
        <v>460</v>
      </c>
      <c r="H934" t="inlineStr">
        <is>
          <t>460</t>
        </is>
      </c>
      <c r="I934" s="2" t="n">
        <v>460</v>
      </c>
      <c r="J934" s="2" t="n">
        <v>460</v>
      </c>
      <c r="L934" s="3" t="n"/>
      <c r="M934" s="3" t="n"/>
      <c r="N934" s="3" t="n">
        <v>45</v>
      </c>
      <c r="O934" s="3" t="n"/>
      <c r="P934" s="3">
        <f>IF(L934&lt;&gt;"",L934/1.4,"")</f>
        <v/>
      </c>
      <c r="Q934" s="3">
        <f>IF(L934&lt;&gt;"",L934/1.56,"")</f>
        <v/>
      </c>
      <c r="R934" s="3">
        <f>IF(M934&lt;&gt;"",M934/1.4,"")</f>
        <v/>
      </c>
      <c r="S934" s="3">
        <f>IF(M934&lt;&gt;"",M934/1.56,"")</f>
        <v/>
      </c>
      <c r="T934" s="3">
        <f>IF(N934&lt;&gt;"",N934,IF(O934&lt;&gt;"",O934,IF(L934&lt;&gt;"",L934/1.56,IF(M934&lt;&gt;"",M934/1.56,""))))</f>
        <v/>
      </c>
      <c r="U934" s="3" t="n">
        <v>235</v>
      </c>
      <c r="V934" s="3" t="n">
        <v>141</v>
      </c>
      <c r="W934" s="3" t="n"/>
      <c r="X934" s="4" t="n"/>
      <c r="Y934" s="5" t="n">
        <v>0.45</v>
      </c>
      <c r="Z934" s="4">
        <f>IF(L934&lt;&gt;"",SQRT(3)*G934*L934/1000,"")</f>
        <v/>
      </c>
      <c r="AA934" t="inlineStr">
        <is>
          <t>Source=Copeland 2D/3D/4D/4R/6D/8D/9R compressors (pdf) p39; PWS_RLA=22.5</t>
        </is>
      </c>
      <c r="AB934" t="inlineStr">
        <is>
          <t>Copeland_RLA_230_460_3ph_60Hz.xlsx</t>
        </is>
      </c>
      <c r="AC934" t="inlineStr">
        <is>
          <t>Recip_2D-9R</t>
        </is>
      </c>
    </row>
    <row r="935">
      <c r="A935" t="inlineStr">
        <is>
          <t>COPELAND</t>
        </is>
      </c>
      <c r="B935" t="inlineStr">
        <is>
          <t>4DRG-3000-TSK</t>
        </is>
      </c>
      <c r="D935" t="inlineStr">
        <is>
          <t>Reciprocating Semi-hermetic</t>
        </is>
      </c>
      <c r="E935" s="2" t="n">
        <v>3</v>
      </c>
      <c r="F935" s="2" t="n">
        <v>60</v>
      </c>
      <c r="G935" s="2" t="n">
        <v>230</v>
      </c>
      <c r="H935" t="inlineStr">
        <is>
          <t>208/230</t>
        </is>
      </c>
      <c r="I935" s="2" t="n">
        <v>208</v>
      </c>
      <c r="J935" s="2" t="n">
        <v>230</v>
      </c>
      <c r="L935" s="3" t="n"/>
      <c r="M935" s="3" t="n"/>
      <c r="N935" s="3" t="n">
        <v>94</v>
      </c>
      <c r="O935" s="3" t="n"/>
      <c r="P935" s="3">
        <f>IF(L935&lt;&gt;"",L935/1.4,"")</f>
        <v/>
      </c>
      <c r="Q935" s="3">
        <f>IF(L935&lt;&gt;"",L935/1.56,"")</f>
        <v/>
      </c>
      <c r="R935" s="3">
        <f>IF(M935&lt;&gt;"",M935/1.4,"")</f>
        <v/>
      </c>
      <c r="S935" s="3">
        <f>IF(M935&lt;&gt;"",M935/1.56,"")</f>
        <v/>
      </c>
      <c r="T935" s="3">
        <f>IF(N935&lt;&gt;"",N935,IF(O935&lt;&gt;"",O935,IF(L935&lt;&gt;"",L935/1.56,IF(M935&lt;&gt;"",M935/1.56,""))))</f>
        <v/>
      </c>
      <c r="U935" s="3" t="n">
        <v>470</v>
      </c>
      <c r="V935" s="3" t="n">
        <v>292</v>
      </c>
      <c r="W935" s="3" t="n"/>
      <c r="X935" s="4" t="n"/>
      <c r="Y935" s="5" t="n">
        <v>0.111</v>
      </c>
      <c r="Z935" s="4">
        <f>IF(L935&lt;&gt;"",SQRT(3)*G935*L935/1000,"")</f>
        <v/>
      </c>
      <c r="AA935" t="inlineStr">
        <is>
          <t>Source=Copeland 2D/3D/4D/4R/6D/8D/9R compressors (pdf) p39; PWS_RLA=47.0</t>
        </is>
      </c>
      <c r="AB935" t="inlineStr">
        <is>
          <t>Copeland_RLA_230_460_3ph_60Hz.xlsx</t>
        </is>
      </c>
      <c r="AC935" t="inlineStr">
        <is>
          <t>Recip_2D-9R</t>
        </is>
      </c>
    </row>
    <row r="936">
      <c r="A936" t="inlineStr">
        <is>
          <t>COPELAND</t>
        </is>
      </c>
      <c r="B936" t="inlineStr">
        <is>
          <t>4DRG-3000-TSK</t>
        </is>
      </c>
      <c r="D936" t="inlineStr">
        <is>
          <t>Reciprocating Semi-hermetic</t>
        </is>
      </c>
      <c r="E936" s="2" t="n">
        <v>3</v>
      </c>
      <c r="F936" s="2" t="n">
        <v>60</v>
      </c>
      <c r="G936" s="2" t="n">
        <v>460</v>
      </c>
      <c r="H936" t="inlineStr">
        <is>
          <t>460</t>
        </is>
      </c>
      <c r="I936" s="2" t="n">
        <v>460</v>
      </c>
      <c r="J936" s="2" t="n">
        <v>460</v>
      </c>
      <c r="L936" s="3" t="n"/>
      <c r="M936" s="3" t="n"/>
      <c r="N936" s="3" t="n">
        <v>47</v>
      </c>
      <c r="O936" s="3" t="n"/>
      <c r="P936" s="3">
        <f>IF(L936&lt;&gt;"",L936/1.4,"")</f>
        <v/>
      </c>
      <c r="Q936" s="3">
        <f>IF(L936&lt;&gt;"",L936/1.56,"")</f>
        <v/>
      </c>
      <c r="R936" s="3">
        <f>IF(M936&lt;&gt;"",M936/1.4,"")</f>
        <v/>
      </c>
      <c r="S936" s="3">
        <f>IF(M936&lt;&gt;"",M936/1.56,"")</f>
        <v/>
      </c>
      <c r="T936" s="3">
        <f>IF(N936&lt;&gt;"",N936,IF(O936&lt;&gt;"",O936,IF(L936&lt;&gt;"",L936/1.56,IF(M936&lt;&gt;"",M936/1.56,""))))</f>
        <v/>
      </c>
      <c r="U936" s="3" t="n">
        <v>235</v>
      </c>
      <c r="V936" s="3" t="n"/>
      <c r="W936" s="3" t="n"/>
      <c r="X936" s="4" t="n"/>
      <c r="Y936" s="5" t="n">
        <v>0.444</v>
      </c>
      <c r="Z936" s="4">
        <f>IF(L936&lt;&gt;"",SQRT(3)*G936*L936/1000,"")</f>
        <v/>
      </c>
      <c r="AA936" t="inlineStr">
        <is>
          <t>Source=Copeland 2D/3D/4D/4R/6D/8D/9R compressors (pdf) p39</t>
        </is>
      </c>
      <c r="AB936" t="inlineStr">
        <is>
          <t>Copeland_RLA_230_460_3ph_60Hz.xlsx</t>
        </is>
      </c>
      <c r="AC936" t="inlineStr">
        <is>
          <t>Recip_2D-9R</t>
        </is>
      </c>
    </row>
    <row r="937">
      <c r="A937" t="inlineStr">
        <is>
          <t>COPELAND</t>
        </is>
      </c>
      <c r="B937" t="inlineStr">
        <is>
          <t>4DRG-300E-FSD</t>
        </is>
      </c>
      <c r="D937" t="inlineStr">
        <is>
          <t>Reciprocating Semi-hermetic</t>
        </is>
      </c>
      <c r="E937" s="2" t="n">
        <v>3</v>
      </c>
      <c r="F937" s="2" t="n">
        <v>60</v>
      </c>
      <c r="G937" s="2" t="n">
        <v>460</v>
      </c>
      <c r="H937" t="inlineStr">
        <is>
          <t>460</t>
        </is>
      </c>
      <c r="I937" s="2" t="n">
        <v>460</v>
      </c>
      <c r="J937" s="2" t="n">
        <v>460</v>
      </c>
      <c r="L937" s="3" t="n"/>
      <c r="M937" s="3" t="n"/>
      <c r="N937" s="3" t="n">
        <v>45</v>
      </c>
      <c r="O937" s="3" t="n"/>
      <c r="P937" s="3">
        <f>IF(L937&lt;&gt;"",L937/1.4,"")</f>
        <v/>
      </c>
      <c r="Q937" s="3">
        <f>IF(L937&lt;&gt;"",L937/1.56,"")</f>
        <v/>
      </c>
      <c r="R937" s="3">
        <f>IF(M937&lt;&gt;"",M937/1.4,"")</f>
        <v/>
      </c>
      <c r="S937" s="3">
        <f>IF(M937&lt;&gt;"",M937/1.56,"")</f>
        <v/>
      </c>
      <c r="T937" s="3">
        <f>IF(N937&lt;&gt;"",N937,IF(O937&lt;&gt;"",O937,IF(L937&lt;&gt;"",L937/1.56,IF(M937&lt;&gt;"",M937/1.56,""))))</f>
        <v/>
      </c>
      <c r="U937" s="3" t="n">
        <v>235</v>
      </c>
      <c r="V937" s="3" t="n">
        <v>141</v>
      </c>
      <c r="W937" s="3" t="n"/>
      <c r="X937" s="4" t="n"/>
      <c r="Y937" s="5" t="n">
        <v>0.45</v>
      </c>
      <c r="Z937" s="4">
        <f>IF(L937&lt;&gt;"",SQRT(3)*G937*L937/1000,"")</f>
        <v/>
      </c>
      <c r="AA937" t="inlineStr">
        <is>
          <t>Source=Copeland 2D/3D/4D/4R/6D/8D/9R compressors (pdf) p39; PWS_RLA=22.5</t>
        </is>
      </c>
      <c r="AB937" t="inlineStr">
        <is>
          <t>Copeland_RLA_230_460_3ph_60Hz.xlsx</t>
        </is>
      </c>
      <c r="AC937" t="inlineStr">
        <is>
          <t>Recip_2D-9R</t>
        </is>
      </c>
    </row>
    <row r="938">
      <c r="A938" t="inlineStr">
        <is>
          <t>COPELAND</t>
        </is>
      </c>
      <c r="B938" t="inlineStr">
        <is>
          <t>4DRG-300L-FSD</t>
        </is>
      </c>
      <c r="D938" t="inlineStr">
        <is>
          <t>Reciprocating Semi-hermetic</t>
        </is>
      </c>
      <c r="E938" s="2" t="n">
        <v>3</v>
      </c>
      <c r="F938" s="2" t="n">
        <v>60</v>
      </c>
      <c r="G938" s="2" t="n">
        <v>460</v>
      </c>
      <c r="H938" t="inlineStr">
        <is>
          <t>460</t>
        </is>
      </c>
      <c r="I938" s="2" t="n">
        <v>460</v>
      </c>
      <c r="J938" s="2" t="n">
        <v>460</v>
      </c>
      <c r="L938" s="3" t="n"/>
      <c r="M938" s="3" t="n"/>
      <c r="N938" s="3" t="n">
        <v>45</v>
      </c>
      <c r="O938" s="3" t="n"/>
      <c r="P938" s="3">
        <f>IF(L938&lt;&gt;"",L938/1.4,"")</f>
        <v/>
      </c>
      <c r="Q938" s="3">
        <f>IF(L938&lt;&gt;"",L938/1.56,"")</f>
        <v/>
      </c>
      <c r="R938" s="3">
        <f>IF(M938&lt;&gt;"",M938/1.4,"")</f>
        <v/>
      </c>
      <c r="S938" s="3">
        <f>IF(M938&lt;&gt;"",M938/1.56,"")</f>
        <v/>
      </c>
      <c r="T938" s="3">
        <f>IF(N938&lt;&gt;"",N938,IF(O938&lt;&gt;"",O938,IF(L938&lt;&gt;"",L938/1.56,IF(M938&lt;&gt;"",M938/1.56,""))))</f>
        <v/>
      </c>
      <c r="U938" s="3" t="n">
        <v>235</v>
      </c>
      <c r="V938" s="3" t="n">
        <v>141</v>
      </c>
      <c r="W938" s="3" t="n"/>
      <c r="X938" s="4" t="n"/>
      <c r="Y938" s="5" t="n">
        <v>0.45</v>
      </c>
      <c r="Z938" s="4">
        <f>IF(L938&lt;&gt;"",SQRT(3)*G938*L938/1000,"")</f>
        <v/>
      </c>
      <c r="AA938" t="inlineStr">
        <is>
          <t>Source=Copeland 2D/3D/4D/4R/6D/8D/9R compressors (pdf) p39; PWS_RLA=22.5</t>
        </is>
      </c>
      <c r="AB938" t="inlineStr">
        <is>
          <t>Copeland_RLA_230_460_3ph_60Hz.xlsx</t>
        </is>
      </c>
      <c r="AC938" t="inlineStr">
        <is>
          <t>Recip_2D-9R</t>
        </is>
      </c>
    </row>
    <row r="939">
      <c r="A939" t="inlineStr">
        <is>
          <t>COPELAND</t>
        </is>
      </c>
      <c r="B939" t="inlineStr">
        <is>
          <t>4DS1A2200-FSD</t>
        </is>
      </c>
      <c r="D939" t="inlineStr">
        <is>
          <t>Reciprocating Semi-hermetic</t>
        </is>
      </c>
      <c r="E939" s="2" t="n">
        <v>3</v>
      </c>
      <c r="F939" s="2" t="n">
        <v>60</v>
      </c>
      <c r="G939" s="2" t="n">
        <v>460</v>
      </c>
      <c r="H939" t="inlineStr">
        <is>
          <t>460</t>
        </is>
      </c>
      <c r="I939" s="2" t="n">
        <v>460</v>
      </c>
      <c r="J939" s="2" t="n">
        <v>460</v>
      </c>
      <c r="L939" s="3" t="n"/>
      <c r="M939" s="3" t="n"/>
      <c r="N939" s="3" t="n">
        <v>32.9</v>
      </c>
      <c r="O939" s="3" t="n"/>
      <c r="P939" s="3">
        <f>IF(L939&lt;&gt;"",L939/1.4,"")</f>
        <v/>
      </c>
      <c r="Q939" s="3">
        <f>IF(L939&lt;&gt;"",L939/1.56,"")</f>
        <v/>
      </c>
      <c r="R939" s="3">
        <f>IF(M939&lt;&gt;"",M939/1.4,"")</f>
        <v/>
      </c>
      <c r="S939" s="3">
        <f>IF(M939&lt;&gt;"",M939/1.56,"")</f>
        <v/>
      </c>
      <c r="T939" s="3">
        <f>IF(N939&lt;&gt;"",N939,IF(O939&lt;&gt;"",O939,IF(L939&lt;&gt;"",L939/1.56,IF(M939&lt;&gt;"",M939/1.56,""))))</f>
        <v/>
      </c>
      <c r="U939" s="3" t="n">
        <v>180</v>
      </c>
      <c r="V939" s="3" t="n">
        <v>108</v>
      </c>
      <c r="W939" s="3" t="n"/>
      <c r="X939" s="4" t="n"/>
      <c r="Y939" s="5" t="n">
        <v>0.5580000000000001</v>
      </c>
      <c r="Z939" s="4">
        <f>IF(L939&lt;&gt;"",SQRT(3)*G939*L939/1000,"")</f>
        <v/>
      </c>
      <c r="AA939" t="inlineStr">
        <is>
          <t>Source=Copeland 2D/3D/4D/4R/6D/8D/9R compressors (pdf) p39; PWS_RLA=16.5</t>
        </is>
      </c>
      <c r="AB939" t="inlineStr">
        <is>
          <t>Copeland_RLA_230_460_3ph_60Hz.xlsx</t>
        </is>
      </c>
      <c r="AC939" t="inlineStr">
        <is>
          <t>Recip_2D-9R</t>
        </is>
      </c>
    </row>
    <row r="940">
      <c r="A940" t="inlineStr">
        <is>
          <t>COPELAND</t>
        </is>
      </c>
      <c r="B940" t="inlineStr">
        <is>
          <t>4DS1A2200-TSK</t>
        </is>
      </c>
      <c r="D940" t="inlineStr">
        <is>
          <t>Reciprocating Semi-hermetic</t>
        </is>
      </c>
      <c r="E940" s="2" t="n">
        <v>3</v>
      </c>
      <c r="F940" s="2" t="n">
        <v>60</v>
      </c>
      <c r="G940" s="2" t="n">
        <v>230</v>
      </c>
      <c r="H940" t="inlineStr">
        <is>
          <t>208/230</t>
        </is>
      </c>
      <c r="I940" s="2" t="n">
        <v>208</v>
      </c>
      <c r="J940" s="2" t="n">
        <v>230</v>
      </c>
      <c r="L940" s="3" t="n"/>
      <c r="M940" s="3" t="n"/>
      <c r="N940" s="3" t="n">
        <v>71.40000000000001</v>
      </c>
      <c r="O940" s="3" t="n"/>
      <c r="P940" s="3">
        <f>IF(L940&lt;&gt;"",L940/1.4,"")</f>
        <v/>
      </c>
      <c r="Q940" s="3">
        <f>IF(L940&lt;&gt;"",L940/1.56,"")</f>
        <v/>
      </c>
      <c r="R940" s="3">
        <f>IF(M940&lt;&gt;"",M940/1.4,"")</f>
        <v/>
      </c>
      <c r="S940" s="3">
        <f>IF(M940&lt;&gt;"",M940/1.56,"")</f>
        <v/>
      </c>
      <c r="T940" s="3">
        <f>IF(N940&lt;&gt;"",N940,IF(O940&lt;&gt;"",O940,IF(L940&lt;&gt;"",L940/1.56,IF(M940&lt;&gt;"",M940/1.56,""))))</f>
        <v/>
      </c>
      <c r="U940" s="3" t="n">
        <v>374</v>
      </c>
      <c r="V940" s="3" t="n">
        <v>222</v>
      </c>
      <c r="W940" s="3" t="n"/>
      <c r="X940" s="4" t="n"/>
      <c r="Y940" s="5" t="n">
        <v>0.14</v>
      </c>
      <c r="Z940" s="4">
        <f>IF(L940&lt;&gt;"",SQRT(3)*G940*L940/1000,"")</f>
        <v/>
      </c>
      <c r="AA940" t="inlineStr">
        <is>
          <t>Source=Copeland 2D/3D/4D/4R/6D/8D/9R compressors (pdf) p40; PWS_RLA=35.7</t>
        </is>
      </c>
      <c r="AB940" t="inlineStr">
        <is>
          <t>Copeland_RLA_230_460_3ph_60Hz.xlsx</t>
        </is>
      </c>
      <c r="AC940" t="inlineStr">
        <is>
          <t>Recip_2D-9R</t>
        </is>
      </c>
    </row>
    <row r="941">
      <c r="A941" t="inlineStr">
        <is>
          <t>COPELAND</t>
        </is>
      </c>
      <c r="B941" t="inlineStr">
        <is>
          <t>4DS1A2200-TSK</t>
        </is>
      </c>
      <c r="D941" t="inlineStr">
        <is>
          <t>Reciprocating Semi-hermetic</t>
        </is>
      </c>
      <c r="E941" s="2" t="n">
        <v>3</v>
      </c>
      <c r="F941" s="2" t="n">
        <v>60</v>
      </c>
      <c r="G941" s="2" t="n">
        <v>460</v>
      </c>
      <c r="H941" t="inlineStr">
        <is>
          <t>460</t>
        </is>
      </c>
      <c r="I941" s="2" t="n">
        <v>460</v>
      </c>
      <c r="J941" s="2" t="n">
        <v>460</v>
      </c>
      <c r="L941" s="3" t="n"/>
      <c r="M941" s="3" t="n"/>
      <c r="N941" s="3" t="n">
        <v>35.7</v>
      </c>
      <c r="O941" s="3" t="n"/>
      <c r="P941" s="3">
        <f>IF(L941&lt;&gt;"",L941/1.4,"")</f>
        <v/>
      </c>
      <c r="Q941" s="3">
        <f>IF(L941&lt;&gt;"",L941/1.56,"")</f>
        <v/>
      </c>
      <c r="R941" s="3">
        <f>IF(M941&lt;&gt;"",M941/1.4,"")</f>
        <v/>
      </c>
      <c r="S941" s="3">
        <f>IF(M941&lt;&gt;"",M941/1.56,"")</f>
        <v/>
      </c>
      <c r="T941" s="3">
        <f>IF(N941&lt;&gt;"",N941,IF(O941&lt;&gt;"",O941,IF(L941&lt;&gt;"",L941/1.56,IF(M941&lt;&gt;"",M941/1.56,""))))</f>
        <v/>
      </c>
      <c r="U941" s="3" t="n">
        <v>187</v>
      </c>
      <c r="V941" s="3" t="n"/>
      <c r="W941" s="3" t="n"/>
      <c r="X941" s="4" t="n"/>
      <c r="Y941" s="5" t="n">
        <v>0.5600000000000001</v>
      </c>
      <c r="Z941" s="4">
        <f>IF(L941&lt;&gt;"",SQRT(3)*G941*L941/1000,"")</f>
        <v/>
      </c>
      <c r="AA941" t="inlineStr">
        <is>
          <t>Source=Copeland 2D/3D/4D/4R/6D/8D/9R compressors (pdf) p40</t>
        </is>
      </c>
      <c r="AB941" t="inlineStr">
        <is>
          <t>Copeland_RLA_230_460_3ph_60Hz.xlsx</t>
        </is>
      </c>
      <c r="AC941" t="inlineStr">
        <is>
          <t>Recip_2D-9R</t>
        </is>
      </c>
    </row>
    <row r="942">
      <c r="A942" t="inlineStr">
        <is>
          <t>COPELAND</t>
        </is>
      </c>
      <c r="B942" t="inlineStr">
        <is>
          <t>4DS3-2200-FSD</t>
        </is>
      </c>
      <c r="D942" t="inlineStr">
        <is>
          <t>Reciprocating Semi-hermetic</t>
        </is>
      </c>
      <c r="E942" s="2" t="n">
        <v>3</v>
      </c>
      <c r="F942" s="2" t="n">
        <v>60</v>
      </c>
      <c r="G942" s="2" t="n">
        <v>460</v>
      </c>
      <c r="H942" t="inlineStr">
        <is>
          <t>460</t>
        </is>
      </c>
      <c r="I942" s="2" t="n">
        <v>460</v>
      </c>
      <c r="J942" s="2" t="n">
        <v>460</v>
      </c>
      <c r="L942" s="3" t="n"/>
      <c r="M942" s="3" t="n"/>
      <c r="N942" s="3" t="n">
        <v>33.9</v>
      </c>
      <c r="O942" s="3" t="n"/>
      <c r="P942" s="3">
        <f>IF(L942&lt;&gt;"",L942/1.4,"")</f>
        <v/>
      </c>
      <c r="Q942" s="3">
        <f>IF(L942&lt;&gt;"",L942/1.56,"")</f>
        <v/>
      </c>
      <c r="R942" s="3">
        <f>IF(M942&lt;&gt;"",M942/1.4,"")</f>
        <v/>
      </c>
      <c r="S942" s="3">
        <f>IF(M942&lt;&gt;"",M942/1.56,"")</f>
        <v/>
      </c>
      <c r="T942" s="3">
        <f>IF(N942&lt;&gt;"",N942,IF(O942&lt;&gt;"",O942,IF(L942&lt;&gt;"",L942/1.56,IF(M942&lt;&gt;"",M942/1.56,""))))</f>
        <v/>
      </c>
      <c r="U942" s="3" t="n">
        <v>180</v>
      </c>
      <c r="V942" s="3" t="n">
        <v>108</v>
      </c>
      <c r="W942" s="3" t="n"/>
      <c r="X942" s="4" t="n"/>
      <c r="Y942" s="5" t="n">
        <v>0.5580000000000001</v>
      </c>
      <c r="Z942" s="4">
        <f>IF(L942&lt;&gt;"",SQRT(3)*G942*L942/1000,"")</f>
        <v/>
      </c>
      <c r="AA942" t="inlineStr">
        <is>
          <t>Source=Copeland 2D/3D/4D/4R/6D/8D/9R compressors (pdf) p40; PWS_RLA=17.0</t>
        </is>
      </c>
      <c r="AB942" t="inlineStr">
        <is>
          <t>Copeland_RLA_230_460_3ph_60Hz.xlsx</t>
        </is>
      </c>
      <c r="AC942" t="inlineStr">
        <is>
          <t>Recip_2D-9R</t>
        </is>
      </c>
    </row>
    <row r="943">
      <c r="A943" t="inlineStr">
        <is>
          <t>COPELAND</t>
        </is>
      </c>
      <c r="B943" t="inlineStr">
        <is>
          <t>4DS3-2200-TSK</t>
        </is>
      </c>
      <c r="D943" t="inlineStr">
        <is>
          <t>Reciprocating Semi-hermetic</t>
        </is>
      </c>
      <c r="E943" s="2" t="n">
        <v>3</v>
      </c>
      <c r="F943" s="2" t="n">
        <v>60</v>
      </c>
      <c r="G943" s="2" t="n">
        <v>230</v>
      </c>
      <c r="H943" t="inlineStr">
        <is>
          <t>208/230</t>
        </is>
      </c>
      <c r="I943" s="2" t="n">
        <v>208</v>
      </c>
      <c r="J943" s="2" t="n">
        <v>230</v>
      </c>
      <c r="L943" s="3" t="n"/>
      <c r="M943" s="3" t="n"/>
      <c r="N943" s="3" t="n">
        <v>66</v>
      </c>
      <c r="O943" s="3" t="n"/>
      <c r="P943" s="3">
        <f>IF(L943&lt;&gt;"",L943/1.4,"")</f>
        <v/>
      </c>
      <c r="Q943" s="3">
        <f>IF(L943&lt;&gt;"",L943/1.56,"")</f>
        <v/>
      </c>
      <c r="R943" s="3">
        <f>IF(M943&lt;&gt;"",M943/1.4,"")</f>
        <v/>
      </c>
      <c r="S943" s="3">
        <f>IF(M943&lt;&gt;"",M943/1.56,"")</f>
        <v/>
      </c>
      <c r="T943" s="3">
        <f>IF(N943&lt;&gt;"",N943,IF(O943&lt;&gt;"",O943,IF(L943&lt;&gt;"",L943/1.56,IF(M943&lt;&gt;"",M943/1.56,""))))</f>
        <v/>
      </c>
      <c r="U943" s="3" t="n">
        <v>374</v>
      </c>
      <c r="V943" s="3" t="n">
        <v>222</v>
      </c>
      <c r="W943" s="3" t="n"/>
      <c r="X943" s="4" t="n"/>
      <c r="Y943" s="5" t="n">
        <v>0.14</v>
      </c>
      <c r="Z943" s="4">
        <f>IF(L943&lt;&gt;"",SQRT(3)*G943*L943/1000,"")</f>
        <v/>
      </c>
      <c r="AA943" t="inlineStr">
        <is>
          <t>Source=Copeland 2D/3D/4D/4R/6D/8D/9R compressors (pdf) p40; PWS_RLA=33.0</t>
        </is>
      </c>
      <c r="AB943" t="inlineStr">
        <is>
          <t>Copeland_RLA_230_460_3ph_60Hz.xlsx</t>
        </is>
      </c>
      <c r="AC943" t="inlineStr">
        <is>
          <t>Recip_2D-9R</t>
        </is>
      </c>
    </row>
    <row r="944">
      <c r="A944" t="inlineStr">
        <is>
          <t>COPELAND</t>
        </is>
      </c>
      <c r="B944" t="inlineStr">
        <is>
          <t>4DS3-2200-TSK</t>
        </is>
      </c>
      <c r="D944" t="inlineStr">
        <is>
          <t>Reciprocating Semi-hermetic</t>
        </is>
      </c>
      <c r="E944" s="2" t="n">
        <v>3</v>
      </c>
      <c r="F944" s="2" t="n">
        <v>60</v>
      </c>
      <c r="G944" s="2" t="n">
        <v>460</v>
      </c>
      <c r="H944" t="inlineStr">
        <is>
          <t>460</t>
        </is>
      </c>
      <c r="I944" s="2" t="n">
        <v>460</v>
      </c>
      <c r="J944" s="2" t="n">
        <v>460</v>
      </c>
      <c r="L944" s="3" t="n"/>
      <c r="M944" s="3" t="n"/>
      <c r="N944" s="3" t="n">
        <v>33</v>
      </c>
      <c r="O944" s="3" t="n"/>
      <c r="P944" s="3">
        <f>IF(L944&lt;&gt;"",L944/1.4,"")</f>
        <v/>
      </c>
      <c r="Q944" s="3">
        <f>IF(L944&lt;&gt;"",L944/1.56,"")</f>
        <v/>
      </c>
      <c r="R944" s="3">
        <f>IF(M944&lt;&gt;"",M944/1.4,"")</f>
        <v/>
      </c>
      <c r="S944" s="3">
        <f>IF(M944&lt;&gt;"",M944/1.56,"")</f>
        <v/>
      </c>
      <c r="T944" s="3">
        <f>IF(N944&lt;&gt;"",N944,IF(O944&lt;&gt;"",O944,IF(L944&lt;&gt;"",L944/1.56,IF(M944&lt;&gt;"",M944/1.56,""))))</f>
        <v/>
      </c>
      <c r="U944" s="3" t="n">
        <v>187</v>
      </c>
      <c r="V944" s="3" t="n"/>
      <c r="W944" s="3" t="n"/>
      <c r="X944" s="4" t="n"/>
      <c r="Y944" s="5" t="n">
        <v>0.5600000000000001</v>
      </c>
      <c r="Z944" s="4">
        <f>IF(L944&lt;&gt;"",SQRT(3)*G944*L944/1000,"")</f>
        <v/>
      </c>
      <c r="AA944" t="inlineStr">
        <is>
          <t>Source=Copeland 2D/3D/4D/4R/6D/8D/9R compressors (pdf) p40</t>
        </is>
      </c>
      <c r="AB944" t="inlineStr">
        <is>
          <t>Copeland_RLA_230_460_3ph_60Hz.xlsx</t>
        </is>
      </c>
      <c r="AC944" t="inlineStr">
        <is>
          <t>Recip_2D-9R</t>
        </is>
      </c>
    </row>
    <row r="945">
      <c r="A945" t="inlineStr">
        <is>
          <t>COPELAND</t>
        </is>
      </c>
      <c r="B945" t="inlineStr">
        <is>
          <t>4DS3-220E-FSD</t>
        </is>
      </c>
      <c r="D945" t="inlineStr">
        <is>
          <t>Reciprocating Semi-hermetic</t>
        </is>
      </c>
      <c r="E945" s="2" t="n">
        <v>3</v>
      </c>
      <c r="F945" s="2" t="n">
        <v>60</v>
      </c>
      <c r="G945" s="2" t="n">
        <v>460</v>
      </c>
      <c r="H945" t="inlineStr">
        <is>
          <t>460</t>
        </is>
      </c>
      <c r="I945" s="2" t="n">
        <v>460</v>
      </c>
      <c r="J945" s="2" t="n">
        <v>460</v>
      </c>
      <c r="L945" s="3" t="n"/>
      <c r="M945" s="3" t="n"/>
      <c r="N945" s="3" t="n">
        <v>33.9</v>
      </c>
      <c r="O945" s="3" t="n"/>
      <c r="P945" s="3">
        <f>IF(L945&lt;&gt;"",L945/1.4,"")</f>
        <v/>
      </c>
      <c r="Q945" s="3">
        <f>IF(L945&lt;&gt;"",L945/1.56,"")</f>
        <v/>
      </c>
      <c r="R945" s="3">
        <f>IF(M945&lt;&gt;"",M945/1.4,"")</f>
        <v/>
      </c>
      <c r="S945" s="3">
        <f>IF(M945&lt;&gt;"",M945/1.56,"")</f>
        <v/>
      </c>
      <c r="T945" s="3">
        <f>IF(N945&lt;&gt;"",N945,IF(O945&lt;&gt;"",O945,IF(L945&lt;&gt;"",L945/1.56,IF(M945&lt;&gt;"",M945/1.56,""))))</f>
        <v/>
      </c>
      <c r="U945" s="3" t="n">
        <v>180</v>
      </c>
      <c r="V945" s="3" t="n">
        <v>108</v>
      </c>
      <c r="W945" s="3" t="n"/>
      <c r="X945" s="4" t="n"/>
      <c r="Y945" s="5" t="n">
        <v>0.5580000000000001</v>
      </c>
      <c r="Z945" s="4">
        <f>IF(L945&lt;&gt;"",SQRT(3)*G945*L945/1000,"")</f>
        <v/>
      </c>
      <c r="AA945" t="inlineStr">
        <is>
          <t>Source=Copeland 2D/3D/4D/4R/6D/8D/9R compressors (pdf) p40; PWS_RLA=17.0</t>
        </is>
      </c>
      <c r="AB945" t="inlineStr">
        <is>
          <t>Copeland_RLA_230_460_3ph_60Hz.xlsx</t>
        </is>
      </c>
      <c r="AC945" t="inlineStr">
        <is>
          <t>Recip_2D-9R</t>
        </is>
      </c>
    </row>
    <row r="946">
      <c r="A946" t="inlineStr">
        <is>
          <t>COPELAND</t>
        </is>
      </c>
      <c r="B946" t="inlineStr">
        <is>
          <t>4DS3-220E-TSK</t>
        </is>
      </c>
      <c r="D946" t="inlineStr">
        <is>
          <t>Reciprocating Semi-hermetic</t>
        </is>
      </c>
      <c r="E946" s="2" t="n">
        <v>3</v>
      </c>
      <c r="F946" s="2" t="n">
        <v>60</v>
      </c>
      <c r="G946" s="2" t="n">
        <v>230</v>
      </c>
      <c r="H946" t="inlineStr">
        <is>
          <t>208/230</t>
        </is>
      </c>
      <c r="I946" s="2" t="n">
        <v>208</v>
      </c>
      <c r="J946" s="2" t="n">
        <v>230</v>
      </c>
      <c r="L946" s="3" t="n"/>
      <c r="M946" s="3" t="n"/>
      <c r="N946" s="3" t="n">
        <v>66</v>
      </c>
      <c r="O946" s="3" t="n"/>
      <c r="P946" s="3">
        <f>IF(L946&lt;&gt;"",L946/1.4,"")</f>
        <v/>
      </c>
      <c r="Q946" s="3">
        <f>IF(L946&lt;&gt;"",L946/1.56,"")</f>
        <v/>
      </c>
      <c r="R946" s="3">
        <f>IF(M946&lt;&gt;"",M946/1.4,"")</f>
        <v/>
      </c>
      <c r="S946" s="3">
        <f>IF(M946&lt;&gt;"",M946/1.56,"")</f>
        <v/>
      </c>
      <c r="T946" s="3">
        <f>IF(N946&lt;&gt;"",N946,IF(O946&lt;&gt;"",O946,IF(L946&lt;&gt;"",L946/1.56,IF(M946&lt;&gt;"",M946/1.56,""))))</f>
        <v/>
      </c>
      <c r="U946" s="3" t="n">
        <v>374</v>
      </c>
      <c r="V946" s="3" t="n">
        <v>222</v>
      </c>
      <c r="W946" s="3" t="n"/>
      <c r="X946" s="4" t="n"/>
      <c r="Y946" s="5" t="n">
        <v>0.14</v>
      </c>
      <c r="Z946" s="4">
        <f>IF(L946&lt;&gt;"",SQRT(3)*G946*L946/1000,"")</f>
        <v/>
      </c>
      <c r="AA946" t="inlineStr">
        <is>
          <t>Source=Copeland 2D/3D/4D/4R/6D/8D/9R compressors (pdf) p40; PWS_RLA=33.0</t>
        </is>
      </c>
      <c r="AB946" t="inlineStr">
        <is>
          <t>Copeland_RLA_230_460_3ph_60Hz.xlsx</t>
        </is>
      </c>
      <c r="AC946" t="inlineStr">
        <is>
          <t>Recip_2D-9R</t>
        </is>
      </c>
    </row>
    <row r="947">
      <c r="A947" t="inlineStr">
        <is>
          <t>COPELAND</t>
        </is>
      </c>
      <c r="B947" t="inlineStr">
        <is>
          <t>4DS3-220E-TSK</t>
        </is>
      </c>
      <c r="D947" t="inlineStr">
        <is>
          <t>Reciprocating Semi-hermetic</t>
        </is>
      </c>
      <c r="E947" s="2" t="n">
        <v>3</v>
      </c>
      <c r="F947" s="2" t="n">
        <v>60</v>
      </c>
      <c r="G947" s="2" t="n">
        <v>460</v>
      </c>
      <c r="H947" t="inlineStr">
        <is>
          <t>460</t>
        </is>
      </c>
      <c r="I947" s="2" t="n">
        <v>460</v>
      </c>
      <c r="J947" s="2" t="n">
        <v>460</v>
      </c>
      <c r="L947" s="3" t="n"/>
      <c r="M947" s="3" t="n"/>
      <c r="N947" s="3" t="n">
        <v>33</v>
      </c>
      <c r="O947" s="3" t="n"/>
      <c r="P947" s="3">
        <f>IF(L947&lt;&gt;"",L947/1.4,"")</f>
        <v/>
      </c>
      <c r="Q947" s="3">
        <f>IF(L947&lt;&gt;"",L947/1.56,"")</f>
        <v/>
      </c>
      <c r="R947" s="3">
        <f>IF(M947&lt;&gt;"",M947/1.4,"")</f>
        <v/>
      </c>
      <c r="S947" s="3">
        <f>IF(M947&lt;&gt;"",M947/1.56,"")</f>
        <v/>
      </c>
      <c r="T947" s="3">
        <f>IF(N947&lt;&gt;"",N947,IF(O947&lt;&gt;"",O947,IF(L947&lt;&gt;"",L947/1.56,IF(M947&lt;&gt;"",M947/1.56,""))))</f>
        <v/>
      </c>
      <c r="U947" s="3" t="n">
        <v>187</v>
      </c>
      <c r="V947" s="3" t="n"/>
      <c r="W947" s="3" t="n"/>
      <c r="X947" s="4" t="n"/>
      <c r="Y947" s="5" t="n">
        <v>0.5600000000000001</v>
      </c>
      <c r="Z947" s="4">
        <f>IF(L947&lt;&gt;"",SQRT(3)*G947*L947/1000,"")</f>
        <v/>
      </c>
      <c r="AA947" t="inlineStr">
        <is>
          <t>Source=Copeland 2D/3D/4D/4R/6D/8D/9R compressors (pdf) p40</t>
        </is>
      </c>
      <c r="AB947" t="inlineStr">
        <is>
          <t>Copeland_RLA_230_460_3ph_60Hz.xlsx</t>
        </is>
      </c>
      <c r="AC947" t="inlineStr">
        <is>
          <t>Recip_2D-9R</t>
        </is>
      </c>
    </row>
    <row r="948">
      <c r="A948" t="inlineStr">
        <is>
          <t>COPELAND</t>
        </is>
      </c>
      <c r="B948" t="inlineStr">
        <is>
          <t>4DS3-220L-FSD</t>
        </is>
      </c>
      <c r="D948" t="inlineStr">
        <is>
          <t>Reciprocating Semi-hermetic</t>
        </is>
      </c>
      <c r="E948" s="2" t="n">
        <v>3</v>
      </c>
      <c r="F948" s="2" t="n">
        <v>60</v>
      </c>
      <c r="G948" s="2" t="n">
        <v>460</v>
      </c>
      <c r="H948" t="inlineStr">
        <is>
          <t>460</t>
        </is>
      </c>
      <c r="I948" s="2" t="n">
        <v>460</v>
      </c>
      <c r="J948" s="2" t="n">
        <v>460</v>
      </c>
      <c r="L948" s="3" t="n"/>
      <c r="M948" s="3" t="n"/>
      <c r="N948" s="3" t="n">
        <v>33.9</v>
      </c>
      <c r="O948" s="3" t="n"/>
      <c r="P948" s="3">
        <f>IF(L948&lt;&gt;"",L948/1.4,"")</f>
        <v/>
      </c>
      <c r="Q948" s="3">
        <f>IF(L948&lt;&gt;"",L948/1.56,"")</f>
        <v/>
      </c>
      <c r="R948" s="3">
        <f>IF(M948&lt;&gt;"",M948/1.4,"")</f>
        <v/>
      </c>
      <c r="S948" s="3">
        <f>IF(M948&lt;&gt;"",M948/1.56,"")</f>
        <v/>
      </c>
      <c r="T948" s="3">
        <f>IF(N948&lt;&gt;"",N948,IF(O948&lt;&gt;"",O948,IF(L948&lt;&gt;"",L948/1.56,IF(M948&lt;&gt;"",M948/1.56,""))))</f>
        <v/>
      </c>
      <c r="U948" s="3" t="n">
        <v>180</v>
      </c>
      <c r="V948" s="3" t="n">
        <v>108</v>
      </c>
      <c r="W948" s="3" t="n"/>
      <c r="X948" s="4" t="n"/>
      <c r="Y948" s="5" t="n">
        <v>0.5580000000000001</v>
      </c>
      <c r="Z948" s="4">
        <f>IF(L948&lt;&gt;"",SQRT(3)*G948*L948/1000,"")</f>
        <v/>
      </c>
      <c r="AA948" t="inlineStr">
        <is>
          <t>Source=Copeland 2D/3D/4D/4R/6D/8D/9R compressors (pdf) p40; PWS_RLA=17.0</t>
        </is>
      </c>
      <c r="AB948" t="inlineStr">
        <is>
          <t>Copeland_RLA_230_460_3ph_60Hz.xlsx</t>
        </is>
      </c>
      <c r="AC948" t="inlineStr">
        <is>
          <t>Recip_2D-9R</t>
        </is>
      </c>
    </row>
    <row r="949">
      <c r="A949" t="inlineStr">
        <is>
          <t>COPELAND</t>
        </is>
      </c>
      <c r="B949" t="inlineStr">
        <is>
          <t>4DS3-220L-TSK</t>
        </is>
      </c>
      <c r="D949" t="inlineStr">
        <is>
          <t>Reciprocating Semi-hermetic</t>
        </is>
      </c>
      <c r="E949" s="2" t="n">
        <v>3</v>
      </c>
      <c r="F949" s="2" t="n">
        <v>60</v>
      </c>
      <c r="G949" s="2" t="n">
        <v>230</v>
      </c>
      <c r="H949" t="inlineStr">
        <is>
          <t>208/230</t>
        </is>
      </c>
      <c r="I949" s="2" t="n">
        <v>208</v>
      </c>
      <c r="J949" s="2" t="n">
        <v>230</v>
      </c>
      <c r="L949" s="3" t="n"/>
      <c r="M949" s="3" t="n"/>
      <c r="N949" s="3" t="n">
        <v>66</v>
      </c>
      <c r="O949" s="3" t="n"/>
      <c r="P949" s="3">
        <f>IF(L949&lt;&gt;"",L949/1.4,"")</f>
        <v/>
      </c>
      <c r="Q949" s="3">
        <f>IF(L949&lt;&gt;"",L949/1.56,"")</f>
        <v/>
      </c>
      <c r="R949" s="3">
        <f>IF(M949&lt;&gt;"",M949/1.4,"")</f>
        <v/>
      </c>
      <c r="S949" s="3">
        <f>IF(M949&lt;&gt;"",M949/1.56,"")</f>
        <v/>
      </c>
      <c r="T949" s="3">
        <f>IF(N949&lt;&gt;"",N949,IF(O949&lt;&gt;"",O949,IF(L949&lt;&gt;"",L949/1.56,IF(M949&lt;&gt;"",M949/1.56,""))))</f>
        <v/>
      </c>
      <c r="U949" s="3" t="n">
        <v>374</v>
      </c>
      <c r="V949" s="3" t="n">
        <v>222</v>
      </c>
      <c r="W949" s="3" t="n"/>
      <c r="X949" s="4" t="n"/>
      <c r="Y949" s="5" t="n">
        <v>0.14</v>
      </c>
      <c r="Z949" s="4">
        <f>IF(L949&lt;&gt;"",SQRT(3)*G949*L949/1000,"")</f>
        <v/>
      </c>
      <c r="AA949" t="inlineStr">
        <is>
          <t>Source=Copeland 2D/3D/4D/4R/6D/8D/9R compressors (pdf) p40; PWS_RLA=33.0</t>
        </is>
      </c>
      <c r="AB949" t="inlineStr">
        <is>
          <t>Copeland_RLA_230_460_3ph_60Hz.xlsx</t>
        </is>
      </c>
      <c r="AC949" t="inlineStr">
        <is>
          <t>Recip_2D-9R</t>
        </is>
      </c>
    </row>
    <row r="950">
      <c r="A950" t="inlineStr">
        <is>
          <t>COPELAND</t>
        </is>
      </c>
      <c r="B950" t="inlineStr">
        <is>
          <t>4DS3-220L-TSK</t>
        </is>
      </c>
      <c r="D950" t="inlineStr">
        <is>
          <t>Reciprocating Semi-hermetic</t>
        </is>
      </c>
      <c r="E950" s="2" t="n">
        <v>3</v>
      </c>
      <c r="F950" s="2" t="n">
        <v>60</v>
      </c>
      <c r="G950" s="2" t="n">
        <v>460</v>
      </c>
      <c r="H950" t="inlineStr">
        <is>
          <t>460</t>
        </is>
      </c>
      <c r="I950" s="2" t="n">
        <v>460</v>
      </c>
      <c r="J950" s="2" t="n">
        <v>460</v>
      </c>
      <c r="L950" s="3" t="n"/>
      <c r="M950" s="3" t="n"/>
      <c r="N950" s="3" t="n">
        <v>33</v>
      </c>
      <c r="O950" s="3" t="n"/>
      <c r="P950" s="3">
        <f>IF(L950&lt;&gt;"",L950/1.4,"")</f>
        <v/>
      </c>
      <c r="Q950" s="3">
        <f>IF(L950&lt;&gt;"",L950/1.56,"")</f>
        <v/>
      </c>
      <c r="R950" s="3">
        <f>IF(M950&lt;&gt;"",M950/1.4,"")</f>
        <v/>
      </c>
      <c r="S950" s="3">
        <f>IF(M950&lt;&gt;"",M950/1.56,"")</f>
        <v/>
      </c>
      <c r="T950" s="3">
        <f>IF(N950&lt;&gt;"",N950,IF(O950&lt;&gt;"",O950,IF(L950&lt;&gt;"",L950/1.56,IF(M950&lt;&gt;"",M950/1.56,""))))</f>
        <v/>
      </c>
      <c r="U950" s="3" t="n">
        <v>187</v>
      </c>
      <c r="V950" s="3" t="n"/>
      <c r="W950" s="3" t="n"/>
      <c r="X950" s="4" t="n"/>
      <c r="Y950" s="5" t="n">
        <v>0.5600000000000001</v>
      </c>
      <c r="Z950" s="4">
        <f>IF(L950&lt;&gt;"",SQRT(3)*G950*L950/1000,"")</f>
        <v/>
      </c>
      <c r="AA950" t="inlineStr">
        <is>
          <t>Source=Copeland 2D/3D/4D/4R/6D/8D/9R compressors (pdf) p40</t>
        </is>
      </c>
      <c r="AB950" t="inlineStr">
        <is>
          <t>Copeland_RLA_230_460_3ph_60Hz.xlsx</t>
        </is>
      </c>
      <c r="AC950" t="inlineStr">
        <is>
          <t>Recip_2D-9R</t>
        </is>
      </c>
    </row>
    <row r="951">
      <c r="A951" t="inlineStr">
        <is>
          <t>COPELAND</t>
        </is>
      </c>
      <c r="B951" t="inlineStr">
        <is>
          <t>4DS3A2200-FSD</t>
        </is>
      </c>
      <c r="D951" t="inlineStr">
        <is>
          <t>Reciprocating Semi-hermetic</t>
        </is>
      </c>
      <c r="E951" s="2" t="n">
        <v>3</v>
      </c>
      <c r="F951" s="2" t="n">
        <v>60</v>
      </c>
      <c r="G951" s="2" t="n">
        <v>460</v>
      </c>
      <c r="H951" t="inlineStr">
        <is>
          <t>460</t>
        </is>
      </c>
      <c r="I951" s="2" t="n">
        <v>460</v>
      </c>
      <c r="J951" s="2" t="n">
        <v>460</v>
      </c>
      <c r="L951" s="3" t="n"/>
      <c r="M951" s="3" t="n"/>
      <c r="N951" s="3" t="n">
        <v>33.9</v>
      </c>
      <c r="O951" s="3" t="n"/>
      <c r="P951" s="3">
        <f>IF(L951&lt;&gt;"",L951/1.4,"")</f>
        <v/>
      </c>
      <c r="Q951" s="3">
        <f>IF(L951&lt;&gt;"",L951/1.56,"")</f>
        <v/>
      </c>
      <c r="R951" s="3">
        <f>IF(M951&lt;&gt;"",M951/1.4,"")</f>
        <v/>
      </c>
      <c r="S951" s="3">
        <f>IF(M951&lt;&gt;"",M951/1.56,"")</f>
        <v/>
      </c>
      <c r="T951" s="3">
        <f>IF(N951&lt;&gt;"",N951,IF(O951&lt;&gt;"",O951,IF(L951&lt;&gt;"",L951/1.56,IF(M951&lt;&gt;"",M951/1.56,""))))</f>
        <v/>
      </c>
      <c r="U951" s="3" t="n">
        <v>180</v>
      </c>
      <c r="V951" s="3" t="n">
        <v>108</v>
      </c>
      <c r="W951" s="3" t="n"/>
      <c r="X951" s="4" t="n"/>
      <c r="Y951" s="5" t="n">
        <v>0.5580000000000001</v>
      </c>
      <c r="Z951" s="4">
        <f>IF(L951&lt;&gt;"",SQRT(3)*G951*L951/1000,"")</f>
        <v/>
      </c>
      <c r="AA951" t="inlineStr">
        <is>
          <t>Source=Copeland 2D/3D/4D/4R/6D/8D/9R compressors (pdf) p40; PWS_RLA=17.0</t>
        </is>
      </c>
      <c r="AB951" t="inlineStr">
        <is>
          <t>Copeland_RLA_230_460_3ph_60Hz.xlsx</t>
        </is>
      </c>
      <c r="AC951" t="inlineStr">
        <is>
          <t>Recip_2D-9R</t>
        </is>
      </c>
    </row>
    <row r="952">
      <c r="A952" t="inlineStr">
        <is>
          <t>COPELAND</t>
        </is>
      </c>
      <c r="B952" t="inlineStr">
        <is>
          <t>4DS3A2200-TSK</t>
        </is>
      </c>
      <c r="D952" t="inlineStr">
        <is>
          <t>Reciprocating Semi-hermetic</t>
        </is>
      </c>
      <c r="E952" s="2" t="n">
        <v>3</v>
      </c>
      <c r="F952" s="2" t="n">
        <v>60</v>
      </c>
      <c r="G952" s="2" t="n">
        <v>230</v>
      </c>
      <c r="H952" t="inlineStr">
        <is>
          <t>208/230</t>
        </is>
      </c>
      <c r="I952" s="2" t="n">
        <v>208</v>
      </c>
      <c r="J952" s="2" t="n">
        <v>230</v>
      </c>
      <c r="L952" s="3" t="n"/>
      <c r="M952" s="3" t="n"/>
      <c r="N952" s="3" t="n">
        <v>66</v>
      </c>
      <c r="O952" s="3" t="n"/>
      <c r="P952" s="3">
        <f>IF(L952&lt;&gt;"",L952/1.4,"")</f>
        <v/>
      </c>
      <c r="Q952" s="3">
        <f>IF(L952&lt;&gt;"",L952/1.56,"")</f>
        <v/>
      </c>
      <c r="R952" s="3">
        <f>IF(M952&lt;&gt;"",M952/1.4,"")</f>
        <v/>
      </c>
      <c r="S952" s="3">
        <f>IF(M952&lt;&gt;"",M952/1.56,"")</f>
        <v/>
      </c>
      <c r="T952" s="3">
        <f>IF(N952&lt;&gt;"",N952,IF(O952&lt;&gt;"",O952,IF(L952&lt;&gt;"",L952/1.56,IF(M952&lt;&gt;"",M952/1.56,""))))</f>
        <v/>
      </c>
      <c r="U952" s="3" t="n">
        <v>374</v>
      </c>
      <c r="V952" s="3" t="n">
        <v>222</v>
      </c>
      <c r="W952" s="3" t="n"/>
      <c r="X952" s="4" t="n"/>
      <c r="Y952" s="5" t="n">
        <v>0.14</v>
      </c>
      <c r="Z952" s="4">
        <f>IF(L952&lt;&gt;"",SQRT(3)*G952*L952/1000,"")</f>
        <v/>
      </c>
      <c r="AA952" t="inlineStr">
        <is>
          <t>Source=Copeland 2D/3D/4D/4R/6D/8D/9R compressors (pdf) p40; PWS_RLA=33.0</t>
        </is>
      </c>
      <c r="AB952" t="inlineStr">
        <is>
          <t>Copeland_RLA_230_460_3ph_60Hz.xlsx</t>
        </is>
      </c>
      <c r="AC952" t="inlineStr">
        <is>
          <t>Recip_2D-9R</t>
        </is>
      </c>
    </row>
    <row r="953">
      <c r="A953" t="inlineStr">
        <is>
          <t>COPELAND</t>
        </is>
      </c>
      <c r="B953" t="inlineStr">
        <is>
          <t>4DS3A2200-TSK</t>
        </is>
      </c>
      <c r="D953" t="inlineStr">
        <is>
          <t>Reciprocating Semi-hermetic</t>
        </is>
      </c>
      <c r="E953" s="2" t="n">
        <v>3</v>
      </c>
      <c r="F953" s="2" t="n">
        <v>60</v>
      </c>
      <c r="G953" s="2" t="n">
        <v>460</v>
      </c>
      <c r="H953" t="inlineStr">
        <is>
          <t>460</t>
        </is>
      </c>
      <c r="I953" s="2" t="n">
        <v>460</v>
      </c>
      <c r="J953" s="2" t="n">
        <v>460</v>
      </c>
      <c r="L953" s="3" t="n"/>
      <c r="M953" s="3" t="n"/>
      <c r="N953" s="3" t="n">
        <v>33</v>
      </c>
      <c r="O953" s="3" t="n"/>
      <c r="P953" s="3">
        <f>IF(L953&lt;&gt;"",L953/1.4,"")</f>
        <v/>
      </c>
      <c r="Q953" s="3">
        <f>IF(L953&lt;&gt;"",L953/1.56,"")</f>
        <v/>
      </c>
      <c r="R953" s="3">
        <f>IF(M953&lt;&gt;"",M953/1.4,"")</f>
        <v/>
      </c>
      <c r="S953" s="3">
        <f>IF(M953&lt;&gt;"",M953/1.56,"")</f>
        <v/>
      </c>
      <c r="T953" s="3">
        <f>IF(N953&lt;&gt;"",N953,IF(O953&lt;&gt;"",O953,IF(L953&lt;&gt;"",L953/1.56,IF(M953&lt;&gt;"",M953/1.56,""))))</f>
        <v/>
      </c>
      <c r="U953" s="3" t="n">
        <v>187</v>
      </c>
      <c r="V953" s="3" t="n"/>
      <c r="W953" s="3" t="n"/>
      <c r="X953" s="4" t="n"/>
      <c r="Y953" s="5" t="n">
        <v>0.5600000000000001</v>
      </c>
      <c r="Z953" s="4">
        <f>IF(L953&lt;&gt;"",SQRT(3)*G953*L953/1000,"")</f>
        <v/>
      </c>
      <c r="AA953" t="inlineStr">
        <is>
          <t>Source=Copeland 2D/3D/4D/4R/6D/8D/9R compressors (pdf) p40</t>
        </is>
      </c>
      <c r="AB953" t="inlineStr">
        <is>
          <t>Copeland_RLA_230_460_3ph_60Hz.xlsx</t>
        </is>
      </c>
      <c r="AC953" t="inlineStr">
        <is>
          <t>Recip_2D-9R</t>
        </is>
      </c>
    </row>
    <row r="954">
      <c r="A954" t="inlineStr">
        <is>
          <t>COPELAND</t>
        </is>
      </c>
      <c r="B954" t="inlineStr">
        <is>
          <t>4DS3A220E-FSD</t>
        </is>
      </c>
      <c r="D954" t="inlineStr">
        <is>
          <t>Reciprocating Semi-hermetic</t>
        </is>
      </c>
      <c r="E954" s="2" t="n">
        <v>3</v>
      </c>
      <c r="F954" s="2" t="n">
        <v>60</v>
      </c>
      <c r="G954" s="2" t="n">
        <v>460</v>
      </c>
      <c r="H954" t="inlineStr">
        <is>
          <t>460</t>
        </is>
      </c>
      <c r="I954" s="2" t="n">
        <v>460</v>
      </c>
      <c r="J954" s="2" t="n">
        <v>460</v>
      </c>
      <c r="L954" s="3" t="n"/>
      <c r="M954" s="3" t="n"/>
      <c r="N954" s="3" t="n">
        <v>33.9</v>
      </c>
      <c r="O954" s="3" t="n"/>
      <c r="P954" s="3">
        <f>IF(L954&lt;&gt;"",L954/1.4,"")</f>
        <v/>
      </c>
      <c r="Q954" s="3">
        <f>IF(L954&lt;&gt;"",L954/1.56,"")</f>
        <v/>
      </c>
      <c r="R954" s="3">
        <f>IF(M954&lt;&gt;"",M954/1.4,"")</f>
        <v/>
      </c>
      <c r="S954" s="3">
        <f>IF(M954&lt;&gt;"",M954/1.56,"")</f>
        <v/>
      </c>
      <c r="T954" s="3">
        <f>IF(N954&lt;&gt;"",N954,IF(O954&lt;&gt;"",O954,IF(L954&lt;&gt;"",L954/1.56,IF(M954&lt;&gt;"",M954/1.56,""))))</f>
        <v/>
      </c>
      <c r="U954" s="3" t="n">
        <v>180</v>
      </c>
      <c r="V954" s="3" t="n">
        <v>108</v>
      </c>
      <c r="W954" s="3" t="n"/>
      <c r="X954" s="4" t="n"/>
      <c r="Y954" s="5" t="n">
        <v>0.5580000000000001</v>
      </c>
      <c r="Z954" s="4">
        <f>IF(L954&lt;&gt;"",SQRT(3)*G954*L954/1000,"")</f>
        <v/>
      </c>
      <c r="AA954" t="inlineStr">
        <is>
          <t>Source=Copeland 2D/3D/4D/4R/6D/8D/9R compressors (pdf) p40; PWS_RLA=17.0</t>
        </is>
      </c>
      <c r="AB954" t="inlineStr">
        <is>
          <t>Copeland_RLA_230_460_3ph_60Hz.xlsx</t>
        </is>
      </c>
      <c r="AC954" t="inlineStr">
        <is>
          <t>Recip_2D-9R</t>
        </is>
      </c>
    </row>
    <row r="955">
      <c r="A955" t="inlineStr">
        <is>
          <t>COPELAND</t>
        </is>
      </c>
      <c r="B955" t="inlineStr">
        <is>
          <t>4DS3A220E-TSK</t>
        </is>
      </c>
      <c r="D955" t="inlineStr">
        <is>
          <t>Reciprocating Semi-hermetic</t>
        </is>
      </c>
      <c r="E955" s="2" t="n">
        <v>3</v>
      </c>
      <c r="F955" s="2" t="n">
        <v>60</v>
      </c>
      <c r="G955" s="2" t="n">
        <v>230</v>
      </c>
      <c r="H955" t="inlineStr">
        <is>
          <t>208/230</t>
        </is>
      </c>
      <c r="I955" s="2" t="n">
        <v>208</v>
      </c>
      <c r="J955" s="2" t="n">
        <v>230</v>
      </c>
      <c r="L955" s="3" t="n"/>
      <c r="M955" s="3" t="n"/>
      <c r="N955" s="3" t="n">
        <v>66</v>
      </c>
      <c r="O955" s="3" t="n"/>
      <c r="P955" s="3">
        <f>IF(L955&lt;&gt;"",L955/1.4,"")</f>
        <v/>
      </c>
      <c r="Q955" s="3">
        <f>IF(L955&lt;&gt;"",L955/1.56,"")</f>
        <v/>
      </c>
      <c r="R955" s="3">
        <f>IF(M955&lt;&gt;"",M955/1.4,"")</f>
        <v/>
      </c>
      <c r="S955" s="3">
        <f>IF(M955&lt;&gt;"",M955/1.56,"")</f>
        <v/>
      </c>
      <c r="T955" s="3">
        <f>IF(N955&lt;&gt;"",N955,IF(O955&lt;&gt;"",O955,IF(L955&lt;&gt;"",L955/1.56,IF(M955&lt;&gt;"",M955/1.56,""))))</f>
        <v/>
      </c>
      <c r="U955" s="3" t="n">
        <v>374</v>
      </c>
      <c r="V955" s="3" t="n">
        <v>222</v>
      </c>
      <c r="W955" s="3" t="n"/>
      <c r="X955" s="4" t="n"/>
      <c r="Y955" s="5" t="n">
        <v>0.14</v>
      </c>
      <c r="Z955" s="4">
        <f>IF(L955&lt;&gt;"",SQRT(3)*G955*L955/1000,"")</f>
        <v/>
      </c>
      <c r="AA955" t="inlineStr">
        <is>
          <t>Source=Copeland 2D/3D/4D/4R/6D/8D/9R compressors (pdf) p41; PWS_RLA=33.0</t>
        </is>
      </c>
      <c r="AB955" t="inlineStr">
        <is>
          <t>Copeland_RLA_230_460_3ph_60Hz.xlsx</t>
        </is>
      </c>
      <c r="AC955" t="inlineStr">
        <is>
          <t>Recip_2D-9R</t>
        </is>
      </c>
    </row>
    <row r="956">
      <c r="A956" t="inlineStr">
        <is>
          <t>COPELAND</t>
        </is>
      </c>
      <c r="B956" t="inlineStr">
        <is>
          <t>4DS3A220E-TSK</t>
        </is>
      </c>
      <c r="D956" t="inlineStr">
        <is>
          <t>Reciprocating Semi-hermetic</t>
        </is>
      </c>
      <c r="E956" s="2" t="n">
        <v>3</v>
      </c>
      <c r="F956" s="2" t="n">
        <v>60</v>
      </c>
      <c r="G956" s="2" t="n">
        <v>460</v>
      </c>
      <c r="H956" t="inlineStr">
        <is>
          <t>460</t>
        </is>
      </c>
      <c r="I956" s="2" t="n">
        <v>460</v>
      </c>
      <c r="J956" s="2" t="n">
        <v>460</v>
      </c>
      <c r="L956" s="3" t="n"/>
      <c r="M956" s="3" t="n"/>
      <c r="N956" s="3" t="n">
        <v>33</v>
      </c>
      <c r="O956" s="3" t="n"/>
      <c r="P956" s="3">
        <f>IF(L956&lt;&gt;"",L956/1.4,"")</f>
        <v/>
      </c>
      <c r="Q956" s="3">
        <f>IF(L956&lt;&gt;"",L956/1.56,"")</f>
        <v/>
      </c>
      <c r="R956" s="3">
        <f>IF(M956&lt;&gt;"",M956/1.4,"")</f>
        <v/>
      </c>
      <c r="S956" s="3">
        <f>IF(M956&lt;&gt;"",M956/1.56,"")</f>
        <v/>
      </c>
      <c r="T956" s="3">
        <f>IF(N956&lt;&gt;"",N956,IF(O956&lt;&gt;"",O956,IF(L956&lt;&gt;"",L956/1.56,IF(M956&lt;&gt;"",M956/1.56,""))))</f>
        <v/>
      </c>
      <c r="U956" s="3" t="n">
        <v>187</v>
      </c>
      <c r="V956" s="3" t="n"/>
      <c r="W956" s="3" t="n"/>
      <c r="X956" s="4" t="n"/>
      <c r="Y956" s="5" t="n">
        <v>0.5600000000000001</v>
      </c>
      <c r="Z956" s="4">
        <f>IF(L956&lt;&gt;"",SQRT(3)*G956*L956/1000,"")</f>
        <v/>
      </c>
      <c r="AA956" t="inlineStr">
        <is>
          <t>Source=Copeland 2D/3D/4D/4R/6D/8D/9R compressors (pdf) p41</t>
        </is>
      </c>
      <c r="AB956" t="inlineStr">
        <is>
          <t>Copeland_RLA_230_460_3ph_60Hz.xlsx</t>
        </is>
      </c>
      <c r="AC956" t="inlineStr">
        <is>
          <t>Recip_2D-9R</t>
        </is>
      </c>
    </row>
    <row r="957">
      <c r="A957" t="inlineStr">
        <is>
          <t>COPELAND</t>
        </is>
      </c>
      <c r="B957" t="inlineStr">
        <is>
          <t>4DS3A220L-FSD</t>
        </is>
      </c>
      <c r="D957" t="inlineStr">
        <is>
          <t>Reciprocating Semi-hermetic</t>
        </is>
      </c>
      <c r="E957" s="2" t="n">
        <v>3</v>
      </c>
      <c r="F957" s="2" t="n">
        <v>60</v>
      </c>
      <c r="G957" s="2" t="n">
        <v>460</v>
      </c>
      <c r="H957" t="inlineStr">
        <is>
          <t>460</t>
        </is>
      </c>
      <c r="I957" s="2" t="n">
        <v>460</v>
      </c>
      <c r="J957" s="2" t="n">
        <v>460</v>
      </c>
      <c r="L957" s="3" t="n"/>
      <c r="M957" s="3" t="n"/>
      <c r="N957" s="3" t="n">
        <v>33.9</v>
      </c>
      <c r="O957" s="3" t="n"/>
      <c r="P957" s="3">
        <f>IF(L957&lt;&gt;"",L957/1.4,"")</f>
        <v/>
      </c>
      <c r="Q957" s="3">
        <f>IF(L957&lt;&gt;"",L957/1.56,"")</f>
        <v/>
      </c>
      <c r="R957" s="3">
        <f>IF(M957&lt;&gt;"",M957/1.4,"")</f>
        <v/>
      </c>
      <c r="S957" s="3">
        <f>IF(M957&lt;&gt;"",M957/1.56,"")</f>
        <v/>
      </c>
      <c r="T957" s="3">
        <f>IF(N957&lt;&gt;"",N957,IF(O957&lt;&gt;"",O957,IF(L957&lt;&gt;"",L957/1.56,IF(M957&lt;&gt;"",M957/1.56,""))))</f>
        <v/>
      </c>
      <c r="U957" s="3" t="n">
        <v>180</v>
      </c>
      <c r="V957" s="3" t="n">
        <v>108</v>
      </c>
      <c r="W957" s="3" t="n"/>
      <c r="X957" s="4" t="n"/>
      <c r="Y957" s="5" t="n">
        <v>0.5580000000000001</v>
      </c>
      <c r="Z957" s="4">
        <f>IF(L957&lt;&gt;"",SQRT(3)*G957*L957/1000,"")</f>
        <v/>
      </c>
      <c r="AA957" t="inlineStr">
        <is>
          <t>Source=Copeland 2D/3D/4D/4R/6D/8D/9R compressors (pdf) p41; PWS_RLA=17.0</t>
        </is>
      </c>
      <c r="AB957" t="inlineStr">
        <is>
          <t>Copeland_RLA_230_460_3ph_60Hz.xlsx</t>
        </is>
      </c>
      <c r="AC957" t="inlineStr">
        <is>
          <t>Recip_2D-9R</t>
        </is>
      </c>
    </row>
    <row r="958">
      <c r="A958" t="inlineStr">
        <is>
          <t>COPELAND</t>
        </is>
      </c>
      <c r="B958" t="inlineStr">
        <is>
          <t>4DS3A220L-TSK</t>
        </is>
      </c>
      <c r="D958" t="inlineStr">
        <is>
          <t>Reciprocating Semi-hermetic</t>
        </is>
      </c>
      <c r="E958" s="2" t="n">
        <v>3</v>
      </c>
      <c r="F958" s="2" t="n">
        <v>60</v>
      </c>
      <c r="G958" s="2" t="n">
        <v>230</v>
      </c>
      <c r="H958" t="inlineStr">
        <is>
          <t>208/230</t>
        </is>
      </c>
      <c r="I958" s="2" t="n">
        <v>208</v>
      </c>
      <c r="J958" s="2" t="n">
        <v>230</v>
      </c>
      <c r="L958" s="3" t="n"/>
      <c r="M958" s="3" t="n"/>
      <c r="N958" s="3" t="n">
        <v>66</v>
      </c>
      <c r="O958" s="3" t="n"/>
      <c r="P958" s="3">
        <f>IF(L958&lt;&gt;"",L958/1.4,"")</f>
        <v/>
      </c>
      <c r="Q958" s="3">
        <f>IF(L958&lt;&gt;"",L958/1.56,"")</f>
        <v/>
      </c>
      <c r="R958" s="3">
        <f>IF(M958&lt;&gt;"",M958/1.4,"")</f>
        <v/>
      </c>
      <c r="S958" s="3">
        <f>IF(M958&lt;&gt;"",M958/1.56,"")</f>
        <v/>
      </c>
      <c r="T958" s="3">
        <f>IF(N958&lt;&gt;"",N958,IF(O958&lt;&gt;"",O958,IF(L958&lt;&gt;"",L958/1.56,IF(M958&lt;&gt;"",M958/1.56,""))))</f>
        <v/>
      </c>
      <c r="U958" s="3" t="n">
        <v>374</v>
      </c>
      <c r="V958" s="3" t="n">
        <v>222</v>
      </c>
      <c r="W958" s="3" t="n"/>
      <c r="X958" s="4" t="n"/>
      <c r="Y958" s="5" t="n">
        <v>0.14</v>
      </c>
      <c r="Z958" s="4">
        <f>IF(L958&lt;&gt;"",SQRT(3)*G958*L958/1000,"")</f>
        <v/>
      </c>
      <c r="AA958" t="inlineStr">
        <is>
          <t>Source=Copeland 2D/3D/4D/4R/6D/8D/9R compressors (pdf) p41; PWS_RLA=33.0</t>
        </is>
      </c>
      <c r="AB958" t="inlineStr">
        <is>
          <t>Copeland_RLA_230_460_3ph_60Hz.xlsx</t>
        </is>
      </c>
      <c r="AC958" t="inlineStr">
        <is>
          <t>Recip_2D-9R</t>
        </is>
      </c>
    </row>
    <row r="959">
      <c r="A959" t="inlineStr">
        <is>
          <t>COPELAND</t>
        </is>
      </c>
      <c r="B959" t="inlineStr">
        <is>
          <t>4DS3A220L-TSK</t>
        </is>
      </c>
      <c r="D959" t="inlineStr">
        <is>
          <t>Reciprocating Semi-hermetic</t>
        </is>
      </c>
      <c r="E959" s="2" t="n">
        <v>3</v>
      </c>
      <c r="F959" s="2" t="n">
        <v>60</v>
      </c>
      <c r="G959" s="2" t="n">
        <v>460</v>
      </c>
      <c r="H959" t="inlineStr">
        <is>
          <t>460</t>
        </is>
      </c>
      <c r="I959" s="2" t="n">
        <v>460</v>
      </c>
      <c r="J959" s="2" t="n">
        <v>460</v>
      </c>
      <c r="L959" s="3" t="n"/>
      <c r="M959" s="3" t="n"/>
      <c r="N959" s="3" t="n">
        <v>33</v>
      </c>
      <c r="O959" s="3" t="n"/>
      <c r="P959" s="3">
        <f>IF(L959&lt;&gt;"",L959/1.4,"")</f>
        <v/>
      </c>
      <c r="Q959" s="3">
        <f>IF(L959&lt;&gt;"",L959/1.56,"")</f>
        <v/>
      </c>
      <c r="R959" s="3">
        <f>IF(M959&lt;&gt;"",M959/1.4,"")</f>
        <v/>
      </c>
      <c r="S959" s="3">
        <f>IF(M959&lt;&gt;"",M959/1.56,"")</f>
        <v/>
      </c>
      <c r="T959" s="3">
        <f>IF(N959&lt;&gt;"",N959,IF(O959&lt;&gt;"",O959,IF(L959&lt;&gt;"",L959/1.56,IF(M959&lt;&gt;"",M959/1.56,""))))</f>
        <v/>
      </c>
      <c r="U959" s="3" t="n">
        <v>187</v>
      </c>
      <c r="V959" s="3" t="n"/>
      <c r="W959" s="3" t="n"/>
      <c r="X959" s="4" t="n"/>
      <c r="Y959" s="5" t="n">
        <v>0.5600000000000001</v>
      </c>
      <c r="Z959" s="4">
        <f>IF(L959&lt;&gt;"",SQRT(3)*G959*L959/1000,"")</f>
        <v/>
      </c>
      <c r="AA959" t="inlineStr">
        <is>
          <t>Source=Copeland 2D/3D/4D/4R/6D/8D/9R compressors (pdf) p41</t>
        </is>
      </c>
      <c r="AB959" t="inlineStr">
        <is>
          <t>Copeland_RLA_230_460_3ph_60Hz.xlsx</t>
        </is>
      </c>
      <c r="AC959" t="inlineStr">
        <is>
          <t>Recip_2D-9R</t>
        </is>
      </c>
    </row>
    <row r="960">
      <c r="A960" t="inlineStr">
        <is>
          <t>COPELAND</t>
        </is>
      </c>
      <c r="B960" t="inlineStr">
        <is>
          <t>4DS3F76K0-FSD</t>
        </is>
      </c>
      <c r="D960" t="inlineStr">
        <is>
          <t>Reciprocating Semi-hermetic</t>
        </is>
      </c>
      <c r="E960" s="2" t="n">
        <v>3</v>
      </c>
      <c r="F960" s="2" t="n">
        <v>60</v>
      </c>
      <c r="G960" s="2" t="n">
        <v>460</v>
      </c>
      <c r="H960" t="inlineStr">
        <is>
          <t>460</t>
        </is>
      </c>
      <c r="I960" s="2" t="n">
        <v>460</v>
      </c>
      <c r="J960" s="2" t="n">
        <v>460</v>
      </c>
      <c r="L960" s="3" t="n"/>
      <c r="M960" s="3" t="n"/>
      <c r="N960" s="3" t="n">
        <v>33.9</v>
      </c>
      <c r="O960" s="3" t="n"/>
      <c r="P960" s="3">
        <f>IF(L960&lt;&gt;"",L960/1.4,"")</f>
        <v/>
      </c>
      <c r="Q960" s="3">
        <f>IF(L960&lt;&gt;"",L960/1.56,"")</f>
        <v/>
      </c>
      <c r="R960" s="3">
        <f>IF(M960&lt;&gt;"",M960/1.4,"")</f>
        <v/>
      </c>
      <c r="S960" s="3">
        <f>IF(M960&lt;&gt;"",M960/1.56,"")</f>
        <v/>
      </c>
      <c r="T960" s="3">
        <f>IF(N960&lt;&gt;"",N960,IF(O960&lt;&gt;"",O960,IF(L960&lt;&gt;"",L960/1.56,IF(M960&lt;&gt;"",M960/1.56,""))))</f>
        <v/>
      </c>
      <c r="U960" s="3" t="n">
        <v>180</v>
      </c>
      <c r="V960" s="3" t="n">
        <v>108</v>
      </c>
      <c r="W960" s="3" t="n"/>
      <c r="X960" s="4" t="n"/>
      <c r="Y960" s="5" t="n">
        <v>0.5580000000000001</v>
      </c>
      <c r="Z960" s="4">
        <f>IF(L960&lt;&gt;"",SQRT(3)*G960*L960/1000,"")</f>
        <v/>
      </c>
      <c r="AA960" t="inlineStr">
        <is>
          <t>Source=Copeland 2D/3D/4D/4R/6D/8D/9R compressors (pdf) p41; PWS_RLA=17.0</t>
        </is>
      </c>
      <c r="AB960" t="inlineStr">
        <is>
          <t>Copeland_RLA_230_460_3ph_60Hz.xlsx</t>
        </is>
      </c>
      <c r="AC960" t="inlineStr">
        <is>
          <t>Recip_2D-9R</t>
        </is>
      </c>
    </row>
    <row r="961">
      <c r="A961" t="inlineStr">
        <is>
          <t>COPELAND</t>
        </is>
      </c>
      <c r="B961" t="inlineStr">
        <is>
          <t>4DS3F76K0-TSK</t>
        </is>
      </c>
      <c r="D961" t="inlineStr">
        <is>
          <t>Reciprocating Semi-hermetic</t>
        </is>
      </c>
      <c r="E961" s="2" t="n">
        <v>3</v>
      </c>
      <c r="F961" s="2" t="n">
        <v>60</v>
      </c>
      <c r="G961" s="2" t="n">
        <v>230</v>
      </c>
      <c r="H961" t="inlineStr">
        <is>
          <t>208/230</t>
        </is>
      </c>
      <c r="I961" s="2" t="n">
        <v>208</v>
      </c>
      <c r="J961" s="2" t="n">
        <v>230</v>
      </c>
      <c r="L961" s="3" t="n"/>
      <c r="M961" s="3" t="n"/>
      <c r="N961" s="3" t="n">
        <v>66</v>
      </c>
      <c r="O961" s="3" t="n"/>
      <c r="P961" s="3">
        <f>IF(L961&lt;&gt;"",L961/1.4,"")</f>
        <v/>
      </c>
      <c r="Q961" s="3">
        <f>IF(L961&lt;&gt;"",L961/1.56,"")</f>
        <v/>
      </c>
      <c r="R961" s="3">
        <f>IF(M961&lt;&gt;"",M961/1.4,"")</f>
        <v/>
      </c>
      <c r="S961" s="3">
        <f>IF(M961&lt;&gt;"",M961/1.56,"")</f>
        <v/>
      </c>
      <c r="T961" s="3">
        <f>IF(N961&lt;&gt;"",N961,IF(O961&lt;&gt;"",O961,IF(L961&lt;&gt;"",L961/1.56,IF(M961&lt;&gt;"",M961/1.56,""))))</f>
        <v/>
      </c>
      <c r="U961" s="3" t="n">
        <v>374</v>
      </c>
      <c r="V961" s="3" t="n">
        <v>222</v>
      </c>
      <c r="W961" s="3" t="n"/>
      <c r="X961" s="4" t="n"/>
      <c r="Y961" s="5" t="n">
        <v>0.14</v>
      </c>
      <c r="Z961" s="4">
        <f>IF(L961&lt;&gt;"",SQRT(3)*G961*L961/1000,"")</f>
        <v/>
      </c>
      <c r="AA961" t="inlineStr">
        <is>
          <t>Source=Copeland 2D/3D/4D/4R/6D/8D/9R compressors (pdf) p41; PWS_RLA=33.0</t>
        </is>
      </c>
      <c r="AB961" t="inlineStr">
        <is>
          <t>Copeland_RLA_230_460_3ph_60Hz.xlsx</t>
        </is>
      </c>
      <c r="AC961" t="inlineStr">
        <is>
          <t>Recip_2D-9R</t>
        </is>
      </c>
    </row>
    <row r="962">
      <c r="A962" t="inlineStr">
        <is>
          <t>COPELAND</t>
        </is>
      </c>
      <c r="B962" t="inlineStr">
        <is>
          <t>4DS3F76K0-TSK</t>
        </is>
      </c>
      <c r="D962" t="inlineStr">
        <is>
          <t>Reciprocating Semi-hermetic</t>
        </is>
      </c>
      <c r="E962" s="2" t="n">
        <v>3</v>
      </c>
      <c r="F962" s="2" t="n">
        <v>60</v>
      </c>
      <c r="G962" s="2" t="n">
        <v>460</v>
      </c>
      <c r="H962" t="inlineStr">
        <is>
          <t>460</t>
        </is>
      </c>
      <c r="I962" s="2" t="n">
        <v>460</v>
      </c>
      <c r="J962" s="2" t="n">
        <v>460</v>
      </c>
      <c r="L962" s="3" t="n"/>
      <c r="M962" s="3" t="n"/>
      <c r="N962" s="3" t="n">
        <v>33</v>
      </c>
      <c r="O962" s="3" t="n"/>
      <c r="P962" s="3">
        <f>IF(L962&lt;&gt;"",L962/1.4,"")</f>
        <v/>
      </c>
      <c r="Q962" s="3">
        <f>IF(L962&lt;&gt;"",L962/1.56,"")</f>
        <v/>
      </c>
      <c r="R962" s="3">
        <f>IF(M962&lt;&gt;"",M962/1.4,"")</f>
        <v/>
      </c>
      <c r="S962" s="3">
        <f>IF(M962&lt;&gt;"",M962/1.56,"")</f>
        <v/>
      </c>
      <c r="T962" s="3">
        <f>IF(N962&lt;&gt;"",N962,IF(O962&lt;&gt;"",O962,IF(L962&lt;&gt;"",L962/1.56,IF(M962&lt;&gt;"",M962/1.56,""))))</f>
        <v/>
      </c>
      <c r="U962" s="3" t="n">
        <v>187</v>
      </c>
      <c r="V962" s="3" t="n"/>
      <c r="W962" s="3" t="n"/>
      <c r="X962" s="4" t="n"/>
      <c r="Y962" s="5" t="n">
        <v>0.5600000000000001</v>
      </c>
      <c r="Z962" s="4">
        <f>IF(L962&lt;&gt;"",SQRT(3)*G962*L962/1000,"")</f>
        <v/>
      </c>
      <c r="AA962" t="inlineStr">
        <is>
          <t>Source=Copeland 2D/3D/4D/4R/6D/8D/9R compressors (pdf) p41</t>
        </is>
      </c>
      <c r="AB962" t="inlineStr">
        <is>
          <t>Copeland_RLA_230_460_3ph_60Hz.xlsx</t>
        </is>
      </c>
      <c r="AC962" t="inlineStr">
        <is>
          <t>Recip_2D-9R</t>
        </is>
      </c>
    </row>
    <row r="963">
      <c r="A963" t="inlineStr">
        <is>
          <t>COPELAND</t>
        </is>
      </c>
      <c r="B963" t="inlineStr">
        <is>
          <t>4DS3F76KE-FSD</t>
        </is>
      </c>
      <c r="D963" t="inlineStr">
        <is>
          <t>Reciprocating Semi-hermetic</t>
        </is>
      </c>
      <c r="E963" s="2" t="n">
        <v>3</v>
      </c>
      <c r="F963" s="2" t="n">
        <v>60</v>
      </c>
      <c r="G963" s="2" t="n">
        <v>460</v>
      </c>
      <c r="H963" t="inlineStr">
        <is>
          <t>460</t>
        </is>
      </c>
      <c r="I963" s="2" t="n">
        <v>460</v>
      </c>
      <c r="J963" s="2" t="n">
        <v>460</v>
      </c>
      <c r="L963" s="3" t="n"/>
      <c r="M963" s="3" t="n"/>
      <c r="N963" s="3" t="n">
        <v>33.9</v>
      </c>
      <c r="O963" s="3" t="n"/>
      <c r="P963" s="3">
        <f>IF(L963&lt;&gt;"",L963/1.4,"")</f>
        <v/>
      </c>
      <c r="Q963" s="3">
        <f>IF(L963&lt;&gt;"",L963/1.56,"")</f>
        <v/>
      </c>
      <c r="R963" s="3">
        <f>IF(M963&lt;&gt;"",M963/1.4,"")</f>
        <v/>
      </c>
      <c r="S963" s="3">
        <f>IF(M963&lt;&gt;"",M963/1.56,"")</f>
        <v/>
      </c>
      <c r="T963" s="3">
        <f>IF(N963&lt;&gt;"",N963,IF(O963&lt;&gt;"",O963,IF(L963&lt;&gt;"",L963/1.56,IF(M963&lt;&gt;"",M963/1.56,""))))</f>
        <v/>
      </c>
      <c r="U963" s="3" t="n">
        <v>180</v>
      </c>
      <c r="V963" s="3" t="n">
        <v>108</v>
      </c>
      <c r="W963" s="3" t="n"/>
      <c r="X963" s="4" t="n"/>
      <c r="Y963" s="5" t="n">
        <v>0.5580000000000001</v>
      </c>
      <c r="Z963" s="4">
        <f>IF(L963&lt;&gt;"",SQRT(3)*G963*L963/1000,"")</f>
        <v/>
      </c>
      <c r="AA963" t="inlineStr">
        <is>
          <t>Source=Copeland 2D/3D/4D/4R/6D/8D/9R compressors (pdf) p41; PWS_RLA=17.0</t>
        </is>
      </c>
      <c r="AB963" t="inlineStr">
        <is>
          <t>Copeland_RLA_230_460_3ph_60Hz.xlsx</t>
        </is>
      </c>
      <c r="AC963" t="inlineStr">
        <is>
          <t>Recip_2D-9R</t>
        </is>
      </c>
    </row>
    <row r="964">
      <c r="A964" t="inlineStr">
        <is>
          <t>COPELAND</t>
        </is>
      </c>
      <c r="B964" t="inlineStr">
        <is>
          <t>4DS3F76KE-TSK</t>
        </is>
      </c>
      <c r="D964" t="inlineStr">
        <is>
          <t>Reciprocating Semi-hermetic</t>
        </is>
      </c>
      <c r="E964" s="2" t="n">
        <v>3</v>
      </c>
      <c r="F964" s="2" t="n">
        <v>60</v>
      </c>
      <c r="G964" s="2" t="n">
        <v>230</v>
      </c>
      <c r="H964" t="inlineStr">
        <is>
          <t>208/230</t>
        </is>
      </c>
      <c r="I964" s="2" t="n">
        <v>208</v>
      </c>
      <c r="J964" s="2" t="n">
        <v>230</v>
      </c>
      <c r="L964" s="3" t="n"/>
      <c r="M964" s="3" t="n"/>
      <c r="N964" s="3" t="n">
        <v>66</v>
      </c>
      <c r="O964" s="3" t="n"/>
      <c r="P964" s="3">
        <f>IF(L964&lt;&gt;"",L964/1.4,"")</f>
        <v/>
      </c>
      <c r="Q964" s="3">
        <f>IF(L964&lt;&gt;"",L964/1.56,"")</f>
        <v/>
      </c>
      <c r="R964" s="3">
        <f>IF(M964&lt;&gt;"",M964/1.4,"")</f>
        <v/>
      </c>
      <c r="S964" s="3">
        <f>IF(M964&lt;&gt;"",M964/1.56,"")</f>
        <v/>
      </c>
      <c r="T964" s="3">
        <f>IF(N964&lt;&gt;"",N964,IF(O964&lt;&gt;"",O964,IF(L964&lt;&gt;"",L964/1.56,IF(M964&lt;&gt;"",M964/1.56,""))))</f>
        <v/>
      </c>
      <c r="U964" s="3" t="n">
        <v>374</v>
      </c>
      <c r="V964" s="3" t="n">
        <v>222</v>
      </c>
      <c r="W964" s="3" t="n"/>
      <c r="X964" s="4" t="n"/>
      <c r="Y964" s="5" t="n">
        <v>0.14</v>
      </c>
      <c r="Z964" s="4">
        <f>IF(L964&lt;&gt;"",SQRT(3)*G964*L964/1000,"")</f>
        <v/>
      </c>
      <c r="AA964" t="inlineStr">
        <is>
          <t>Source=Copeland 2D/3D/4D/4R/6D/8D/9R compressors (pdf) p41; PWS_RLA=33.0</t>
        </is>
      </c>
      <c r="AB964" t="inlineStr">
        <is>
          <t>Copeland_RLA_230_460_3ph_60Hz.xlsx</t>
        </is>
      </c>
      <c r="AC964" t="inlineStr">
        <is>
          <t>Recip_2D-9R</t>
        </is>
      </c>
    </row>
    <row r="965">
      <c r="A965" t="inlineStr">
        <is>
          <t>COPELAND</t>
        </is>
      </c>
      <c r="B965" t="inlineStr">
        <is>
          <t>4DS3F76KE-TSK</t>
        </is>
      </c>
      <c r="D965" t="inlineStr">
        <is>
          <t>Reciprocating Semi-hermetic</t>
        </is>
      </c>
      <c r="E965" s="2" t="n">
        <v>3</v>
      </c>
      <c r="F965" s="2" t="n">
        <v>60</v>
      </c>
      <c r="G965" s="2" t="n">
        <v>460</v>
      </c>
      <c r="H965" t="inlineStr">
        <is>
          <t>460</t>
        </is>
      </c>
      <c r="I965" s="2" t="n">
        <v>460</v>
      </c>
      <c r="J965" s="2" t="n">
        <v>460</v>
      </c>
      <c r="L965" s="3" t="n"/>
      <c r="M965" s="3" t="n"/>
      <c r="N965" s="3" t="n">
        <v>33</v>
      </c>
      <c r="O965" s="3" t="n"/>
      <c r="P965" s="3">
        <f>IF(L965&lt;&gt;"",L965/1.4,"")</f>
        <v/>
      </c>
      <c r="Q965" s="3">
        <f>IF(L965&lt;&gt;"",L965/1.56,"")</f>
        <v/>
      </c>
      <c r="R965" s="3">
        <f>IF(M965&lt;&gt;"",M965/1.4,"")</f>
        <v/>
      </c>
      <c r="S965" s="3">
        <f>IF(M965&lt;&gt;"",M965/1.56,"")</f>
        <v/>
      </c>
      <c r="T965" s="3">
        <f>IF(N965&lt;&gt;"",N965,IF(O965&lt;&gt;"",O965,IF(L965&lt;&gt;"",L965/1.56,IF(M965&lt;&gt;"",M965/1.56,""))))</f>
        <v/>
      </c>
      <c r="U965" s="3" t="n">
        <v>187</v>
      </c>
      <c r="V965" s="3" t="n"/>
      <c r="W965" s="3" t="n"/>
      <c r="X965" s="4" t="n"/>
      <c r="Y965" s="5" t="n">
        <v>0.5600000000000001</v>
      </c>
      <c r="Z965" s="4">
        <f>IF(L965&lt;&gt;"",SQRT(3)*G965*L965/1000,"")</f>
        <v/>
      </c>
      <c r="AA965" t="inlineStr">
        <is>
          <t>Source=Copeland 2D/3D/4D/4R/6D/8D/9R compressors (pdf) p41</t>
        </is>
      </c>
      <c r="AB965" t="inlineStr">
        <is>
          <t>Copeland_RLA_230_460_3ph_60Hz.xlsx</t>
        </is>
      </c>
      <c r="AC965" t="inlineStr">
        <is>
          <t>Recip_2D-9R</t>
        </is>
      </c>
    </row>
    <row r="966">
      <c r="A966" t="inlineStr">
        <is>
          <t>COPELAND</t>
        </is>
      </c>
      <c r="B966" t="inlineStr">
        <is>
          <t>4DS3F76KL-FSD</t>
        </is>
      </c>
      <c r="D966" t="inlineStr">
        <is>
          <t>Reciprocating Semi-hermetic</t>
        </is>
      </c>
      <c r="E966" s="2" t="n">
        <v>3</v>
      </c>
      <c r="F966" s="2" t="n">
        <v>60</v>
      </c>
      <c r="G966" s="2" t="n">
        <v>460</v>
      </c>
      <c r="H966" t="inlineStr">
        <is>
          <t>460</t>
        </is>
      </c>
      <c r="I966" s="2" t="n">
        <v>460</v>
      </c>
      <c r="J966" s="2" t="n">
        <v>460</v>
      </c>
      <c r="L966" s="3" t="n"/>
      <c r="M966" s="3" t="n"/>
      <c r="N966" s="3" t="n">
        <v>33.9</v>
      </c>
      <c r="O966" s="3" t="n"/>
      <c r="P966" s="3">
        <f>IF(L966&lt;&gt;"",L966/1.4,"")</f>
        <v/>
      </c>
      <c r="Q966" s="3">
        <f>IF(L966&lt;&gt;"",L966/1.56,"")</f>
        <v/>
      </c>
      <c r="R966" s="3">
        <f>IF(M966&lt;&gt;"",M966/1.4,"")</f>
        <v/>
      </c>
      <c r="S966" s="3">
        <f>IF(M966&lt;&gt;"",M966/1.56,"")</f>
        <v/>
      </c>
      <c r="T966" s="3">
        <f>IF(N966&lt;&gt;"",N966,IF(O966&lt;&gt;"",O966,IF(L966&lt;&gt;"",L966/1.56,IF(M966&lt;&gt;"",M966/1.56,""))))</f>
        <v/>
      </c>
      <c r="U966" s="3" t="n">
        <v>180</v>
      </c>
      <c r="V966" s="3" t="n">
        <v>108</v>
      </c>
      <c r="W966" s="3" t="n"/>
      <c r="X966" s="4" t="n"/>
      <c r="Y966" s="5" t="n">
        <v>0.5580000000000001</v>
      </c>
      <c r="Z966" s="4">
        <f>IF(L966&lt;&gt;"",SQRT(3)*G966*L966/1000,"")</f>
        <v/>
      </c>
      <c r="AA966" t="inlineStr">
        <is>
          <t>Source=Copeland 2D/3D/4D/4R/6D/8D/9R compressors (pdf) p41; PWS_RLA=17.0</t>
        </is>
      </c>
      <c r="AB966" t="inlineStr">
        <is>
          <t>Copeland_RLA_230_460_3ph_60Hz.xlsx</t>
        </is>
      </c>
      <c r="AC966" t="inlineStr">
        <is>
          <t>Recip_2D-9R</t>
        </is>
      </c>
    </row>
    <row r="967">
      <c r="A967" t="inlineStr">
        <is>
          <t>COPELAND</t>
        </is>
      </c>
      <c r="B967" t="inlineStr">
        <is>
          <t>4DS3F76KL-TSK</t>
        </is>
      </c>
      <c r="D967" t="inlineStr">
        <is>
          <t>Reciprocating Semi-hermetic</t>
        </is>
      </c>
      <c r="E967" s="2" t="n">
        <v>3</v>
      </c>
      <c r="F967" s="2" t="n">
        <v>60</v>
      </c>
      <c r="G967" s="2" t="n">
        <v>230</v>
      </c>
      <c r="H967" t="inlineStr">
        <is>
          <t>208/230</t>
        </is>
      </c>
      <c r="I967" s="2" t="n">
        <v>208</v>
      </c>
      <c r="J967" s="2" t="n">
        <v>230</v>
      </c>
      <c r="L967" s="3" t="n"/>
      <c r="M967" s="3" t="n"/>
      <c r="N967" s="3" t="n">
        <v>66</v>
      </c>
      <c r="O967" s="3" t="n"/>
      <c r="P967" s="3">
        <f>IF(L967&lt;&gt;"",L967/1.4,"")</f>
        <v/>
      </c>
      <c r="Q967" s="3">
        <f>IF(L967&lt;&gt;"",L967/1.56,"")</f>
        <v/>
      </c>
      <c r="R967" s="3">
        <f>IF(M967&lt;&gt;"",M967/1.4,"")</f>
        <v/>
      </c>
      <c r="S967" s="3">
        <f>IF(M967&lt;&gt;"",M967/1.56,"")</f>
        <v/>
      </c>
      <c r="T967" s="3">
        <f>IF(N967&lt;&gt;"",N967,IF(O967&lt;&gt;"",O967,IF(L967&lt;&gt;"",L967/1.56,IF(M967&lt;&gt;"",M967/1.56,""))))</f>
        <v/>
      </c>
      <c r="U967" s="3" t="n">
        <v>374</v>
      </c>
      <c r="V967" s="3" t="n">
        <v>222</v>
      </c>
      <c r="W967" s="3" t="n"/>
      <c r="X967" s="4" t="n"/>
      <c r="Y967" s="5" t="n">
        <v>0.14</v>
      </c>
      <c r="Z967" s="4">
        <f>IF(L967&lt;&gt;"",SQRT(3)*G967*L967/1000,"")</f>
        <v/>
      </c>
      <c r="AA967" t="inlineStr">
        <is>
          <t>Source=Copeland 2D/3D/4D/4R/6D/8D/9R compressors (pdf) p41; PWS_RLA=33.0</t>
        </is>
      </c>
      <c r="AB967" t="inlineStr">
        <is>
          <t>Copeland_RLA_230_460_3ph_60Hz.xlsx</t>
        </is>
      </c>
      <c r="AC967" t="inlineStr">
        <is>
          <t>Recip_2D-9R</t>
        </is>
      </c>
    </row>
    <row r="968">
      <c r="A968" t="inlineStr">
        <is>
          <t>COPELAND</t>
        </is>
      </c>
      <c r="B968" t="inlineStr">
        <is>
          <t>4DS3F76KL-TSK</t>
        </is>
      </c>
      <c r="D968" t="inlineStr">
        <is>
          <t>Reciprocating Semi-hermetic</t>
        </is>
      </c>
      <c r="E968" s="2" t="n">
        <v>3</v>
      </c>
      <c r="F968" s="2" t="n">
        <v>60</v>
      </c>
      <c r="G968" s="2" t="n">
        <v>460</v>
      </c>
      <c r="H968" t="inlineStr">
        <is>
          <t>460</t>
        </is>
      </c>
      <c r="I968" s="2" t="n">
        <v>460</v>
      </c>
      <c r="J968" s="2" t="n">
        <v>460</v>
      </c>
      <c r="L968" s="3" t="n"/>
      <c r="M968" s="3" t="n"/>
      <c r="N968" s="3" t="n">
        <v>33</v>
      </c>
      <c r="O968" s="3" t="n"/>
      <c r="P968" s="3">
        <f>IF(L968&lt;&gt;"",L968/1.4,"")</f>
        <v/>
      </c>
      <c r="Q968" s="3">
        <f>IF(L968&lt;&gt;"",L968/1.56,"")</f>
        <v/>
      </c>
      <c r="R968" s="3">
        <f>IF(M968&lt;&gt;"",M968/1.4,"")</f>
        <v/>
      </c>
      <c r="S968" s="3">
        <f>IF(M968&lt;&gt;"",M968/1.56,"")</f>
        <v/>
      </c>
      <c r="T968" s="3">
        <f>IF(N968&lt;&gt;"",N968,IF(O968&lt;&gt;"",O968,IF(L968&lt;&gt;"",L968/1.56,IF(M968&lt;&gt;"",M968/1.56,""))))</f>
        <v/>
      </c>
      <c r="U968" s="3" t="n">
        <v>187</v>
      </c>
      <c r="V968" s="3" t="n"/>
      <c r="W968" s="3" t="n"/>
      <c r="X968" s="4" t="n"/>
      <c r="Y968" s="5" t="n">
        <v>0.5600000000000001</v>
      </c>
      <c r="Z968" s="4">
        <f>IF(L968&lt;&gt;"",SQRT(3)*G968*L968/1000,"")</f>
        <v/>
      </c>
      <c r="AA968" t="inlineStr">
        <is>
          <t>Source=Copeland 2D/3D/4D/4R/6D/8D/9R compressors (pdf) p41</t>
        </is>
      </c>
      <c r="AB968" t="inlineStr">
        <is>
          <t>Copeland_RLA_230_460_3ph_60Hz.xlsx</t>
        </is>
      </c>
      <c r="AC968" t="inlineStr">
        <is>
          <t>Recip_2D-9R</t>
        </is>
      </c>
    </row>
    <row r="969">
      <c r="A969" t="inlineStr">
        <is>
          <t>COPELAND</t>
        </is>
      </c>
      <c r="B969" t="inlineStr">
        <is>
          <t>4DSG-2200-FSD</t>
        </is>
      </c>
      <c r="D969" t="inlineStr">
        <is>
          <t>Reciprocating Semi-hermetic</t>
        </is>
      </c>
      <c r="E969" s="2" t="n">
        <v>3</v>
      </c>
      <c r="F969" s="2" t="n">
        <v>60</v>
      </c>
      <c r="G969" s="2" t="n">
        <v>460</v>
      </c>
      <c r="H969" t="inlineStr">
        <is>
          <t>460</t>
        </is>
      </c>
      <c r="I969" s="2" t="n">
        <v>460</v>
      </c>
      <c r="J969" s="2" t="n">
        <v>460</v>
      </c>
      <c r="L969" s="3" t="n"/>
      <c r="M969" s="3" t="n"/>
      <c r="N969" s="3" t="n">
        <v>33.9</v>
      </c>
      <c r="O969" s="3" t="n"/>
      <c r="P969" s="3">
        <f>IF(L969&lt;&gt;"",L969/1.4,"")</f>
        <v/>
      </c>
      <c r="Q969" s="3">
        <f>IF(L969&lt;&gt;"",L969/1.56,"")</f>
        <v/>
      </c>
      <c r="R969" s="3">
        <f>IF(M969&lt;&gt;"",M969/1.4,"")</f>
        <v/>
      </c>
      <c r="S969" s="3">
        <f>IF(M969&lt;&gt;"",M969/1.56,"")</f>
        <v/>
      </c>
      <c r="T969" s="3">
        <f>IF(N969&lt;&gt;"",N969,IF(O969&lt;&gt;"",O969,IF(L969&lt;&gt;"",L969/1.56,IF(M969&lt;&gt;"",M969/1.56,""))))</f>
        <v/>
      </c>
      <c r="U969" s="3" t="n">
        <v>180</v>
      </c>
      <c r="V969" s="3" t="n">
        <v>108</v>
      </c>
      <c r="W969" s="3" t="n"/>
      <c r="X969" s="4" t="n"/>
      <c r="Y969" s="5" t="n">
        <v>0.5580000000000001</v>
      </c>
      <c r="Z969" s="4">
        <f>IF(L969&lt;&gt;"",SQRT(3)*G969*L969/1000,"")</f>
        <v/>
      </c>
      <c r="AA969" t="inlineStr">
        <is>
          <t>Source=Copeland 2D/3D/4D/4R/6D/8D/9R compressors (pdf) p41; PWS_RLA=17.0</t>
        </is>
      </c>
      <c r="AB969" t="inlineStr">
        <is>
          <t>Copeland_RLA_230_460_3ph_60Hz.xlsx</t>
        </is>
      </c>
      <c r="AC969" t="inlineStr">
        <is>
          <t>Recip_2D-9R</t>
        </is>
      </c>
    </row>
    <row r="970">
      <c r="A970" t="inlineStr">
        <is>
          <t>COPELAND</t>
        </is>
      </c>
      <c r="B970" t="inlineStr">
        <is>
          <t>4DSG-220E-FSD</t>
        </is>
      </c>
      <c r="D970" t="inlineStr">
        <is>
          <t>Reciprocating Semi-hermetic</t>
        </is>
      </c>
      <c r="E970" s="2" t="n">
        <v>3</v>
      </c>
      <c r="F970" s="2" t="n">
        <v>60</v>
      </c>
      <c r="G970" s="2" t="n">
        <v>460</v>
      </c>
      <c r="H970" t="inlineStr">
        <is>
          <t>460</t>
        </is>
      </c>
      <c r="I970" s="2" t="n">
        <v>460</v>
      </c>
      <c r="J970" s="2" t="n">
        <v>460</v>
      </c>
      <c r="L970" s="3" t="n"/>
      <c r="M970" s="3" t="n"/>
      <c r="N970" s="3" t="n">
        <v>33.9</v>
      </c>
      <c r="O970" s="3" t="n"/>
      <c r="P970" s="3">
        <f>IF(L970&lt;&gt;"",L970/1.4,"")</f>
        <v/>
      </c>
      <c r="Q970" s="3">
        <f>IF(L970&lt;&gt;"",L970/1.56,"")</f>
        <v/>
      </c>
      <c r="R970" s="3">
        <f>IF(M970&lt;&gt;"",M970/1.4,"")</f>
        <v/>
      </c>
      <c r="S970" s="3">
        <f>IF(M970&lt;&gt;"",M970/1.56,"")</f>
        <v/>
      </c>
      <c r="T970" s="3">
        <f>IF(N970&lt;&gt;"",N970,IF(O970&lt;&gt;"",O970,IF(L970&lt;&gt;"",L970/1.56,IF(M970&lt;&gt;"",M970/1.56,""))))</f>
        <v/>
      </c>
      <c r="U970" s="3" t="n">
        <v>180</v>
      </c>
      <c r="V970" s="3" t="n">
        <v>108</v>
      </c>
      <c r="W970" s="3" t="n"/>
      <c r="X970" s="4" t="n"/>
      <c r="Y970" s="5" t="n">
        <v>0.5580000000000001</v>
      </c>
      <c r="Z970" s="4">
        <f>IF(L970&lt;&gt;"",SQRT(3)*G970*L970/1000,"")</f>
        <v/>
      </c>
      <c r="AA970" t="inlineStr">
        <is>
          <t>Source=Copeland 2D/3D/4D/4R/6D/8D/9R compressors (pdf) p41; PWS_RLA=17.0</t>
        </is>
      </c>
      <c r="AB970" t="inlineStr">
        <is>
          <t>Copeland_RLA_230_460_3ph_60Hz.xlsx</t>
        </is>
      </c>
      <c r="AC970" t="inlineStr">
        <is>
          <t>Recip_2D-9R</t>
        </is>
      </c>
    </row>
    <row r="971">
      <c r="A971" t="inlineStr">
        <is>
          <t>COPELAND</t>
        </is>
      </c>
      <c r="B971" t="inlineStr">
        <is>
          <t>4DT1A2200-FSD</t>
        </is>
      </c>
      <c r="D971" t="inlineStr">
        <is>
          <t>Reciprocating Semi-hermetic</t>
        </is>
      </c>
      <c r="E971" s="2" t="n">
        <v>3</v>
      </c>
      <c r="F971" s="2" t="n">
        <v>60</v>
      </c>
      <c r="G971" s="2" t="n">
        <v>460</v>
      </c>
      <c r="H971" t="inlineStr">
        <is>
          <t>460</t>
        </is>
      </c>
      <c r="I971" s="2" t="n">
        <v>460</v>
      </c>
      <c r="J971" s="2" t="n">
        <v>460</v>
      </c>
      <c r="L971" s="3" t="n"/>
      <c r="M971" s="3" t="n"/>
      <c r="N971" s="3" t="n">
        <v>32.9</v>
      </c>
      <c r="O971" s="3" t="n"/>
      <c r="P971" s="3">
        <f>IF(L971&lt;&gt;"",L971/1.4,"")</f>
        <v/>
      </c>
      <c r="Q971" s="3">
        <f>IF(L971&lt;&gt;"",L971/1.56,"")</f>
        <v/>
      </c>
      <c r="R971" s="3">
        <f>IF(M971&lt;&gt;"",M971/1.4,"")</f>
        <v/>
      </c>
      <c r="S971" s="3">
        <f>IF(M971&lt;&gt;"",M971/1.56,"")</f>
        <v/>
      </c>
      <c r="T971" s="3">
        <f>IF(N971&lt;&gt;"",N971,IF(O971&lt;&gt;"",O971,IF(L971&lt;&gt;"",L971/1.56,IF(M971&lt;&gt;"",M971/1.56,""))))</f>
        <v/>
      </c>
      <c r="U971" s="3" t="n">
        <v>180</v>
      </c>
      <c r="V971" s="3" t="n">
        <v>108</v>
      </c>
      <c r="W971" s="3" t="n"/>
      <c r="X971" s="4" t="n"/>
      <c r="Y971" s="5" t="n">
        <v>0.5580000000000001</v>
      </c>
      <c r="Z971" s="4">
        <f>IF(L971&lt;&gt;"",SQRT(3)*G971*L971/1000,"")</f>
        <v/>
      </c>
      <c r="AA971" t="inlineStr">
        <is>
          <t>Source=Copeland 2D/3D/4D/4R/6D/8D/9R compressors (pdf) p41; PWS_RLA=16.5</t>
        </is>
      </c>
      <c r="AB971" t="inlineStr">
        <is>
          <t>Copeland_RLA_230_460_3ph_60Hz.xlsx</t>
        </is>
      </c>
      <c r="AC971" t="inlineStr">
        <is>
          <t>Recip_2D-9R</t>
        </is>
      </c>
    </row>
    <row r="972">
      <c r="A972" t="inlineStr">
        <is>
          <t>COPELAND</t>
        </is>
      </c>
      <c r="B972" t="inlineStr">
        <is>
          <t>4DT1A2200-TSK</t>
        </is>
      </c>
      <c r="D972" t="inlineStr">
        <is>
          <t>Reciprocating Semi-hermetic</t>
        </is>
      </c>
      <c r="E972" s="2" t="n">
        <v>3</v>
      </c>
      <c r="F972" s="2" t="n">
        <v>60</v>
      </c>
      <c r="G972" s="2" t="n">
        <v>230</v>
      </c>
      <c r="H972" t="inlineStr">
        <is>
          <t>208/230</t>
        </is>
      </c>
      <c r="I972" s="2" t="n">
        <v>208</v>
      </c>
      <c r="J972" s="2" t="n">
        <v>230</v>
      </c>
      <c r="L972" s="3" t="n"/>
      <c r="M972" s="3" t="n"/>
      <c r="N972" s="3" t="n">
        <v>71.40000000000001</v>
      </c>
      <c r="O972" s="3" t="n"/>
      <c r="P972" s="3">
        <f>IF(L972&lt;&gt;"",L972/1.4,"")</f>
        <v/>
      </c>
      <c r="Q972" s="3">
        <f>IF(L972&lt;&gt;"",L972/1.56,"")</f>
        <v/>
      </c>
      <c r="R972" s="3">
        <f>IF(M972&lt;&gt;"",M972/1.4,"")</f>
        <v/>
      </c>
      <c r="S972" s="3">
        <f>IF(M972&lt;&gt;"",M972/1.56,"")</f>
        <v/>
      </c>
      <c r="T972" s="3">
        <f>IF(N972&lt;&gt;"",N972,IF(O972&lt;&gt;"",O972,IF(L972&lt;&gt;"",L972/1.56,IF(M972&lt;&gt;"",M972/1.56,""))))</f>
        <v/>
      </c>
      <c r="U972" s="3" t="n">
        <v>374</v>
      </c>
      <c r="V972" s="3" t="n">
        <v>222</v>
      </c>
      <c r="W972" s="3" t="n"/>
      <c r="X972" s="4" t="n"/>
      <c r="Y972" s="5" t="n">
        <v>0.14</v>
      </c>
      <c r="Z972" s="4">
        <f>IF(L972&lt;&gt;"",SQRT(3)*G972*L972/1000,"")</f>
        <v/>
      </c>
      <c r="AA972" t="inlineStr">
        <is>
          <t>Source=Copeland 2D/3D/4D/4R/6D/8D/9R compressors (pdf) p41; PWS_RLA=35.7</t>
        </is>
      </c>
      <c r="AB972" t="inlineStr">
        <is>
          <t>Copeland_RLA_230_460_3ph_60Hz.xlsx</t>
        </is>
      </c>
      <c r="AC972" t="inlineStr">
        <is>
          <t>Recip_2D-9R</t>
        </is>
      </c>
    </row>
    <row r="973">
      <c r="A973" t="inlineStr">
        <is>
          <t>COPELAND</t>
        </is>
      </c>
      <c r="B973" t="inlineStr">
        <is>
          <t>4DT1A2200-TSK</t>
        </is>
      </c>
      <c r="D973" t="inlineStr">
        <is>
          <t>Reciprocating Semi-hermetic</t>
        </is>
      </c>
      <c r="E973" s="2" t="n">
        <v>3</v>
      </c>
      <c r="F973" s="2" t="n">
        <v>60</v>
      </c>
      <c r="G973" s="2" t="n">
        <v>460</v>
      </c>
      <c r="H973" t="inlineStr">
        <is>
          <t>460</t>
        </is>
      </c>
      <c r="I973" s="2" t="n">
        <v>460</v>
      </c>
      <c r="J973" s="2" t="n">
        <v>460</v>
      </c>
      <c r="L973" s="3" t="n"/>
      <c r="M973" s="3" t="n"/>
      <c r="N973" s="3" t="n">
        <v>35.7</v>
      </c>
      <c r="O973" s="3" t="n"/>
      <c r="P973" s="3">
        <f>IF(L973&lt;&gt;"",L973/1.4,"")</f>
        <v/>
      </c>
      <c r="Q973" s="3">
        <f>IF(L973&lt;&gt;"",L973/1.56,"")</f>
        <v/>
      </c>
      <c r="R973" s="3">
        <f>IF(M973&lt;&gt;"",M973/1.4,"")</f>
        <v/>
      </c>
      <c r="S973" s="3">
        <f>IF(M973&lt;&gt;"",M973/1.56,"")</f>
        <v/>
      </c>
      <c r="T973" s="3">
        <f>IF(N973&lt;&gt;"",N973,IF(O973&lt;&gt;"",O973,IF(L973&lt;&gt;"",L973/1.56,IF(M973&lt;&gt;"",M973/1.56,""))))</f>
        <v/>
      </c>
      <c r="U973" s="3" t="n">
        <v>187</v>
      </c>
      <c r="V973" s="3" t="n"/>
      <c r="W973" s="3" t="n"/>
      <c r="X973" s="4" t="n"/>
      <c r="Y973" s="5" t="n">
        <v>0.5600000000000001</v>
      </c>
      <c r="Z973" s="4">
        <f>IF(L973&lt;&gt;"",SQRT(3)*G973*L973/1000,"")</f>
        <v/>
      </c>
      <c r="AA973" t="inlineStr">
        <is>
          <t>Source=Copeland 2D/3D/4D/4R/6D/8D/9R compressors (pdf) p41</t>
        </is>
      </c>
      <c r="AB973" t="inlineStr">
        <is>
          <t>Copeland_RLA_230_460_3ph_60Hz.xlsx</t>
        </is>
      </c>
      <c r="AC973" t="inlineStr">
        <is>
          <t>Recip_2D-9R</t>
        </is>
      </c>
    </row>
    <row r="974">
      <c r="A974" t="inlineStr">
        <is>
          <t>COPELAND</t>
        </is>
      </c>
      <c r="B974" t="inlineStr">
        <is>
          <t>4DT1F76K0-TSK</t>
        </is>
      </c>
      <c r="D974" t="inlineStr">
        <is>
          <t>Reciprocating Semi-hermetic</t>
        </is>
      </c>
      <c r="E974" s="2" t="n">
        <v>3</v>
      </c>
      <c r="F974" s="2" t="n">
        <v>60</v>
      </c>
      <c r="G974" s="2" t="n">
        <v>230</v>
      </c>
      <c r="H974" t="inlineStr">
        <is>
          <t>208/230</t>
        </is>
      </c>
      <c r="I974" s="2" t="n">
        <v>208</v>
      </c>
      <c r="J974" s="2" t="n">
        <v>230</v>
      </c>
      <c r="L974" s="3" t="n"/>
      <c r="M974" s="3" t="n"/>
      <c r="N974" s="3" t="n">
        <v>71.40000000000001</v>
      </c>
      <c r="O974" s="3" t="n"/>
      <c r="P974" s="3">
        <f>IF(L974&lt;&gt;"",L974/1.4,"")</f>
        <v/>
      </c>
      <c r="Q974" s="3">
        <f>IF(L974&lt;&gt;"",L974/1.56,"")</f>
        <v/>
      </c>
      <c r="R974" s="3">
        <f>IF(M974&lt;&gt;"",M974/1.4,"")</f>
        <v/>
      </c>
      <c r="S974" s="3">
        <f>IF(M974&lt;&gt;"",M974/1.56,"")</f>
        <v/>
      </c>
      <c r="T974" s="3">
        <f>IF(N974&lt;&gt;"",N974,IF(O974&lt;&gt;"",O974,IF(L974&lt;&gt;"",L974/1.56,IF(M974&lt;&gt;"",M974/1.56,""))))</f>
        <v/>
      </c>
      <c r="U974" s="3" t="n">
        <v>374</v>
      </c>
      <c r="V974" s="3" t="n">
        <v>222</v>
      </c>
      <c r="W974" s="3" t="n"/>
      <c r="X974" s="4" t="n"/>
      <c r="Y974" s="5" t="n">
        <v>0.14</v>
      </c>
      <c r="Z974" s="4">
        <f>IF(L974&lt;&gt;"",SQRT(3)*G974*L974/1000,"")</f>
        <v/>
      </c>
      <c r="AA974" t="inlineStr">
        <is>
          <t>Source=Copeland 2D/3D/4D/4R/6D/8D/9R compressors (pdf) p42; PWS_RLA=35.7</t>
        </is>
      </c>
      <c r="AB974" t="inlineStr">
        <is>
          <t>Copeland_RLA_230_460_3ph_60Hz.xlsx</t>
        </is>
      </c>
      <c r="AC974" t="inlineStr">
        <is>
          <t>Recip_2D-9R</t>
        </is>
      </c>
    </row>
    <row r="975">
      <c r="A975" t="inlineStr">
        <is>
          <t>COPELAND</t>
        </is>
      </c>
      <c r="B975" t="inlineStr">
        <is>
          <t>4DT1F76K0-TSK</t>
        </is>
      </c>
      <c r="D975" t="inlineStr">
        <is>
          <t>Reciprocating Semi-hermetic</t>
        </is>
      </c>
      <c r="E975" s="2" t="n">
        <v>3</v>
      </c>
      <c r="F975" s="2" t="n">
        <v>60</v>
      </c>
      <c r="G975" s="2" t="n">
        <v>460</v>
      </c>
      <c r="H975" t="inlineStr">
        <is>
          <t>460</t>
        </is>
      </c>
      <c r="I975" s="2" t="n">
        <v>460</v>
      </c>
      <c r="J975" s="2" t="n">
        <v>460</v>
      </c>
      <c r="L975" s="3" t="n"/>
      <c r="M975" s="3" t="n"/>
      <c r="N975" s="3" t="n">
        <v>35.7</v>
      </c>
      <c r="O975" s="3" t="n"/>
      <c r="P975" s="3">
        <f>IF(L975&lt;&gt;"",L975/1.4,"")</f>
        <v/>
      </c>
      <c r="Q975" s="3">
        <f>IF(L975&lt;&gt;"",L975/1.56,"")</f>
        <v/>
      </c>
      <c r="R975" s="3">
        <f>IF(M975&lt;&gt;"",M975/1.4,"")</f>
        <v/>
      </c>
      <c r="S975" s="3">
        <f>IF(M975&lt;&gt;"",M975/1.56,"")</f>
        <v/>
      </c>
      <c r="T975" s="3">
        <f>IF(N975&lt;&gt;"",N975,IF(O975&lt;&gt;"",O975,IF(L975&lt;&gt;"",L975/1.56,IF(M975&lt;&gt;"",M975/1.56,""))))</f>
        <v/>
      </c>
      <c r="U975" s="3" t="n">
        <v>187</v>
      </c>
      <c r="V975" s="3" t="n"/>
      <c r="W975" s="3" t="n"/>
      <c r="X975" s="4" t="n"/>
      <c r="Y975" s="5" t="n">
        <v>0.5600000000000001</v>
      </c>
      <c r="Z975" s="4">
        <f>IF(L975&lt;&gt;"",SQRT(3)*G975*L975/1000,"")</f>
        <v/>
      </c>
      <c r="AA975" t="inlineStr">
        <is>
          <t>Source=Copeland 2D/3D/4D/4R/6D/8D/9R compressors (pdf) p42</t>
        </is>
      </c>
      <c r="AB975" t="inlineStr">
        <is>
          <t>Copeland_RLA_230_460_3ph_60Hz.xlsx</t>
        </is>
      </c>
      <c r="AC975" t="inlineStr">
        <is>
          <t>Recip_2D-9R</t>
        </is>
      </c>
    </row>
    <row r="976">
      <c r="A976" t="inlineStr">
        <is>
          <t>COPELAND</t>
        </is>
      </c>
      <c r="B976" t="inlineStr">
        <is>
          <t>4DT3-2200-FSD</t>
        </is>
      </c>
      <c r="D976" t="inlineStr">
        <is>
          <t>Reciprocating Semi-hermetic</t>
        </is>
      </c>
      <c r="E976" s="2" t="n">
        <v>3</v>
      </c>
      <c r="F976" s="2" t="n">
        <v>60</v>
      </c>
      <c r="G976" s="2" t="n">
        <v>460</v>
      </c>
      <c r="H976" t="inlineStr">
        <is>
          <t>460</t>
        </is>
      </c>
      <c r="I976" s="2" t="n">
        <v>460</v>
      </c>
      <c r="J976" s="2" t="n">
        <v>460</v>
      </c>
      <c r="L976" s="3" t="n"/>
      <c r="M976" s="3" t="n"/>
      <c r="N976" s="3" t="n">
        <v>33.9</v>
      </c>
      <c r="O976" s="3" t="n"/>
      <c r="P976" s="3">
        <f>IF(L976&lt;&gt;"",L976/1.4,"")</f>
        <v/>
      </c>
      <c r="Q976" s="3">
        <f>IF(L976&lt;&gt;"",L976/1.56,"")</f>
        <v/>
      </c>
      <c r="R976" s="3">
        <f>IF(M976&lt;&gt;"",M976/1.4,"")</f>
        <v/>
      </c>
      <c r="S976" s="3">
        <f>IF(M976&lt;&gt;"",M976/1.56,"")</f>
        <v/>
      </c>
      <c r="T976" s="3">
        <f>IF(N976&lt;&gt;"",N976,IF(O976&lt;&gt;"",O976,IF(L976&lt;&gt;"",L976/1.56,IF(M976&lt;&gt;"",M976/1.56,""))))</f>
        <v/>
      </c>
      <c r="U976" s="3" t="n">
        <v>180</v>
      </c>
      <c r="V976" s="3" t="n">
        <v>108</v>
      </c>
      <c r="W976" s="3" t="n"/>
      <c r="X976" s="4" t="n"/>
      <c r="Y976" s="5" t="n">
        <v>0.5580000000000001</v>
      </c>
      <c r="Z976" s="4">
        <f>IF(L976&lt;&gt;"",SQRT(3)*G976*L976/1000,"")</f>
        <v/>
      </c>
      <c r="AA976" t="inlineStr">
        <is>
          <t>Source=Copeland 2D/3D/4D/4R/6D/8D/9R compressors (pdf) p42; PWS_RLA=17.0</t>
        </is>
      </c>
      <c r="AB976" t="inlineStr">
        <is>
          <t>Copeland_RLA_230_460_3ph_60Hz.xlsx</t>
        </is>
      </c>
      <c r="AC976" t="inlineStr">
        <is>
          <t>Recip_2D-9R</t>
        </is>
      </c>
    </row>
    <row r="977">
      <c r="A977" t="inlineStr">
        <is>
          <t>COPELAND</t>
        </is>
      </c>
      <c r="B977" t="inlineStr">
        <is>
          <t>4DT3-2200-TSK</t>
        </is>
      </c>
      <c r="D977" t="inlineStr">
        <is>
          <t>Reciprocating Semi-hermetic</t>
        </is>
      </c>
      <c r="E977" s="2" t="n">
        <v>3</v>
      </c>
      <c r="F977" s="2" t="n">
        <v>60</v>
      </c>
      <c r="G977" s="2" t="n">
        <v>230</v>
      </c>
      <c r="H977" t="inlineStr">
        <is>
          <t>208/230</t>
        </is>
      </c>
      <c r="I977" s="2" t="n">
        <v>208</v>
      </c>
      <c r="J977" s="2" t="n">
        <v>230</v>
      </c>
      <c r="L977" s="3" t="n"/>
      <c r="M977" s="3" t="n"/>
      <c r="N977" s="3" t="n">
        <v>66</v>
      </c>
      <c r="O977" s="3" t="n"/>
      <c r="P977" s="3">
        <f>IF(L977&lt;&gt;"",L977/1.4,"")</f>
        <v/>
      </c>
      <c r="Q977" s="3">
        <f>IF(L977&lt;&gt;"",L977/1.56,"")</f>
        <v/>
      </c>
      <c r="R977" s="3">
        <f>IF(M977&lt;&gt;"",M977/1.4,"")</f>
        <v/>
      </c>
      <c r="S977" s="3">
        <f>IF(M977&lt;&gt;"",M977/1.56,"")</f>
        <v/>
      </c>
      <c r="T977" s="3">
        <f>IF(N977&lt;&gt;"",N977,IF(O977&lt;&gt;"",O977,IF(L977&lt;&gt;"",L977/1.56,IF(M977&lt;&gt;"",M977/1.56,""))))</f>
        <v/>
      </c>
      <c r="U977" s="3" t="n">
        <v>374</v>
      </c>
      <c r="V977" s="3" t="n">
        <v>222</v>
      </c>
      <c r="W977" s="3" t="n"/>
      <c r="X977" s="4" t="n"/>
      <c r="Y977" s="5" t="n">
        <v>0.14</v>
      </c>
      <c r="Z977" s="4">
        <f>IF(L977&lt;&gt;"",SQRT(3)*G977*L977/1000,"")</f>
        <v/>
      </c>
      <c r="AA977" t="inlineStr">
        <is>
          <t>Source=Copeland 2D/3D/4D/4R/6D/8D/9R compressors (pdf) p42; PWS_RLA=33.0</t>
        </is>
      </c>
      <c r="AB977" t="inlineStr">
        <is>
          <t>Copeland_RLA_230_460_3ph_60Hz.xlsx</t>
        </is>
      </c>
      <c r="AC977" t="inlineStr">
        <is>
          <t>Recip_2D-9R</t>
        </is>
      </c>
    </row>
    <row r="978">
      <c r="A978" t="inlineStr">
        <is>
          <t>COPELAND</t>
        </is>
      </c>
      <c r="B978" t="inlineStr">
        <is>
          <t>4DT3-2200-TSK</t>
        </is>
      </c>
      <c r="D978" t="inlineStr">
        <is>
          <t>Reciprocating Semi-hermetic</t>
        </is>
      </c>
      <c r="E978" s="2" t="n">
        <v>3</v>
      </c>
      <c r="F978" s="2" t="n">
        <v>60</v>
      </c>
      <c r="G978" s="2" t="n">
        <v>460</v>
      </c>
      <c r="H978" t="inlineStr">
        <is>
          <t>460</t>
        </is>
      </c>
      <c r="I978" s="2" t="n">
        <v>460</v>
      </c>
      <c r="J978" s="2" t="n">
        <v>460</v>
      </c>
      <c r="L978" s="3" t="n"/>
      <c r="M978" s="3" t="n"/>
      <c r="N978" s="3" t="n">
        <v>33</v>
      </c>
      <c r="O978" s="3" t="n"/>
      <c r="P978" s="3">
        <f>IF(L978&lt;&gt;"",L978/1.4,"")</f>
        <v/>
      </c>
      <c r="Q978" s="3">
        <f>IF(L978&lt;&gt;"",L978/1.56,"")</f>
        <v/>
      </c>
      <c r="R978" s="3">
        <f>IF(M978&lt;&gt;"",M978/1.4,"")</f>
        <v/>
      </c>
      <c r="S978" s="3">
        <f>IF(M978&lt;&gt;"",M978/1.56,"")</f>
        <v/>
      </c>
      <c r="T978" s="3">
        <f>IF(N978&lt;&gt;"",N978,IF(O978&lt;&gt;"",O978,IF(L978&lt;&gt;"",L978/1.56,IF(M978&lt;&gt;"",M978/1.56,""))))</f>
        <v/>
      </c>
      <c r="U978" s="3" t="n">
        <v>187</v>
      </c>
      <c r="V978" s="3" t="n"/>
      <c r="W978" s="3" t="n"/>
      <c r="X978" s="4" t="n"/>
      <c r="Y978" s="5" t="n">
        <v>0.5600000000000001</v>
      </c>
      <c r="Z978" s="4">
        <f>IF(L978&lt;&gt;"",SQRT(3)*G978*L978/1000,"")</f>
        <v/>
      </c>
      <c r="AA978" t="inlineStr">
        <is>
          <t>Source=Copeland 2D/3D/4D/4R/6D/8D/9R compressors (pdf) p42</t>
        </is>
      </c>
      <c r="AB978" t="inlineStr">
        <is>
          <t>Copeland_RLA_230_460_3ph_60Hz.xlsx</t>
        </is>
      </c>
      <c r="AC978" t="inlineStr">
        <is>
          <t>Recip_2D-9R</t>
        </is>
      </c>
    </row>
    <row r="979">
      <c r="A979" t="inlineStr">
        <is>
          <t>COPELAND</t>
        </is>
      </c>
      <c r="B979" t="inlineStr">
        <is>
          <t>4DT3-220E-FSD</t>
        </is>
      </c>
      <c r="D979" t="inlineStr">
        <is>
          <t>Reciprocating Semi-hermetic</t>
        </is>
      </c>
      <c r="E979" s="2" t="n">
        <v>3</v>
      </c>
      <c r="F979" s="2" t="n">
        <v>60</v>
      </c>
      <c r="G979" s="2" t="n">
        <v>460</v>
      </c>
      <c r="H979" t="inlineStr">
        <is>
          <t>460</t>
        </is>
      </c>
      <c r="I979" s="2" t="n">
        <v>460</v>
      </c>
      <c r="J979" s="2" t="n">
        <v>460</v>
      </c>
      <c r="L979" s="3" t="n"/>
      <c r="M979" s="3" t="n"/>
      <c r="N979" s="3" t="n">
        <v>33.9</v>
      </c>
      <c r="O979" s="3" t="n"/>
      <c r="P979" s="3">
        <f>IF(L979&lt;&gt;"",L979/1.4,"")</f>
        <v/>
      </c>
      <c r="Q979" s="3">
        <f>IF(L979&lt;&gt;"",L979/1.56,"")</f>
        <v/>
      </c>
      <c r="R979" s="3">
        <f>IF(M979&lt;&gt;"",M979/1.4,"")</f>
        <v/>
      </c>
      <c r="S979" s="3">
        <f>IF(M979&lt;&gt;"",M979/1.56,"")</f>
        <v/>
      </c>
      <c r="T979" s="3">
        <f>IF(N979&lt;&gt;"",N979,IF(O979&lt;&gt;"",O979,IF(L979&lt;&gt;"",L979/1.56,IF(M979&lt;&gt;"",M979/1.56,""))))</f>
        <v/>
      </c>
      <c r="U979" s="3" t="n">
        <v>180</v>
      </c>
      <c r="V979" s="3" t="n">
        <v>108</v>
      </c>
      <c r="W979" s="3" t="n"/>
      <c r="X979" s="4" t="n"/>
      <c r="Y979" s="5" t="n">
        <v>0.5580000000000001</v>
      </c>
      <c r="Z979" s="4">
        <f>IF(L979&lt;&gt;"",SQRT(3)*G979*L979/1000,"")</f>
        <v/>
      </c>
      <c r="AA979" t="inlineStr">
        <is>
          <t>Source=Copeland 2D/3D/4D/4R/6D/8D/9R compressors (pdf) p42; PWS_RLA=17.0</t>
        </is>
      </c>
      <c r="AB979" t="inlineStr">
        <is>
          <t>Copeland_RLA_230_460_3ph_60Hz.xlsx</t>
        </is>
      </c>
      <c r="AC979" t="inlineStr">
        <is>
          <t>Recip_2D-9R</t>
        </is>
      </c>
    </row>
    <row r="980">
      <c r="A980" t="inlineStr">
        <is>
          <t>COPELAND</t>
        </is>
      </c>
      <c r="B980" t="inlineStr">
        <is>
          <t>4DT3-220E-TSK</t>
        </is>
      </c>
      <c r="D980" t="inlineStr">
        <is>
          <t>Reciprocating Semi-hermetic</t>
        </is>
      </c>
      <c r="E980" s="2" t="n">
        <v>3</v>
      </c>
      <c r="F980" s="2" t="n">
        <v>60</v>
      </c>
      <c r="G980" s="2" t="n">
        <v>230</v>
      </c>
      <c r="H980" t="inlineStr">
        <is>
          <t>208/230</t>
        </is>
      </c>
      <c r="I980" s="2" t="n">
        <v>208</v>
      </c>
      <c r="J980" s="2" t="n">
        <v>230</v>
      </c>
      <c r="L980" s="3" t="n"/>
      <c r="M980" s="3" t="n"/>
      <c r="N980" s="3" t="n">
        <v>66</v>
      </c>
      <c r="O980" s="3" t="n"/>
      <c r="P980" s="3">
        <f>IF(L980&lt;&gt;"",L980/1.4,"")</f>
        <v/>
      </c>
      <c r="Q980" s="3">
        <f>IF(L980&lt;&gt;"",L980/1.56,"")</f>
        <v/>
      </c>
      <c r="R980" s="3">
        <f>IF(M980&lt;&gt;"",M980/1.4,"")</f>
        <v/>
      </c>
      <c r="S980" s="3">
        <f>IF(M980&lt;&gt;"",M980/1.56,"")</f>
        <v/>
      </c>
      <c r="T980" s="3">
        <f>IF(N980&lt;&gt;"",N980,IF(O980&lt;&gt;"",O980,IF(L980&lt;&gt;"",L980/1.56,IF(M980&lt;&gt;"",M980/1.56,""))))</f>
        <v/>
      </c>
      <c r="U980" s="3" t="n">
        <v>374</v>
      </c>
      <c r="V980" s="3" t="n">
        <v>222</v>
      </c>
      <c r="W980" s="3" t="n"/>
      <c r="X980" s="4" t="n"/>
      <c r="Y980" s="5" t="n">
        <v>0.14</v>
      </c>
      <c r="Z980" s="4">
        <f>IF(L980&lt;&gt;"",SQRT(3)*G980*L980/1000,"")</f>
        <v/>
      </c>
      <c r="AA980" t="inlineStr">
        <is>
          <t>Source=Copeland 2D/3D/4D/4R/6D/8D/9R compressors (pdf) p42; PWS_RLA=33.0</t>
        </is>
      </c>
      <c r="AB980" t="inlineStr">
        <is>
          <t>Copeland_RLA_230_460_3ph_60Hz.xlsx</t>
        </is>
      </c>
      <c r="AC980" t="inlineStr">
        <is>
          <t>Recip_2D-9R</t>
        </is>
      </c>
    </row>
    <row r="981">
      <c r="A981" t="inlineStr">
        <is>
          <t>COPELAND</t>
        </is>
      </c>
      <c r="B981" t="inlineStr">
        <is>
          <t>4DT3-220E-TSK</t>
        </is>
      </c>
      <c r="D981" t="inlineStr">
        <is>
          <t>Reciprocating Semi-hermetic</t>
        </is>
      </c>
      <c r="E981" s="2" t="n">
        <v>3</v>
      </c>
      <c r="F981" s="2" t="n">
        <v>60</v>
      </c>
      <c r="G981" s="2" t="n">
        <v>460</v>
      </c>
      <c r="H981" t="inlineStr">
        <is>
          <t>460</t>
        </is>
      </c>
      <c r="I981" s="2" t="n">
        <v>460</v>
      </c>
      <c r="J981" s="2" t="n">
        <v>460</v>
      </c>
      <c r="L981" s="3" t="n"/>
      <c r="M981" s="3" t="n"/>
      <c r="N981" s="3" t="n">
        <v>33</v>
      </c>
      <c r="O981" s="3" t="n"/>
      <c r="P981" s="3">
        <f>IF(L981&lt;&gt;"",L981/1.4,"")</f>
        <v/>
      </c>
      <c r="Q981" s="3">
        <f>IF(L981&lt;&gt;"",L981/1.56,"")</f>
        <v/>
      </c>
      <c r="R981" s="3">
        <f>IF(M981&lt;&gt;"",M981/1.4,"")</f>
        <v/>
      </c>
      <c r="S981" s="3">
        <f>IF(M981&lt;&gt;"",M981/1.56,"")</f>
        <v/>
      </c>
      <c r="T981" s="3">
        <f>IF(N981&lt;&gt;"",N981,IF(O981&lt;&gt;"",O981,IF(L981&lt;&gt;"",L981/1.56,IF(M981&lt;&gt;"",M981/1.56,""))))</f>
        <v/>
      </c>
      <c r="U981" s="3" t="n">
        <v>187</v>
      </c>
      <c r="V981" s="3" t="n"/>
      <c r="W981" s="3" t="n"/>
      <c r="X981" s="4" t="n"/>
      <c r="Y981" s="5" t="n">
        <v>0.5600000000000001</v>
      </c>
      <c r="Z981" s="4">
        <f>IF(L981&lt;&gt;"",SQRT(3)*G981*L981/1000,"")</f>
        <v/>
      </c>
      <c r="AA981" t="inlineStr">
        <is>
          <t>Source=Copeland 2D/3D/4D/4R/6D/8D/9R compressors (pdf) p42</t>
        </is>
      </c>
      <c r="AB981" t="inlineStr">
        <is>
          <t>Copeland_RLA_230_460_3ph_60Hz.xlsx</t>
        </is>
      </c>
      <c r="AC981" t="inlineStr">
        <is>
          <t>Recip_2D-9R</t>
        </is>
      </c>
    </row>
    <row r="982">
      <c r="A982" t="inlineStr">
        <is>
          <t>COPELAND</t>
        </is>
      </c>
      <c r="B982" t="inlineStr">
        <is>
          <t>4DT3-220L-FSD</t>
        </is>
      </c>
      <c r="D982" t="inlineStr">
        <is>
          <t>Reciprocating Semi-hermetic</t>
        </is>
      </c>
      <c r="E982" s="2" t="n">
        <v>3</v>
      </c>
      <c r="F982" s="2" t="n">
        <v>60</v>
      </c>
      <c r="G982" s="2" t="n">
        <v>460</v>
      </c>
      <c r="H982" t="inlineStr">
        <is>
          <t>460</t>
        </is>
      </c>
      <c r="I982" s="2" t="n">
        <v>460</v>
      </c>
      <c r="J982" s="2" t="n">
        <v>460</v>
      </c>
      <c r="L982" s="3" t="n"/>
      <c r="M982" s="3" t="n"/>
      <c r="N982" s="3" t="n">
        <v>33.9</v>
      </c>
      <c r="O982" s="3" t="n"/>
      <c r="P982" s="3">
        <f>IF(L982&lt;&gt;"",L982/1.4,"")</f>
        <v/>
      </c>
      <c r="Q982" s="3">
        <f>IF(L982&lt;&gt;"",L982/1.56,"")</f>
        <v/>
      </c>
      <c r="R982" s="3">
        <f>IF(M982&lt;&gt;"",M982/1.4,"")</f>
        <v/>
      </c>
      <c r="S982" s="3">
        <f>IF(M982&lt;&gt;"",M982/1.56,"")</f>
        <v/>
      </c>
      <c r="T982" s="3">
        <f>IF(N982&lt;&gt;"",N982,IF(O982&lt;&gt;"",O982,IF(L982&lt;&gt;"",L982/1.56,IF(M982&lt;&gt;"",M982/1.56,""))))</f>
        <v/>
      </c>
      <c r="U982" s="3" t="n">
        <v>180</v>
      </c>
      <c r="V982" s="3" t="n">
        <v>108</v>
      </c>
      <c r="W982" s="3" t="n"/>
      <c r="X982" s="4" t="n"/>
      <c r="Y982" s="5" t="n">
        <v>0.5580000000000001</v>
      </c>
      <c r="Z982" s="4">
        <f>IF(L982&lt;&gt;"",SQRT(3)*G982*L982/1000,"")</f>
        <v/>
      </c>
      <c r="AA982" t="inlineStr">
        <is>
          <t>Source=Copeland 2D/3D/4D/4R/6D/8D/9R compressors (pdf) p42; PWS_RLA=17.0</t>
        </is>
      </c>
      <c r="AB982" t="inlineStr">
        <is>
          <t>Copeland_RLA_230_460_3ph_60Hz.xlsx</t>
        </is>
      </c>
      <c r="AC982" t="inlineStr">
        <is>
          <t>Recip_2D-9R</t>
        </is>
      </c>
    </row>
    <row r="983">
      <c r="A983" t="inlineStr">
        <is>
          <t>COPELAND</t>
        </is>
      </c>
      <c r="B983" t="inlineStr">
        <is>
          <t>4DT3-220L-TSK</t>
        </is>
      </c>
      <c r="D983" t="inlineStr">
        <is>
          <t>Reciprocating Semi-hermetic</t>
        </is>
      </c>
      <c r="E983" s="2" t="n">
        <v>3</v>
      </c>
      <c r="F983" s="2" t="n">
        <v>60</v>
      </c>
      <c r="G983" s="2" t="n">
        <v>230</v>
      </c>
      <c r="H983" t="inlineStr">
        <is>
          <t>208/230</t>
        </is>
      </c>
      <c r="I983" s="2" t="n">
        <v>208</v>
      </c>
      <c r="J983" s="2" t="n">
        <v>230</v>
      </c>
      <c r="L983" s="3" t="n"/>
      <c r="M983" s="3" t="n"/>
      <c r="N983" s="3" t="n">
        <v>66</v>
      </c>
      <c r="O983" s="3" t="n"/>
      <c r="P983" s="3">
        <f>IF(L983&lt;&gt;"",L983/1.4,"")</f>
        <v/>
      </c>
      <c r="Q983" s="3">
        <f>IF(L983&lt;&gt;"",L983/1.56,"")</f>
        <v/>
      </c>
      <c r="R983" s="3">
        <f>IF(M983&lt;&gt;"",M983/1.4,"")</f>
        <v/>
      </c>
      <c r="S983" s="3">
        <f>IF(M983&lt;&gt;"",M983/1.56,"")</f>
        <v/>
      </c>
      <c r="T983" s="3">
        <f>IF(N983&lt;&gt;"",N983,IF(O983&lt;&gt;"",O983,IF(L983&lt;&gt;"",L983/1.56,IF(M983&lt;&gt;"",M983/1.56,""))))</f>
        <v/>
      </c>
      <c r="U983" s="3" t="n">
        <v>374</v>
      </c>
      <c r="V983" s="3" t="n">
        <v>222</v>
      </c>
      <c r="W983" s="3" t="n"/>
      <c r="X983" s="4" t="n"/>
      <c r="Y983" s="5" t="n">
        <v>0.14</v>
      </c>
      <c r="Z983" s="4">
        <f>IF(L983&lt;&gt;"",SQRT(3)*G983*L983/1000,"")</f>
        <v/>
      </c>
      <c r="AA983" t="inlineStr">
        <is>
          <t>Source=Copeland 2D/3D/4D/4R/6D/8D/9R compressors (pdf) p42; PWS_RLA=33.0</t>
        </is>
      </c>
      <c r="AB983" t="inlineStr">
        <is>
          <t>Copeland_RLA_230_460_3ph_60Hz.xlsx</t>
        </is>
      </c>
      <c r="AC983" t="inlineStr">
        <is>
          <t>Recip_2D-9R</t>
        </is>
      </c>
    </row>
    <row r="984">
      <c r="A984" t="inlineStr">
        <is>
          <t>COPELAND</t>
        </is>
      </c>
      <c r="B984" t="inlineStr">
        <is>
          <t>4DT3-220L-TSK</t>
        </is>
      </c>
      <c r="D984" t="inlineStr">
        <is>
          <t>Reciprocating Semi-hermetic</t>
        </is>
      </c>
      <c r="E984" s="2" t="n">
        <v>3</v>
      </c>
      <c r="F984" s="2" t="n">
        <v>60</v>
      </c>
      <c r="G984" s="2" t="n">
        <v>460</v>
      </c>
      <c r="H984" t="inlineStr">
        <is>
          <t>460</t>
        </is>
      </c>
      <c r="I984" s="2" t="n">
        <v>460</v>
      </c>
      <c r="J984" s="2" t="n">
        <v>460</v>
      </c>
      <c r="L984" s="3" t="n"/>
      <c r="M984" s="3" t="n"/>
      <c r="N984" s="3" t="n">
        <v>33</v>
      </c>
      <c r="O984" s="3" t="n"/>
      <c r="P984" s="3">
        <f>IF(L984&lt;&gt;"",L984/1.4,"")</f>
        <v/>
      </c>
      <c r="Q984" s="3">
        <f>IF(L984&lt;&gt;"",L984/1.56,"")</f>
        <v/>
      </c>
      <c r="R984" s="3">
        <f>IF(M984&lt;&gt;"",M984/1.4,"")</f>
        <v/>
      </c>
      <c r="S984" s="3">
        <f>IF(M984&lt;&gt;"",M984/1.56,"")</f>
        <v/>
      </c>
      <c r="T984" s="3">
        <f>IF(N984&lt;&gt;"",N984,IF(O984&lt;&gt;"",O984,IF(L984&lt;&gt;"",L984/1.56,IF(M984&lt;&gt;"",M984/1.56,""))))</f>
        <v/>
      </c>
      <c r="U984" s="3" t="n">
        <v>187</v>
      </c>
      <c r="V984" s="3" t="n"/>
      <c r="W984" s="3" t="n"/>
      <c r="X984" s="4" t="n"/>
      <c r="Y984" s="5" t="n">
        <v>0.5600000000000001</v>
      </c>
      <c r="Z984" s="4">
        <f>IF(L984&lt;&gt;"",SQRT(3)*G984*L984/1000,"")</f>
        <v/>
      </c>
      <c r="AA984" t="inlineStr">
        <is>
          <t>Source=Copeland 2D/3D/4D/4R/6D/8D/9R compressors (pdf) p42</t>
        </is>
      </c>
      <c r="AB984" t="inlineStr">
        <is>
          <t>Copeland_RLA_230_460_3ph_60Hz.xlsx</t>
        </is>
      </c>
      <c r="AC984" t="inlineStr">
        <is>
          <t>Recip_2D-9R</t>
        </is>
      </c>
    </row>
    <row r="985">
      <c r="A985" t="inlineStr">
        <is>
          <t>COPELAND</t>
        </is>
      </c>
      <c r="B985" t="inlineStr">
        <is>
          <t>4DT3A2200-FSD</t>
        </is>
      </c>
      <c r="D985" t="inlineStr">
        <is>
          <t>Reciprocating Semi-hermetic</t>
        </is>
      </c>
      <c r="E985" s="2" t="n">
        <v>3</v>
      </c>
      <c r="F985" s="2" t="n">
        <v>60</v>
      </c>
      <c r="G985" s="2" t="n">
        <v>460</v>
      </c>
      <c r="H985" t="inlineStr">
        <is>
          <t>460</t>
        </is>
      </c>
      <c r="I985" s="2" t="n">
        <v>460</v>
      </c>
      <c r="J985" s="2" t="n">
        <v>460</v>
      </c>
      <c r="L985" s="3" t="n"/>
      <c r="M985" s="3" t="n"/>
      <c r="N985" s="3" t="n">
        <v>33.9</v>
      </c>
      <c r="O985" s="3" t="n"/>
      <c r="P985" s="3">
        <f>IF(L985&lt;&gt;"",L985/1.4,"")</f>
        <v/>
      </c>
      <c r="Q985" s="3">
        <f>IF(L985&lt;&gt;"",L985/1.56,"")</f>
        <v/>
      </c>
      <c r="R985" s="3">
        <f>IF(M985&lt;&gt;"",M985/1.4,"")</f>
        <v/>
      </c>
      <c r="S985" s="3">
        <f>IF(M985&lt;&gt;"",M985/1.56,"")</f>
        <v/>
      </c>
      <c r="T985" s="3">
        <f>IF(N985&lt;&gt;"",N985,IF(O985&lt;&gt;"",O985,IF(L985&lt;&gt;"",L985/1.56,IF(M985&lt;&gt;"",M985/1.56,""))))</f>
        <v/>
      </c>
      <c r="U985" s="3" t="n">
        <v>180</v>
      </c>
      <c r="V985" s="3" t="n">
        <v>108</v>
      </c>
      <c r="W985" s="3" t="n"/>
      <c r="X985" s="4" t="n"/>
      <c r="Y985" s="5" t="n">
        <v>0.5580000000000001</v>
      </c>
      <c r="Z985" s="4">
        <f>IF(L985&lt;&gt;"",SQRT(3)*G985*L985/1000,"")</f>
        <v/>
      </c>
      <c r="AA985" t="inlineStr">
        <is>
          <t>Source=Copeland 2D/3D/4D/4R/6D/8D/9R compressors (pdf) p43; PWS_RLA=17.0</t>
        </is>
      </c>
      <c r="AB985" t="inlineStr">
        <is>
          <t>Copeland_RLA_230_460_3ph_60Hz.xlsx</t>
        </is>
      </c>
      <c r="AC985" t="inlineStr">
        <is>
          <t>Recip_2D-9R</t>
        </is>
      </c>
    </row>
    <row r="986">
      <c r="A986" t="inlineStr">
        <is>
          <t>COPELAND</t>
        </is>
      </c>
      <c r="B986" t="inlineStr">
        <is>
          <t>4DT3A2200-TSK</t>
        </is>
      </c>
      <c r="D986" t="inlineStr">
        <is>
          <t>Reciprocating Semi-hermetic</t>
        </is>
      </c>
      <c r="E986" s="2" t="n">
        <v>3</v>
      </c>
      <c r="F986" s="2" t="n">
        <v>60</v>
      </c>
      <c r="G986" s="2" t="n">
        <v>230</v>
      </c>
      <c r="H986" t="inlineStr">
        <is>
          <t>208/230</t>
        </is>
      </c>
      <c r="I986" s="2" t="n">
        <v>208</v>
      </c>
      <c r="J986" s="2" t="n">
        <v>230</v>
      </c>
      <c r="L986" s="3" t="n"/>
      <c r="M986" s="3" t="n"/>
      <c r="N986" s="3" t="n">
        <v>66</v>
      </c>
      <c r="O986" s="3" t="n"/>
      <c r="P986" s="3">
        <f>IF(L986&lt;&gt;"",L986/1.4,"")</f>
        <v/>
      </c>
      <c r="Q986" s="3">
        <f>IF(L986&lt;&gt;"",L986/1.56,"")</f>
        <v/>
      </c>
      <c r="R986" s="3">
        <f>IF(M986&lt;&gt;"",M986/1.4,"")</f>
        <v/>
      </c>
      <c r="S986" s="3">
        <f>IF(M986&lt;&gt;"",M986/1.56,"")</f>
        <v/>
      </c>
      <c r="T986" s="3">
        <f>IF(N986&lt;&gt;"",N986,IF(O986&lt;&gt;"",O986,IF(L986&lt;&gt;"",L986/1.56,IF(M986&lt;&gt;"",M986/1.56,""))))</f>
        <v/>
      </c>
      <c r="U986" s="3" t="n">
        <v>374</v>
      </c>
      <c r="V986" s="3" t="n">
        <v>222</v>
      </c>
      <c r="W986" s="3" t="n"/>
      <c r="X986" s="4" t="n"/>
      <c r="Y986" s="5" t="n">
        <v>0.14</v>
      </c>
      <c r="Z986" s="4">
        <f>IF(L986&lt;&gt;"",SQRT(3)*G986*L986/1000,"")</f>
        <v/>
      </c>
      <c r="AA986" t="inlineStr">
        <is>
          <t>Source=Copeland 2D/3D/4D/4R/6D/8D/9R compressors (pdf) p43; PWS_RLA=33.0</t>
        </is>
      </c>
      <c r="AB986" t="inlineStr">
        <is>
          <t>Copeland_RLA_230_460_3ph_60Hz.xlsx</t>
        </is>
      </c>
      <c r="AC986" t="inlineStr">
        <is>
          <t>Recip_2D-9R</t>
        </is>
      </c>
    </row>
    <row r="987">
      <c r="A987" t="inlineStr">
        <is>
          <t>COPELAND</t>
        </is>
      </c>
      <c r="B987" t="inlineStr">
        <is>
          <t>4DT3A2200-TSK</t>
        </is>
      </c>
      <c r="D987" t="inlineStr">
        <is>
          <t>Reciprocating Semi-hermetic</t>
        </is>
      </c>
      <c r="E987" s="2" t="n">
        <v>3</v>
      </c>
      <c r="F987" s="2" t="n">
        <v>60</v>
      </c>
      <c r="G987" s="2" t="n">
        <v>460</v>
      </c>
      <c r="H987" t="inlineStr">
        <is>
          <t>460</t>
        </is>
      </c>
      <c r="I987" s="2" t="n">
        <v>460</v>
      </c>
      <c r="J987" s="2" t="n">
        <v>460</v>
      </c>
      <c r="L987" s="3" t="n"/>
      <c r="M987" s="3" t="n"/>
      <c r="N987" s="3" t="n">
        <v>33</v>
      </c>
      <c r="O987" s="3" t="n"/>
      <c r="P987" s="3">
        <f>IF(L987&lt;&gt;"",L987/1.4,"")</f>
        <v/>
      </c>
      <c r="Q987" s="3">
        <f>IF(L987&lt;&gt;"",L987/1.56,"")</f>
        <v/>
      </c>
      <c r="R987" s="3">
        <f>IF(M987&lt;&gt;"",M987/1.4,"")</f>
        <v/>
      </c>
      <c r="S987" s="3">
        <f>IF(M987&lt;&gt;"",M987/1.56,"")</f>
        <v/>
      </c>
      <c r="T987" s="3">
        <f>IF(N987&lt;&gt;"",N987,IF(O987&lt;&gt;"",O987,IF(L987&lt;&gt;"",L987/1.56,IF(M987&lt;&gt;"",M987/1.56,""))))</f>
        <v/>
      </c>
      <c r="U987" s="3" t="n">
        <v>187</v>
      </c>
      <c r="V987" s="3" t="n"/>
      <c r="W987" s="3" t="n"/>
      <c r="X987" s="4" t="n"/>
      <c r="Y987" s="5" t="n">
        <v>0.5600000000000001</v>
      </c>
      <c r="Z987" s="4">
        <f>IF(L987&lt;&gt;"",SQRT(3)*G987*L987/1000,"")</f>
        <v/>
      </c>
      <c r="AA987" t="inlineStr">
        <is>
          <t>Source=Copeland 2D/3D/4D/4R/6D/8D/9R compressors (pdf) p43</t>
        </is>
      </c>
      <c r="AB987" t="inlineStr">
        <is>
          <t>Copeland_RLA_230_460_3ph_60Hz.xlsx</t>
        </is>
      </c>
      <c r="AC987" t="inlineStr">
        <is>
          <t>Recip_2D-9R</t>
        </is>
      </c>
    </row>
    <row r="988">
      <c r="A988" t="inlineStr">
        <is>
          <t>COPELAND</t>
        </is>
      </c>
      <c r="B988" t="inlineStr">
        <is>
          <t>4DT3A220E-FSD</t>
        </is>
      </c>
      <c r="D988" t="inlineStr">
        <is>
          <t>Reciprocating Semi-hermetic</t>
        </is>
      </c>
      <c r="E988" s="2" t="n">
        <v>3</v>
      </c>
      <c r="F988" s="2" t="n">
        <v>60</v>
      </c>
      <c r="G988" s="2" t="n">
        <v>460</v>
      </c>
      <c r="H988" t="inlineStr">
        <is>
          <t>460</t>
        </is>
      </c>
      <c r="I988" s="2" t="n">
        <v>460</v>
      </c>
      <c r="J988" s="2" t="n">
        <v>460</v>
      </c>
      <c r="L988" s="3" t="n"/>
      <c r="M988" s="3" t="n"/>
      <c r="N988" s="3" t="n">
        <v>33.9</v>
      </c>
      <c r="O988" s="3" t="n"/>
      <c r="P988" s="3">
        <f>IF(L988&lt;&gt;"",L988/1.4,"")</f>
        <v/>
      </c>
      <c r="Q988" s="3">
        <f>IF(L988&lt;&gt;"",L988/1.56,"")</f>
        <v/>
      </c>
      <c r="R988" s="3">
        <f>IF(M988&lt;&gt;"",M988/1.4,"")</f>
        <v/>
      </c>
      <c r="S988" s="3">
        <f>IF(M988&lt;&gt;"",M988/1.56,"")</f>
        <v/>
      </c>
      <c r="T988" s="3">
        <f>IF(N988&lt;&gt;"",N988,IF(O988&lt;&gt;"",O988,IF(L988&lt;&gt;"",L988/1.56,IF(M988&lt;&gt;"",M988/1.56,""))))</f>
        <v/>
      </c>
      <c r="U988" s="3" t="n">
        <v>180</v>
      </c>
      <c r="V988" s="3" t="n">
        <v>108</v>
      </c>
      <c r="W988" s="3" t="n"/>
      <c r="X988" s="4" t="n"/>
      <c r="Y988" s="5" t="n">
        <v>0.5580000000000001</v>
      </c>
      <c r="Z988" s="4">
        <f>IF(L988&lt;&gt;"",SQRT(3)*G988*L988/1000,"")</f>
        <v/>
      </c>
      <c r="AA988" t="inlineStr">
        <is>
          <t>Source=Copeland 2D/3D/4D/4R/6D/8D/9R compressors (pdf) p43; PWS_RLA=17.0</t>
        </is>
      </c>
      <c r="AB988" t="inlineStr">
        <is>
          <t>Copeland_RLA_230_460_3ph_60Hz.xlsx</t>
        </is>
      </c>
      <c r="AC988" t="inlineStr">
        <is>
          <t>Recip_2D-9R</t>
        </is>
      </c>
    </row>
    <row r="989">
      <c r="A989" t="inlineStr">
        <is>
          <t>COPELAND</t>
        </is>
      </c>
      <c r="B989" t="inlineStr">
        <is>
          <t>4DT3A220E-TSK</t>
        </is>
      </c>
      <c r="D989" t="inlineStr">
        <is>
          <t>Reciprocating Semi-hermetic</t>
        </is>
      </c>
      <c r="E989" s="2" t="n">
        <v>3</v>
      </c>
      <c r="F989" s="2" t="n">
        <v>60</v>
      </c>
      <c r="G989" s="2" t="n">
        <v>230</v>
      </c>
      <c r="H989" t="inlineStr">
        <is>
          <t>208/230</t>
        </is>
      </c>
      <c r="I989" s="2" t="n">
        <v>208</v>
      </c>
      <c r="J989" s="2" t="n">
        <v>230</v>
      </c>
      <c r="L989" s="3" t="n"/>
      <c r="M989" s="3" t="n"/>
      <c r="N989" s="3" t="n">
        <v>66</v>
      </c>
      <c r="O989" s="3" t="n"/>
      <c r="P989" s="3">
        <f>IF(L989&lt;&gt;"",L989/1.4,"")</f>
        <v/>
      </c>
      <c r="Q989" s="3">
        <f>IF(L989&lt;&gt;"",L989/1.56,"")</f>
        <v/>
      </c>
      <c r="R989" s="3">
        <f>IF(M989&lt;&gt;"",M989/1.4,"")</f>
        <v/>
      </c>
      <c r="S989" s="3">
        <f>IF(M989&lt;&gt;"",M989/1.56,"")</f>
        <v/>
      </c>
      <c r="T989" s="3">
        <f>IF(N989&lt;&gt;"",N989,IF(O989&lt;&gt;"",O989,IF(L989&lt;&gt;"",L989/1.56,IF(M989&lt;&gt;"",M989/1.56,""))))</f>
        <v/>
      </c>
      <c r="U989" s="3" t="n">
        <v>374</v>
      </c>
      <c r="V989" s="3" t="n">
        <v>222</v>
      </c>
      <c r="W989" s="3" t="n"/>
      <c r="X989" s="4" t="n"/>
      <c r="Y989" s="5" t="n">
        <v>0.14</v>
      </c>
      <c r="Z989" s="4">
        <f>IF(L989&lt;&gt;"",SQRT(3)*G989*L989/1000,"")</f>
        <v/>
      </c>
      <c r="AA989" t="inlineStr">
        <is>
          <t>Source=Copeland 2D/3D/4D/4R/6D/8D/9R compressors (pdf) p43; PWS_RLA=33.0</t>
        </is>
      </c>
      <c r="AB989" t="inlineStr">
        <is>
          <t>Copeland_RLA_230_460_3ph_60Hz.xlsx</t>
        </is>
      </c>
      <c r="AC989" t="inlineStr">
        <is>
          <t>Recip_2D-9R</t>
        </is>
      </c>
    </row>
    <row r="990">
      <c r="A990" t="inlineStr">
        <is>
          <t>COPELAND</t>
        </is>
      </c>
      <c r="B990" t="inlineStr">
        <is>
          <t>4DT3A220E-TSK</t>
        </is>
      </c>
      <c r="D990" t="inlineStr">
        <is>
          <t>Reciprocating Semi-hermetic</t>
        </is>
      </c>
      <c r="E990" s="2" t="n">
        <v>3</v>
      </c>
      <c r="F990" s="2" t="n">
        <v>60</v>
      </c>
      <c r="G990" s="2" t="n">
        <v>460</v>
      </c>
      <c r="H990" t="inlineStr">
        <is>
          <t>460</t>
        </is>
      </c>
      <c r="I990" s="2" t="n">
        <v>460</v>
      </c>
      <c r="J990" s="2" t="n">
        <v>460</v>
      </c>
      <c r="L990" s="3" t="n"/>
      <c r="M990" s="3" t="n"/>
      <c r="N990" s="3" t="n">
        <v>33</v>
      </c>
      <c r="O990" s="3" t="n"/>
      <c r="P990" s="3">
        <f>IF(L990&lt;&gt;"",L990/1.4,"")</f>
        <v/>
      </c>
      <c r="Q990" s="3">
        <f>IF(L990&lt;&gt;"",L990/1.56,"")</f>
        <v/>
      </c>
      <c r="R990" s="3">
        <f>IF(M990&lt;&gt;"",M990/1.4,"")</f>
        <v/>
      </c>
      <c r="S990" s="3">
        <f>IF(M990&lt;&gt;"",M990/1.56,"")</f>
        <v/>
      </c>
      <c r="T990" s="3">
        <f>IF(N990&lt;&gt;"",N990,IF(O990&lt;&gt;"",O990,IF(L990&lt;&gt;"",L990/1.56,IF(M990&lt;&gt;"",M990/1.56,""))))</f>
        <v/>
      </c>
      <c r="U990" s="3" t="n">
        <v>187</v>
      </c>
      <c r="V990" s="3" t="n"/>
      <c r="W990" s="3" t="n"/>
      <c r="X990" s="4" t="n"/>
      <c r="Y990" s="5" t="n">
        <v>0.5600000000000001</v>
      </c>
      <c r="Z990" s="4">
        <f>IF(L990&lt;&gt;"",SQRT(3)*G990*L990/1000,"")</f>
        <v/>
      </c>
      <c r="AA990" t="inlineStr">
        <is>
          <t>Source=Copeland 2D/3D/4D/4R/6D/8D/9R compressors (pdf) p43</t>
        </is>
      </c>
      <c r="AB990" t="inlineStr">
        <is>
          <t>Copeland_RLA_230_460_3ph_60Hz.xlsx</t>
        </is>
      </c>
      <c r="AC990" t="inlineStr">
        <is>
          <t>Recip_2D-9R</t>
        </is>
      </c>
    </row>
    <row r="991">
      <c r="A991" t="inlineStr">
        <is>
          <t>COPELAND</t>
        </is>
      </c>
      <c r="B991" t="inlineStr">
        <is>
          <t>4DT3A220L-FSD</t>
        </is>
      </c>
      <c r="D991" t="inlineStr">
        <is>
          <t>Reciprocating Semi-hermetic</t>
        </is>
      </c>
      <c r="E991" s="2" t="n">
        <v>3</v>
      </c>
      <c r="F991" s="2" t="n">
        <v>60</v>
      </c>
      <c r="G991" s="2" t="n">
        <v>460</v>
      </c>
      <c r="H991" t="inlineStr">
        <is>
          <t>460</t>
        </is>
      </c>
      <c r="I991" s="2" t="n">
        <v>460</v>
      </c>
      <c r="J991" s="2" t="n">
        <v>460</v>
      </c>
      <c r="L991" s="3" t="n"/>
      <c r="M991" s="3" t="n"/>
      <c r="N991" s="3" t="n">
        <v>33.9</v>
      </c>
      <c r="O991" s="3" t="n"/>
      <c r="P991" s="3">
        <f>IF(L991&lt;&gt;"",L991/1.4,"")</f>
        <v/>
      </c>
      <c r="Q991" s="3">
        <f>IF(L991&lt;&gt;"",L991/1.56,"")</f>
        <v/>
      </c>
      <c r="R991" s="3">
        <f>IF(M991&lt;&gt;"",M991/1.4,"")</f>
        <v/>
      </c>
      <c r="S991" s="3">
        <f>IF(M991&lt;&gt;"",M991/1.56,"")</f>
        <v/>
      </c>
      <c r="T991" s="3">
        <f>IF(N991&lt;&gt;"",N991,IF(O991&lt;&gt;"",O991,IF(L991&lt;&gt;"",L991/1.56,IF(M991&lt;&gt;"",M991/1.56,""))))</f>
        <v/>
      </c>
      <c r="U991" s="3" t="n">
        <v>180</v>
      </c>
      <c r="V991" s="3" t="n">
        <v>108</v>
      </c>
      <c r="W991" s="3" t="n"/>
      <c r="X991" s="4" t="n"/>
      <c r="Y991" s="5" t="n">
        <v>0.5580000000000001</v>
      </c>
      <c r="Z991" s="4">
        <f>IF(L991&lt;&gt;"",SQRT(3)*G991*L991/1000,"")</f>
        <v/>
      </c>
      <c r="AA991" t="inlineStr">
        <is>
          <t>Source=Copeland 2D/3D/4D/4R/6D/8D/9R compressors (pdf) p43; PWS_RLA=17.0</t>
        </is>
      </c>
      <c r="AB991" t="inlineStr">
        <is>
          <t>Copeland_RLA_230_460_3ph_60Hz.xlsx</t>
        </is>
      </c>
      <c r="AC991" t="inlineStr">
        <is>
          <t>Recip_2D-9R</t>
        </is>
      </c>
    </row>
    <row r="992">
      <c r="A992" t="inlineStr">
        <is>
          <t>COPELAND</t>
        </is>
      </c>
      <c r="B992" t="inlineStr">
        <is>
          <t>4DT3A220L-TSK</t>
        </is>
      </c>
      <c r="D992" t="inlineStr">
        <is>
          <t>Reciprocating Semi-hermetic</t>
        </is>
      </c>
      <c r="E992" s="2" t="n">
        <v>3</v>
      </c>
      <c r="F992" s="2" t="n">
        <v>60</v>
      </c>
      <c r="G992" s="2" t="n">
        <v>230</v>
      </c>
      <c r="H992" t="inlineStr">
        <is>
          <t>208/230</t>
        </is>
      </c>
      <c r="I992" s="2" t="n">
        <v>208</v>
      </c>
      <c r="J992" s="2" t="n">
        <v>230</v>
      </c>
      <c r="L992" s="3" t="n"/>
      <c r="M992" s="3" t="n"/>
      <c r="N992" s="3" t="n">
        <v>66</v>
      </c>
      <c r="O992" s="3" t="n"/>
      <c r="P992" s="3">
        <f>IF(L992&lt;&gt;"",L992/1.4,"")</f>
        <v/>
      </c>
      <c r="Q992" s="3">
        <f>IF(L992&lt;&gt;"",L992/1.56,"")</f>
        <v/>
      </c>
      <c r="R992" s="3">
        <f>IF(M992&lt;&gt;"",M992/1.4,"")</f>
        <v/>
      </c>
      <c r="S992" s="3">
        <f>IF(M992&lt;&gt;"",M992/1.56,"")</f>
        <v/>
      </c>
      <c r="T992" s="3">
        <f>IF(N992&lt;&gt;"",N992,IF(O992&lt;&gt;"",O992,IF(L992&lt;&gt;"",L992/1.56,IF(M992&lt;&gt;"",M992/1.56,""))))</f>
        <v/>
      </c>
      <c r="U992" s="3" t="n">
        <v>374</v>
      </c>
      <c r="V992" s="3" t="n">
        <v>222</v>
      </c>
      <c r="W992" s="3" t="n"/>
      <c r="X992" s="4" t="n"/>
      <c r="Y992" s="5" t="n">
        <v>0.14</v>
      </c>
      <c r="Z992" s="4">
        <f>IF(L992&lt;&gt;"",SQRT(3)*G992*L992/1000,"")</f>
        <v/>
      </c>
      <c r="AA992" t="inlineStr">
        <is>
          <t>Source=Copeland 2D/3D/4D/4R/6D/8D/9R compressors (pdf) p43; PWS_RLA=33.0</t>
        </is>
      </c>
      <c r="AB992" t="inlineStr">
        <is>
          <t>Copeland_RLA_230_460_3ph_60Hz.xlsx</t>
        </is>
      </c>
      <c r="AC992" t="inlineStr">
        <is>
          <t>Recip_2D-9R</t>
        </is>
      </c>
    </row>
    <row r="993">
      <c r="A993" t="inlineStr">
        <is>
          <t>COPELAND</t>
        </is>
      </c>
      <c r="B993" t="inlineStr">
        <is>
          <t>4DT3A220L-TSK</t>
        </is>
      </c>
      <c r="D993" t="inlineStr">
        <is>
          <t>Reciprocating Semi-hermetic</t>
        </is>
      </c>
      <c r="E993" s="2" t="n">
        <v>3</v>
      </c>
      <c r="F993" s="2" t="n">
        <v>60</v>
      </c>
      <c r="G993" s="2" t="n">
        <v>460</v>
      </c>
      <c r="H993" t="inlineStr">
        <is>
          <t>460</t>
        </is>
      </c>
      <c r="I993" s="2" t="n">
        <v>460</v>
      </c>
      <c r="J993" s="2" t="n">
        <v>460</v>
      </c>
      <c r="L993" s="3" t="n"/>
      <c r="M993" s="3" t="n"/>
      <c r="N993" s="3" t="n">
        <v>33</v>
      </c>
      <c r="O993" s="3" t="n"/>
      <c r="P993" s="3">
        <f>IF(L993&lt;&gt;"",L993/1.4,"")</f>
        <v/>
      </c>
      <c r="Q993" s="3">
        <f>IF(L993&lt;&gt;"",L993/1.56,"")</f>
        <v/>
      </c>
      <c r="R993" s="3">
        <f>IF(M993&lt;&gt;"",M993/1.4,"")</f>
        <v/>
      </c>
      <c r="S993" s="3">
        <f>IF(M993&lt;&gt;"",M993/1.56,"")</f>
        <v/>
      </c>
      <c r="T993" s="3">
        <f>IF(N993&lt;&gt;"",N993,IF(O993&lt;&gt;"",O993,IF(L993&lt;&gt;"",L993/1.56,IF(M993&lt;&gt;"",M993/1.56,""))))</f>
        <v/>
      </c>
      <c r="U993" s="3" t="n">
        <v>187</v>
      </c>
      <c r="V993" s="3" t="n"/>
      <c r="W993" s="3" t="n"/>
      <c r="X993" s="4" t="n"/>
      <c r="Y993" s="5" t="n">
        <v>0.5600000000000001</v>
      </c>
      <c r="Z993" s="4">
        <f>IF(L993&lt;&gt;"",SQRT(3)*G993*L993/1000,"")</f>
        <v/>
      </c>
      <c r="AA993" t="inlineStr">
        <is>
          <t>Source=Copeland 2D/3D/4D/4R/6D/8D/9R compressors (pdf) p43</t>
        </is>
      </c>
      <c r="AB993" t="inlineStr">
        <is>
          <t>Copeland_RLA_230_460_3ph_60Hz.xlsx</t>
        </is>
      </c>
      <c r="AC993" t="inlineStr">
        <is>
          <t>Recip_2D-9R</t>
        </is>
      </c>
    </row>
    <row r="994">
      <c r="A994" t="inlineStr">
        <is>
          <t>COPELAND</t>
        </is>
      </c>
      <c r="B994" t="inlineStr">
        <is>
          <t>4DT3F76K0-FSD</t>
        </is>
      </c>
      <c r="D994" t="inlineStr">
        <is>
          <t>Reciprocating Semi-hermetic</t>
        </is>
      </c>
      <c r="E994" s="2" t="n">
        <v>3</v>
      </c>
      <c r="F994" s="2" t="n">
        <v>60</v>
      </c>
      <c r="G994" s="2" t="n">
        <v>460</v>
      </c>
      <c r="H994" t="inlineStr">
        <is>
          <t>460</t>
        </is>
      </c>
      <c r="I994" s="2" t="n">
        <v>460</v>
      </c>
      <c r="J994" s="2" t="n">
        <v>460</v>
      </c>
      <c r="L994" s="3" t="n"/>
      <c r="M994" s="3" t="n"/>
      <c r="N994" s="3" t="n">
        <v>33.9</v>
      </c>
      <c r="O994" s="3" t="n"/>
      <c r="P994" s="3">
        <f>IF(L994&lt;&gt;"",L994/1.4,"")</f>
        <v/>
      </c>
      <c r="Q994" s="3">
        <f>IF(L994&lt;&gt;"",L994/1.56,"")</f>
        <v/>
      </c>
      <c r="R994" s="3">
        <f>IF(M994&lt;&gt;"",M994/1.4,"")</f>
        <v/>
      </c>
      <c r="S994" s="3">
        <f>IF(M994&lt;&gt;"",M994/1.56,"")</f>
        <v/>
      </c>
      <c r="T994" s="3">
        <f>IF(N994&lt;&gt;"",N994,IF(O994&lt;&gt;"",O994,IF(L994&lt;&gt;"",L994/1.56,IF(M994&lt;&gt;"",M994/1.56,""))))</f>
        <v/>
      </c>
      <c r="U994" s="3" t="n">
        <v>180</v>
      </c>
      <c r="V994" s="3" t="n">
        <v>108</v>
      </c>
      <c r="W994" s="3" t="n"/>
      <c r="X994" s="4" t="n"/>
      <c r="Y994" s="5" t="n">
        <v>0.5580000000000001</v>
      </c>
      <c r="Z994" s="4">
        <f>IF(L994&lt;&gt;"",SQRT(3)*G994*L994/1000,"")</f>
        <v/>
      </c>
      <c r="AA994" t="inlineStr">
        <is>
          <t>Source=Copeland 2D/3D/4D/4R/6D/8D/9R compressors (pdf) p43; PWS_RLA=17.0</t>
        </is>
      </c>
      <c r="AB994" t="inlineStr">
        <is>
          <t>Copeland_RLA_230_460_3ph_60Hz.xlsx</t>
        </is>
      </c>
      <c r="AC994" t="inlineStr">
        <is>
          <t>Recip_2D-9R</t>
        </is>
      </c>
    </row>
    <row r="995">
      <c r="A995" t="inlineStr">
        <is>
          <t>COPELAND</t>
        </is>
      </c>
      <c r="B995" t="inlineStr">
        <is>
          <t>4DT3F76K0-TSK</t>
        </is>
      </c>
      <c r="D995" t="inlineStr">
        <is>
          <t>Reciprocating Semi-hermetic</t>
        </is>
      </c>
      <c r="E995" s="2" t="n">
        <v>3</v>
      </c>
      <c r="F995" s="2" t="n">
        <v>60</v>
      </c>
      <c r="G995" s="2" t="n">
        <v>230</v>
      </c>
      <c r="H995" t="inlineStr">
        <is>
          <t>208/230</t>
        </is>
      </c>
      <c r="I995" s="2" t="n">
        <v>208</v>
      </c>
      <c r="J995" s="2" t="n">
        <v>230</v>
      </c>
      <c r="L995" s="3" t="n"/>
      <c r="M995" s="3" t="n"/>
      <c r="N995" s="3" t="n">
        <v>66</v>
      </c>
      <c r="O995" s="3" t="n"/>
      <c r="P995" s="3">
        <f>IF(L995&lt;&gt;"",L995/1.4,"")</f>
        <v/>
      </c>
      <c r="Q995" s="3">
        <f>IF(L995&lt;&gt;"",L995/1.56,"")</f>
        <v/>
      </c>
      <c r="R995" s="3">
        <f>IF(M995&lt;&gt;"",M995/1.4,"")</f>
        <v/>
      </c>
      <c r="S995" s="3">
        <f>IF(M995&lt;&gt;"",M995/1.56,"")</f>
        <v/>
      </c>
      <c r="T995" s="3">
        <f>IF(N995&lt;&gt;"",N995,IF(O995&lt;&gt;"",O995,IF(L995&lt;&gt;"",L995/1.56,IF(M995&lt;&gt;"",M995/1.56,""))))</f>
        <v/>
      </c>
      <c r="U995" s="3" t="n">
        <v>374</v>
      </c>
      <c r="V995" s="3" t="n">
        <v>222</v>
      </c>
      <c r="W995" s="3" t="n"/>
      <c r="X995" s="4" t="n"/>
      <c r="Y995" s="5" t="n">
        <v>0.14</v>
      </c>
      <c r="Z995" s="4">
        <f>IF(L995&lt;&gt;"",SQRT(3)*G995*L995/1000,"")</f>
        <v/>
      </c>
      <c r="AA995" t="inlineStr">
        <is>
          <t>Source=Copeland 2D/3D/4D/4R/6D/8D/9R compressors (pdf) p43; PWS_RLA=33.0</t>
        </is>
      </c>
      <c r="AB995" t="inlineStr">
        <is>
          <t>Copeland_RLA_230_460_3ph_60Hz.xlsx</t>
        </is>
      </c>
      <c r="AC995" t="inlineStr">
        <is>
          <t>Recip_2D-9R</t>
        </is>
      </c>
    </row>
    <row r="996">
      <c r="A996" t="inlineStr">
        <is>
          <t>COPELAND</t>
        </is>
      </c>
      <c r="B996" t="inlineStr">
        <is>
          <t>4DT3F76K0-TSK</t>
        </is>
      </c>
      <c r="D996" t="inlineStr">
        <is>
          <t>Reciprocating Semi-hermetic</t>
        </is>
      </c>
      <c r="E996" s="2" t="n">
        <v>3</v>
      </c>
      <c r="F996" s="2" t="n">
        <v>60</v>
      </c>
      <c r="G996" s="2" t="n">
        <v>460</v>
      </c>
      <c r="H996" t="inlineStr">
        <is>
          <t>460</t>
        </is>
      </c>
      <c r="I996" s="2" t="n">
        <v>460</v>
      </c>
      <c r="J996" s="2" t="n">
        <v>460</v>
      </c>
      <c r="L996" s="3" t="n"/>
      <c r="M996" s="3" t="n"/>
      <c r="N996" s="3" t="n">
        <v>33</v>
      </c>
      <c r="O996" s="3" t="n"/>
      <c r="P996" s="3">
        <f>IF(L996&lt;&gt;"",L996/1.4,"")</f>
        <v/>
      </c>
      <c r="Q996" s="3">
        <f>IF(L996&lt;&gt;"",L996/1.56,"")</f>
        <v/>
      </c>
      <c r="R996" s="3">
        <f>IF(M996&lt;&gt;"",M996/1.4,"")</f>
        <v/>
      </c>
      <c r="S996" s="3">
        <f>IF(M996&lt;&gt;"",M996/1.56,"")</f>
        <v/>
      </c>
      <c r="T996" s="3">
        <f>IF(N996&lt;&gt;"",N996,IF(O996&lt;&gt;"",O996,IF(L996&lt;&gt;"",L996/1.56,IF(M996&lt;&gt;"",M996/1.56,""))))</f>
        <v/>
      </c>
      <c r="U996" s="3" t="n">
        <v>187</v>
      </c>
      <c r="V996" s="3" t="n"/>
      <c r="W996" s="3" t="n"/>
      <c r="X996" s="4" t="n"/>
      <c r="Y996" s="5" t="n">
        <v>0.5600000000000001</v>
      </c>
      <c r="Z996" s="4">
        <f>IF(L996&lt;&gt;"",SQRT(3)*G996*L996/1000,"")</f>
        <v/>
      </c>
      <c r="AA996" t="inlineStr">
        <is>
          <t>Source=Copeland 2D/3D/4D/4R/6D/8D/9R compressors (pdf) p43</t>
        </is>
      </c>
      <c r="AB996" t="inlineStr">
        <is>
          <t>Copeland_RLA_230_460_3ph_60Hz.xlsx</t>
        </is>
      </c>
      <c r="AC996" t="inlineStr">
        <is>
          <t>Recip_2D-9R</t>
        </is>
      </c>
    </row>
    <row r="997">
      <c r="A997" t="inlineStr">
        <is>
          <t>COPELAND</t>
        </is>
      </c>
      <c r="B997" t="inlineStr">
        <is>
          <t>4DT3F76KE-FSD</t>
        </is>
      </c>
      <c r="D997" t="inlineStr">
        <is>
          <t>Reciprocating Semi-hermetic</t>
        </is>
      </c>
      <c r="E997" s="2" t="n">
        <v>3</v>
      </c>
      <c r="F997" s="2" t="n">
        <v>60</v>
      </c>
      <c r="G997" s="2" t="n">
        <v>460</v>
      </c>
      <c r="H997" t="inlineStr">
        <is>
          <t>460</t>
        </is>
      </c>
      <c r="I997" s="2" t="n">
        <v>460</v>
      </c>
      <c r="J997" s="2" t="n">
        <v>460</v>
      </c>
      <c r="L997" s="3" t="n"/>
      <c r="M997" s="3" t="n"/>
      <c r="N997" s="3" t="n">
        <v>33.9</v>
      </c>
      <c r="O997" s="3" t="n"/>
      <c r="P997" s="3">
        <f>IF(L997&lt;&gt;"",L997/1.4,"")</f>
        <v/>
      </c>
      <c r="Q997" s="3">
        <f>IF(L997&lt;&gt;"",L997/1.56,"")</f>
        <v/>
      </c>
      <c r="R997" s="3">
        <f>IF(M997&lt;&gt;"",M997/1.4,"")</f>
        <v/>
      </c>
      <c r="S997" s="3">
        <f>IF(M997&lt;&gt;"",M997/1.56,"")</f>
        <v/>
      </c>
      <c r="T997" s="3">
        <f>IF(N997&lt;&gt;"",N997,IF(O997&lt;&gt;"",O997,IF(L997&lt;&gt;"",L997/1.56,IF(M997&lt;&gt;"",M997/1.56,""))))</f>
        <v/>
      </c>
      <c r="U997" s="3" t="n">
        <v>180</v>
      </c>
      <c r="V997" s="3" t="n">
        <v>108</v>
      </c>
      <c r="W997" s="3" t="n"/>
      <c r="X997" s="4" t="n"/>
      <c r="Y997" s="5" t="n">
        <v>0.5580000000000001</v>
      </c>
      <c r="Z997" s="4">
        <f>IF(L997&lt;&gt;"",SQRT(3)*G997*L997/1000,"")</f>
        <v/>
      </c>
      <c r="AA997" t="inlineStr">
        <is>
          <t>Source=Copeland 2D/3D/4D/4R/6D/8D/9R compressors (pdf) p44; PWS_RLA=17.0</t>
        </is>
      </c>
      <c r="AB997" t="inlineStr">
        <is>
          <t>Copeland_RLA_230_460_3ph_60Hz.xlsx</t>
        </is>
      </c>
      <c r="AC997" t="inlineStr">
        <is>
          <t>Recip_2D-9R</t>
        </is>
      </c>
    </row>
    <row r="998">
      <c r="A998" t="inlineStr">
        <is>
          <t>COPELAND</t>
        </is>
      </c>
      <c r="B998" t="inlineStr">
        <is>
          <t>4DT3F76KE-TSK</t>
        </is>
      </c>
      <c r="D998" t="inlineStr">
        <is>
          <t>Reciprocating Semi-hermetic</t>
        </is>
      </c>
      <c r="E998" s="2" t="n">
        <v>3</v>
      </c>
      <c r="F998" s="2" t="n">
        <v>60</v>
      </c>
      <c r="G998" s="2" t="n">
        <v>230</v>
      </c>
      <c r="H998" t="inlineStr">
        <is>
          <t>208/230</t>
        </is>
      </c>
      <c r="I998" s="2" t="n">
        <v>208</v>
      </c>
      <c r="J998" s="2" t="n">
        <v>230</v>
      </c>
      <c r="L998" s="3" t="n"/>
      <c r="M998" s="3" t="n"/>
      <c r="N998" s="3" t="n">
        <v>66</v>
      </c>
      <c r="O998" s="3" t="n"/>
      <c r="P998" s="3">
        <f>IF(L998&lt;&gt;"",L998/1.4,"")</f>
        <v/>
      </c>
      <c r="Q998" s="3">
        <f>IF(L998&lt;&gt;"",L998/1.56,"")</f>
        <v/>
      </c>
      <c r="R998" s="3">
        <f>IF(M998&lt;&gt;"",M998/1.4,"")</f>
        <v/>
      </c>
      <c r="S998" s="3">
        <f>IF(M998&lt;&gt;"",M998/1.56,"")</f>
        <v/>
      </c>
      <c r="T998" s="3">
        <f>IF(N998&lt;&gt;"",N998,IF(O998&lt;&gt;"",O998,IF(L998&lt;&gt;"",L998/1.56,IF(M998&lt;&gt;"",M998/1.56,""))))</f>
        <v/>
      </c>
      <c r="U998" s="3" t="n">
        <v>374</v>
      </c>
      <c r="V998" s="3" t="n">
        <v>222</v>
      </c>
      <c r="W998" s="3" t="n"/>
      <c r="X998" s="4" t="n"/>
      <c r="Y998" s="5" t="n">
        <v>0.14</v>
      </c>
      <c r="Z998" s="4">
        <f>IF(L998&lt;&gt;"",SQRT(3)*G998*L998/1000,"")</f>
        <v/>
      </c>
      <c r="AA998" t="inlineStr">
        <is>
          <t>Source=Copeland 2D/3D/4D/4R/6D/8D/9R compressors (pdf) p44; PWS_RLA=33.0</t>
        </is>
      </c>
      <c r="AB998" t="inlineStr">
        <is>
          <t>Copeland_RLA_230_460_3ph_60Hz.xlsx</t>
        </is>
      </c>
      <c r="AC998" t="inlineStr">
        <is>
          <t>Recip_2D-9R</t>
        </is>
      </c>
    </row>
    <row r="999">
      <c r="A999" t="inlineStr">
        <is>
          <t>COPELAND</t>
        </is>
      </c>
      <c r="B999" t="inlineStr">
        <is>
          <t>4DT3F76KE-TSK</t>
        </is>
      </c>
      <c r="D999" t="inlineStr">
        <is>
          <t>Reciprocating Semi-hermetic</t>
        </is>
      </c>
      <c r="E999" s="2" t="n">
        <v>3</v>
      </c>
      <c r="F999" s="2" t="n">
        <v>60</v>
      </c>
      <c r="G999" s="2" t="n">
        <v>460</v>
      </c>
      <c r="H999" t="inlineStr">
        <is>
          <t>460</t>
        </is>
      </c>
      <c r="I999" s="2" t="n">
        <v>460</v>
      </c>
      <c r="J999" s="2" t="n">
        <v>460</v>
      </c>
      <c r="L999" s="3" t="n"/>
      <c r="M999" s="3" t="n"/>
      <c r="N999" s="3" t="n">
        <v>33</v>
      </c>
      <c r="O999" s="3" t="n"/>
      <c r="P999" s="3">
        <f>IF(L999&lt;&gt;"",L999/1.4,"")</f>
        <v/>
      </c>
      <c r="Q999" s="3">
        <f>IF(L999&lt;&gt;"",L999/1.56,"")</f>
        <v/>
      </c>
      <c r="R999" s="3">
        <f>IF(M999&lt;&gt;"",M999/1.4,"")</f>
        <v/>
      </c>
      <c r="S999" s="3">
        <f>IF(M999&lt;&gt;"",M999/1.56,"")</f>
        <v/>
      </c>
      <c r="T999" s="3">
        <f>IF(N999&lt;&gt;"",N999,IF(O999&lt;&gt;"",O999,IF(L999&lt;&gt;"",L999/1.56,IF(M999&lt;&gt;"",M999/1.56,""))))</f>
        <v/>
      </c>
      <c r="U999" s="3" t="n">
        <v>187</v>
      </c>
      <c r="V999" s="3" t="n"/>
      <c r="W999" s="3" t="n"/>
      <c r="X999" s="4" t="n"/>
      <c r="Y999" s="5" t="n">
        <v>0.5600000000000001</v>
      </c>
      <c r="Z999" s="4">
        <f>IF(L999&lt;&gt;"",SQRT(3)*G999*L999/1000,"")</f>
        <v/>
      </c>
      <c r="AA999" t="inlineStr">
        <is>
          <t>Source=Copeland 2D/3D/4D/4R/6D/8D/9R compressors (pdf) p44</t>
        </is>
      </c>
      <c r="AB999" t="inlineStr">
        <is>
          <t>Copeland_RLA_230_460_3ph_60Hz.xlsx</t>
        </is>
      </c>
      <c r="AC999" t="inlineStr">
        <is>
          <t>Recip_2D-9R</t>
        </is>
      </c>
    </row>
    <row r="1000">
      <c r="A1000" t="inlineStr">
        <is>
          <t>COPELAND</t>
        </is>
      </c>
      <c r="B1000" t="inlineStr">
        <is>
          <t>4DT3F76KL-FSD</t>
        </is>
      </c>
      <c r="D1000" t="inlineStr">
        <is>
          <t>Reciprocating Semi-hermetic</t>
        </is>
      </c>
      <c r="E1000" s="2" t="n">
        <v>3</v>
      </c>
      <c r="F1000" s="2" t="n">
        <v>60</v>
      </c>
      <c r="G1000" s="2" t="n">
        <v>460</v>
      </c>
      <c r="H1000" t="inlineStr">
        <is>
          <t>460</t>
        </is>
      </c>
      <c r="I1000" s="2" t="n">
        <v>460</v>
      </c>
      <c r="J1000" s="2" t="n">
        <v>460</v>
      </c>
      <c r="L1000" s="3" t="n"/>
      <c r="M1000" s="3" t="n"/>
      <c r="N1000" s="3" t="n">
        <v>33.9</v>
      </c>
      <c r="O1000" s="3" t="n"/>
      <c r="P1000" s="3">
        <f>IF(L1000&lt;&gt;"",L1000/1.4,"")</f>
        <v/>
      </c>
      <c r="Q1000" s="3">
        <f>IF(L1000&lt;&gt;"",L1000/1.56,"")</f>
        <v/>
      </c>
      <c r="R1000" s="3">
        <f>IF(M1000&lt;&gt;"",M1000/1.4,"")</f>
        <v/>
      </c>
      <c r="S1000" s="3">
        <f>IF(M1000&lt;&gt;"",M1000/1.56,"")</f>
        <v/>
      </c>
      <c r="T1000" s="3">
        <f>IF(N1000&lt;&gt;"",N1000,IF(O1000&lt;&gt;"",O1000,IF(L1000&lt;&gt;"",L1000/1.56,IF(M1000&lt;&gt;"",M1000/1.56,""))))</f>
        <v/>
      </c>
      <c r="U1000" s="3" t="n">
        <v>180</v>
      </c>
      <c r="V1000" s="3" t="n">
        <v>108</v>
      </c>
      <c r="W1000" s="3" t="n"/>
      <c r="X1000" s="4" t="n"/>
      <c r="Y1000" s="5" t="n">
        <v>0.5580000000000001</v>
      </c>
      <c r="Z1000" s="4">
        <f>IF(L1000&lt;&gt;"",SQRT(3)*G1000*L1000/1000,"")</f>
        <v/>
      </c>
      <c r="AA1000" t="inlineStr">
        <is>
          <t>Source=Copeland 2D/3D/4D/4R/6D/8D/9R compressors (pdf) p44; PWS_RLA=17.0</t>
        </is>
      </c>
      <c r="AB1000" t="inlineStr">
        <is>
          <t>Copeland_RLA_230_460_3ph_60Hz.xlsx</t>
        </is>
      </c>
      <c r="AC1000" t="inlineStr">
        <is>
          <t>Recip_2D-9R</t>
        </is>
      </c>
    </row>
    <row r="1001">
      <c r="A1001" t="inlineStr">
        <is>
          <t>COPELAND</t>
        </is>
      </c>
      <c r="B1001" t="inlineStr">
        <is>
          <t>4DT3F76KL-TSK</t>
        </is>
      </c>
      <c r="D1001" t="inlineStr">
        <is>
          <t>Reciprocating Semi-hermetic</t>
        </is>
      </c>
      <c r="E1001" s="2" t="n">
        <v>3</v>
      </c>
      <c r="F1001" s="2" t="n">
        <v>60</v>
      </c>
      <c r="G1001" s="2" t="n">
        <v>230</v>
      </c>
      <c r="H1001" t="inlineStr">
        <is>
          <t>208/230</t>
        </is>
      </c>
      <c r="I1001" s="2" t="n">
        <v>208</v>
      </c>
      <c r="J1001" s="2" t="n">
        <v>230</v>
      </c>
      <c r="L1001" s="3" t="n"/>
      <c r="M1001" s="3" t="n"/>
      <c r="N1001" s="3" t="n">
        <v>66</v>
      </c>
      <c r="O1001" s="3" t="n"/>
      <c r="P1001" s="3">
        <f>IF(L1001&lt;&gt;"",L1001/1.4,"")</f>
        <v/>
      </c>
      <c r="Q1001" s="3">
        <f>IF(L1001&lt;&gt;"",L1001/1.56,"")</f>
        <v/>
      </c>
      <c r="R1001" s="3">
        <f>IF(M1001&lt;&gt;"",M1001/1.4,"")</f>
        <v/>
      </c>
      <c r="S1001" s="3">
        <f>IF(M1001&lt;&gt;"",M1001/1.56,"")</f>
        <v/>
      </c>
      <c r="T1001" s="3">
        <f>IF(N1001&lt;&gt;"",N1001,IF(O1001&lt;&gt;"",O1001,IF(L1001&lt;&gt;"",L1001/1.56,IF(M1001&lt;&gt;"",M1001/1.56,""))))</f>
        <v/>
      </c>
      <c r="U1001" s="3" t="n">
        <v>374</v>
      </c>
      <c r="V1001" s="3" t="n">
        <v>222</v>
      </c>
      <c r="W1001" s="3" t="n"/>
      <c r="X1001" s="4" t="n"/>
      <c r="Y1001" s="5" t="n">
        <v>0.14</v>
      </c>
      <c r="Z1001" s="4">
        <f>IF(L1001&lt;&gt;"",SQRT(3)*G1001*L1001/1000,"")</f>
        <v/>
      </c>
      <c r="AA1001" t="inlineStr">
        <is>
          <t>Source=Copeland 2D/3D/4D/4R/6D/8D/9R compressors (pdf) p44; PWS_RLA=33.0</t>
        </is>
      </c>
      <c r="AB1001" t="inlineStr">
        <is>
          <t>Copeland_RLA_230_460_3ph_60Hz.xlsx</t>
        </is>
      </c>
      <c r="AC1001" t="inlineStr">
        <is>
          <t>Recip_2D-9R</t>
        </is>
      </c>
    </row>
    <row r="1002">
      <c r="A1002" t="inlineStr">
        <is>
          <t>COPELAND</t>
        </is>
      </c>
      <c r="B1002" t="inlineStr">
        <is>
          <t>4DT3F76KL-TSK</t>
        </is>
      </c>
      <c r="D1002" t="inlineStr">
        <is>
          <t>Reciprocating Semi-hermetic</t>
        </is>
      </c>
      <c r="E1002" s="2" t="n">
        <v>3</v>
      </c>
      <c r="F1002" s="2" t="n">
        <v>60</v>
      </c>
      <c r="G1002" s="2" t="n">
        <v>460</v>
      </c>
      <c r="H1002" t="inlineStr">
        <is>
          <t>460</t>
        </is>
      </c>
      <c r="I1002" s="2" t="n">
        <v>460</v>
      </c>
      <c r="J1002" s="2" t="n">
        <v>460</v>
      </c>
      <c r="L1002" s="3" t="n"/>
      <c r="M1002" s="3" t="n"/>
      <c r="N1002" s="3" t="n">
        <v>33</v>
      </c>
      <c r="O1002" s="3" t="n"/>
      <c r="P1002" s="3">
        <f>IF(L1002&lt;&gt;"",L1002/1.4,"")</f>
        <v/>
      </c>
      <c r="Q1002" s="3">
        <f>IF(L1002&lt;&gt;"",L1002/1.56,"")</f>
        <v/>
      </c>
      <c r="R1002" s="3">
        <f>IF(M1002&lt;&gt;"",M1002/1.4,"")</f>
        <v/>
      </c>
      <c r="S1002" s="3">
        <f>IF(M1002&lt;&gt;"",M1002/1.56,"")</f>
        <v/>
      </c>
      <c r="T1002" s="3">
        <f>IF(N1002&lt;&gt;"",N1002,IF(O1002&lt;&gt;"",O1002,IF(L1002&lt;&gt;"",L1002/1.56,IF(M1002&lt;&gt;"",M1002/1.56,""))))</f>
        <v/>
      </c>
      <c r="U1002" s="3" t="n">
        <v>187</v>
      </c>
      <c r="V1002" s="3" t="n"/>
      <c r="W1002" s="3" t="n"/>
      <c r="X1002" s="4" t="n"/>
      <c r="Y1002" s="5" t="n">
        <v>0.5600000000000001</v>
      </c>
      <c r="Z1002" s="4">
        <f>IF(L1002&lt;&gt;"",SQRT(3)*G1002*L1002/1000,"")</f>
        <v/>
      </c>
      <c r="AA1002" t="inlineStr">
        <is>
          <t>Source=Copeland 2D/3D/4D/4R/6D/8D/9R compressors (pdf) p44</t>
        </is>
      </c>
      <c r="AB1002" t="inlineStr">
        <is>
          <t>Copeland_RLA_230_460_3ph_60Hz.xlsx</t>
        </is>
      </c>
      <c r="AC1002" t="inlineStr">
        <is>
          <t>Recip_2D-9R</t>
        </is>
      </c>
    </row>
    <row r="1003">
      <c r="A1003" t="inlineStr">
        <is>
          <t>COPELAND</t>
        </is>
      </c>
      <c r="B1003" t="inlineStr">
        <is>
          <t>4DTDF76KL-TSK</t>
        </is>
      </c>
      <c r="D1003" t="inlineStr">
        <is>
          <t>Reciprocating Semi-hermetic</t>
        </is>
      </c>
      <c r="E1003" s="2" t="n">
        <v>3</v>
      </c>
      <c r="F1003" s="2" t="n">
        <v>60</v>
      </c>
      <c r="G1003" s="2" t="n">
        <v>230</v>
      </c>
      <c r="H1003" t="inlineStr">
        <is>
          <t>208/230</t>
        </is>
      </c>
      <c r="I1003" s="2" t="n">
        <v>208</v>
      </c>
      <c r="J1003" s="2" t="n">
        <v>230</v>
      </c>
      <c r="L1003" s="3" t="n"/>
      <c r="M1003" s="3" t="n"/>
      <c r="N1003" s="3" t="n">
        <v>66</v>
      </c>
      <c r="O1003" s="3" t="n"/>
      <c r="P1003" s="3">
        <f>IF(L1003&lt;&gt;"",L1003/1.4,"")</f>
        <v/>
      </c>
      <c r="Q1003" s="3">
        <f>IF(L1003&lt;&gt;"",L1003/1.56,"")</f>
        <v/>
      </c>
      <c r="R1003" s="3">
        <f>IF(M1003&lt;&gt;"",M1003/1.4,"")</f>
        <v/>
      </c>
      <c r="S1003" s="3">
        <f>IF(M1003&lt;&gt;"",M1003/1.56,"")</f>
        <v/>
      </c>
      <c r="T1003" s="3">
        <f>IF(N1003&lt;&gt;"",N1003,IF(O1003&lt;&gt;"",O1003,IF(L1003&lt;&gt;"",L1003/1.56,IF(M1003&lt;&gt;"",M1003/1.56,""))))</f>
        <v/>
      </c>
      <c r="U1003" s="3" t="n">
        <v>374</v>
      </c>
      <c r="V1003" s="3" t="n">
        <v>222</v>
      </c>
      <c r="W1003" s="3" t="n"/>
      <c r="X1003" s="4" t="n"/>
      <c r="Y1003" s="5" t="n">
        <v>0.14</v>
      </c>
      <c r="Z1003" s="4">
        <f>IF(L1003&lt;&gt;"",SQRT(3)*G1003*L1003/1000,"")</f>
        <v/>
      </c>
      <c r="AA1003" t="inlineStr">
        <is>
          <t>Source=Copeland 2D/3D/4D/4R/6D/8D/9R compressors (pdf) p44; PWS_RLA=33.0</t>
        </is>
      </c>
      <c r="AB1003" t="inlineStr">
        <is>
          <t>Copeland_RLA_230_460_3ph_60Hz.xlsx</t>
        </is>
      </c>
      <c r="AC1003" t="inlineStr">
        <is>
          <t>Recip_2D-9R</t>
        </is>
      </c>
    </row>
    <row r="1004">
      <c r="A1004" t="inlineStr">
        <is>
          <t>COPELAND</t>
        </is>
      </c>
      <c r="B1004" t="inlineStr">
        <is>
          <t>4DTDF76KL-TSK</t>
        </is>
      </c>
      <c r="D1004" t="inlineStr">
        <is>
          <t>Reciprocating Semi-hermetic</t>
        </is>
      </c>
      <c r="E1004" s="2" t="n">
        <v>3</v>
      </c>
      <c r="F1004" s="2" t="n">
        <v>60</v>
      </c>
      <c r="G1004" s="2" t="n">
        <v>460</v>
      </c>
      <c r="H1004" t="inlineStr">
        <is>
          <t>460</t>
        </is>
      </c>
      <c r="I1004" s="2" t="n">
        <v>460</v>
      </c>
      <c r="J1004" s="2" t="n">
        <v>460</v>
      </c>
      <c r="L1004" s="3" t="n"/>
      <c r="M1004" s="3" t="n"/>
      <c r="N1004" s="3" t="n">
        <v>33</v>
      </c>
      <c r="O1004" s="3" t="n"/>
      <c r="P1004" s="3">
        <f>IF(L1004&lt;&gt;"",L1004/1.4,"")</f>
        <v/>
      </c>
      <c r="Q1004" s="3">
        <f>IF(L1004&lt;&gt;"",L1004/1.56,"")</f>
        <v/>
      </c>
      <c r="R1004" s="3">
        <f>IF(M1004&lt;&gt;"",M1004/1.4,"")</f>
        <v/>
      </c>
      <c r="S1004" s="3">
        <f>IF(M1004&lt;&gt;"",M1004/1.56,"")</f>
        <v/>
      </c>
      <c r="T1004" s="3">
        <f>IF(N1004&lt;&gt;"",N1004,IF(O1004&lt;&gt;"",O1004,IF(L1004&lt;&gt;"",L1004/1.56,IF(M1004&lt;&gt;"",M1004/1.56,""))))</f>
        <v/>
      </c>
      <c r="U1004" s="3" t="n">
        <v>187</v>
      </c>
      <c r="V1004" s="3" t="n"/>
      <c r="W1004" s="3" t="n"/>
      <c r="X1004" s="4" t="n"/>
      <c r="Y1004" s="5" t="n">
        <v>0.5600000000000001</v>
      </c>
      <c r="Z1004" s="4">
        <f>IF(L1004&lt;&gt;"",SQRT(3)*G1004*L1004/1000,"")</f>
        <v/>
      </c>
      <c r="AA1004" t="inlineStr">
        <is>
          <t>Source=Copeland 2D/3D/4D/4R/6D/8D/9R compressors (pdf) p44</t>
        </is>
      </c>
      <c r="AB1004" t="inlineStr">
        <is>
          <t>Copeland_RLA_230_460_3ph_60Hz.xlsx</t>
        </is>
      </c>
      <c r="AC1004" t="inlineStr">
        <is>
          <t>Recip_2D-9R</t>
        </is>
      </c>
    </row>
    <row r="1005">
      <c r="A1005" t="inlineStr">
        <is>
          <t>COPELAND</t>
        </is>
      </c>
      <c r="B1005" t="inlineStr">
        <is>
          <t>4DTG-2200-FSD</t>
        </is>
      </c>
      <c r="D1005" t="inlineStr">
        <is>
          <t>Reciprocating Semi-hermetic</t>
        </is>
      </c>
      <c r="E1005" s="2" t="n">
        <v>3</v>
      </c>
      <c r="F1005" s="2" t="n">
        <v>60</v>
      </c>
      <c r="G1005" s="2" t="n">
        <v>460</v>
      </c>
      <c r="H1005" t="inlineStr">
        <is>
          <t>460</t>
        </is>
      </c>
      <c r="I1005" s="2" t="n">
        <v>460</v>
      </c>
      <c r="J1005" s="2" t="n">
        <v>460</v>
      </c>
      <c r="L1005" s="3" t="n"/>
      <c r="M1005" s="3" t="n"/>
      <c r="N1005" s="3" t="n">
        <v>33.9</v>
      </c>
      <c r="O1005" s="3" t="n"/>
      <c r="P1005" s="3">
        <f>IF(L1005&lt;&gt;"",L1005/1.4,"")</f>
        <v/>
      </c>
      <c r="Q1005" s="3">
        <f>IF(L1005&lt;&gt;"",L1005/1.56,"")</f>
        <v/>
      </c>
      <c r="R1005" s="3">
        <f>IF(M1005&lt;&gt;"",M1005/1.4,"")</f>
        <v/>
      </c>
      <c r="S1005" s="3">
        <f>IF(M1005&lt;&gt;"",M1005/1.56,"")</f>
        <v/>
      </c>
      <c r="T1005" s="3">
        <f>IF(N1005&lt;&gt;"",N1005,IF(O1005&lt;&gt;"",O1005,IF(L1005&lt;&gt;"",L1005/1.56,IF(M1005&lt;&gt;"",M1005/1.56,""))))</f>
        <v/>
      </c>
      <c r="U1005" s="3" t="n">
        <v>180</v>
      </c>
      <c r="V1005" s="3" t="n">
        <v>108</v>
      </c>
      <c r="W1005" s="3" t="n"/>
      <c r="X1005" s="4" t="n"/>
      <c r="Y1005" s="5" t="n">
        <v>0.5580000000000001</v>
      </c>
      <c r="Z1005" s="4">
        <f>IF(L1005&lt;&gt;"",SQRT(3)*G1005*L1005/1000,"")</f>
        <v/>
      </c>
      <c r="AA1005" t="inlineStr">
        <is>
          <t>Source=Copeland 2D/3D/4D/4R/6D/8D/9R compressors (pdf) p44; PWS_RLA=17.0</t>
        </is>
      </c>
      <c r="AB1005" t="inlineStr">
        <is>
          <t>Copeland_RLA_230_460_3ph_60Hz.xlsx</t>
        </is>
      </c>
      <c r="AC1005" t="inlineStr">
        <is>
          <t>Recip_2D-9R</t>
        </is>
      </c>
    </row>
    <row r="1006">
      <c r="A1006" t="inlineStr">
        <is>
          <t>COPELAND</t>
        </is>
      </c>
      <c r="B1006" t="inlineStr">
        <is>
          <t>4DTG-2200-TSK</t>
        </is>
      </c>
      <c r="D1006" t="inlineStr">
        <is>
          <t>Reciprocating Semi-hermetic</t>
        </is>
      </c>
      <c r="E1006" s="2" t="n">
        <v>3</v>
      </c>
      <c r="F1006" s="2" t="n">
        <v>60</v>
      </c>
      <c r="G1006" s="2" t="n">
        <v>230</v>
      </c>
      <c r="H1006" t="inlineStr">
        <is>
          <t>208/230</t>
        </is>
      </c>
      <c r="I1006" s="2" t="n">
        <v>208</v>
      </c>
      <c r="J1006" s="2" t="n">
        <v>230</v>
      </c>
      <c r="L1006" s="3" t="n"/>
      <c r="M1006" s="3" t="n"/>
      <c r="N1006" s="3" t="n">
        <v>66</v>
      </c>
      <c r="O1006" s="3" t="n"/>
      <c r="P1006" s="3">
        <f>IF(L1006&lt;&gt;"",L1006/1.4,"")</f>
        <v/>
      </c>
      <c r="Q1006" s="3">
        <f>IF(L1006&lt;&gt;"",L1006/1.56,"")</f>
        <v/>
      </c>
      <c r="R1006" s="3">
        <f>IF(M1006&lt;&gt;"",M1006/1.4,"")</f>
        <v/>
      </c>
      <c r="S1006" s="3">
        <f>IF(M1006&lt;&gt;"",M1006/1.56,"")</f>
        <v/>
      </c>
      <c r="T1006" s="3">
        <f>IF(N1006&lt;&gt;"",N1006,IF(O1006&lt;&gt;"",O1006,IF(L1006&lt;&gt;"",L1006/1.56,IF(M1006&lt;&gt;"",M1006/1.56,""))))</f>
        <v/>
      </c>
      <c r="U1006" s="3" t="n">
        <v>374</v>
      </c>
      <c r="V1006" s="3" t="n">
        <v>222</v>
      </c>
      <c r="W1006" s="3" t="n"/>
      <c r="X1006" s="4" t="n"/>
      <c r="Y1006" s="5" t="n">
        <v>0.14</v>
      </c>
      <c r="Z1006" s="4">
        <f>IF(L1006&lt;&gt;"",SQRT(3)*G1006*L1006/1000,"")</f>
        <v/>
      </c>
      <c r="AA1006" t="inlineStr">
        <is>
          <t>Source=Copeland 2D/3D/4D/4R/6D/8D/9R compressors (pdf) p44; PWS_RLA=33.0</t>
        </is>
      </c>
      <c r="AB1006" t="inlineStr">
        <is>
          <t>Copeland_RLA_230_460_3ph_60Hz.xlsx</t>
        </is>
      </c>
      <c r="AC1006" t="inlineStr">
        <is>
          <t>Recip_2D-9R</t>
        </is>
      </c>
    </row>
    <row r="1007">
      <c r="A1007" t="inlineStr">
        <is>
          <t>COPELAND</t>
        </is>
      </c>
      <c r="B1007" t="inlineStr">
        <is>
          <t>4DTG-2200-TSK</t>
        </is>
      </c>
      <c r="D1007" t="inlineStr">
        <is>
          <t>Reciprocating Semi-hermetic</t>
        </is>
      </c>
      <c r="E1007" s="2" t="n">
        <v>3</v>
      </c>
      <c r="F1007" s="2" t="n">
        <v>60</v>
      </c>
      <c r="G1007" s="2" t="n">
        <v>460</v>
      </c>
      <c r="H1007" t="inlineStr">
        <is>
          <t>460</t>
        </is>
      </c>
      <c r="I1007" s="2" t="n">
        <v>460</v>
      </c>
      <c r="J1007" s="2" t="n">
        <v>460</v>
      </c>
      <c r="L1007" s="3" t="n"/>
      <c r="M1007" s="3" t="n"/>
      <c r="N1007" s="3" t="n">
        <v>33</v>
      </c>
      <c r="O1007" s="3" t="n"/>
      <c r="P1007" s="3">
        <f>IF(L1007&lt;&gt;"",L1007/1.4,"")</f>
        <v/>
      </c>
      <c r="Q1007" s="3">
        <f>IF(L1007&lt;&gt;"",L1007/1.56,"")</f>
        <v/>
      </c>
      <c r="R1007" s="3">
        <f>IF(M1007&lt;&gt;"",M1007/1.4,"")</f>
        <v/>
      </c>
      <c r="S1007" s="3">
        <f>IF(M1007&lt;&gt;"",M1007/1.56,"")</f>
        <v/>
      </c>
      <c r="T1007" s="3">
        <f>IF(N1007&lt;&gt;"",N1007,IF(O1007&lt;&gt;"",O1007,IF(L1007&lt;&gt;"",L1007/1.56,IF(M1007&lt;&gt;"",M1007/1.56,""))))</f>
        <v/>
      </c>
      <c r="U1007" s="3" t="n">
        <v>187</v>
      </c>
      <c r="V1007" s="3" t="n"/>
      <c r="W1007" s="3" t="n"/>
      <c r="X1007" s="4" t="n"/>
      <c r="Y1007" s="5" t="n">
        <v>0.5600000000000001</v>
      </c>
      <c r="Z1007" s="4">
        <f>IF(L1007&lt;&gt;"",SQRT(3)*G1007*L1007/1000,"")</f>
        <v/>
      </c>
      <c r="AA1007" t="inlineStr">
        <is>
          <t>Source=Copeland 2D/3D/4D/4R/6D/8D/9R compressors (pdf) p44</t>
        </is>
      </c>
      <c r="AB1007" t="inlineStr">
        <is>
          <t>Copeland_RLA_230_460_3ph_60Hz.xlsx</t>
        </is>
      </c>
      <c r="AC1007" t="inlineStr">
        <is>
          <t>Recip_2D-9R</t>
        </is>
      </c>
    </row>
    <row r="1008">
      <c r="A1008" t="inlineStr">
        <is>
          <t>COPELAND</t>
        </is>
      </c>
      <c r="B1008" t="inlineStr">
        <is>
          <t>4DTG-220E-FSD</t>
        </is>
      </c>
      <c r="D1008" t="inlineStr">
        <is>
          <t>Reciprocating Semi-hermetic</t>
        </is>
      </c>
      <c r="E1008" s="2" t="n">
        <v>3</v>
      </c>
      <c r="F1008" s="2" t="n">
        <v>60</v>
      </c>
      <c r="G1008" s="2" t="n">
        <v>460</v>
      </c>
      <c r="H1008" t="inlineStr">
        <is>
          <t>460</t>
        </is>
      </c>
      <c r="I1008" s="2" t="n">
        <v>460</v>
      </c>
      <c r="J1008" s="2" t="n">
        <v>460</v>
      </c>
      <c r="L1008" s="3" t="n"/>
      <c r="M1008" s="3" t="n"/>
      <c r="N1008" s="3" t="n">
        <v>33.9</v>
      </c>
      <c r="O1008" s="3" t="n"/>
      <c r="P1008" s="3">
        <f>IF(L1008&lt;&gt;"",L1008/1.4,"")</f>
        <v/>
      </c>
      <c r="Q1008" s="3">
        <f>IF(L1008&lt;&gt;"",L1008/1.56,"")</f>
        <v/>
      </c>
      <c r="R1008" s="3">
        <f>IF(M1008&lt;&gt;"",M1008/1.4,"")</f>
        <v/>
      </c>
      <c r="S1008" s="3">
        <f>IF(M1008&lt;&gt;"",M1008/1.56,"")</f>
        <v/>
      </c>
      <c r="T1008" s="3">
        <f>IF(N1008&lt;&gt;"",N1008,IF(O1008&lt;&gt;"",O1008,IF(L1008&lt;&gt;"",L1008/1.56,IF(M1008&lt;&gt;"",M1008/1.56,""))))</f>
        <v/>
      </c>
      <c r="U1008" s="3" t="n">
        <v>180</v>
      </c>
      <c r="V1008" s="3" t="n">
        <v>108</v>
      </c>
      <c r="W1008" s="3" t="n"/>
      <c r="X1008" s="4" t="n"/>
      <c r="Y1008" s="5" t="n">
        <v>0.5580000000000001</v>
      </c>
      <c r="Z1008" s="4">
        <f>IF(L1008&lt;&gt;"",SQRT(3)*G1008*L1008/1000,"")</f>
        <v/>
      </c>
      <c r="AA1008" t="inlineStr">
        <is>
          <t>Source=Copeland 2D/3D/4D/4R/6D/8D/9R compressors (pdf) p44; PWS_RLA=17.0</t>
        </is>
      </c>
      <c r="AB1008" t="inlineStr">
        <is>
          <t>Copeland_RLA_230_460_3ph_60Hz.xlsx</t>
        </is>
      </c>
      <c r="AC1008" t="inlineStr">
        <is>
          <t>Recip_2D-9R</t>
        </is>
      </c>
    </row>
    <row r="1009">
      <c r="A1009" t="inlineStr">
        <is>
          <t>COPELAND</t>
        </is>
      </c>
      <c r="B1009" t="inlineStr">
        <is>
          <t>4DTG-220E-TSK</t>
        </is>
      </c>
      <c r="D1009" t="inlineStr">
        <is>
          <t>Reciprocating Semi-hermetic</t>
        </is>
      </c>
      <c r="E1009" s="2" t="n">
        <v>3</v>
      </c>
      <c r="F1009" s="2" t="n">
        <v>60</v>
      </c>
      <c r="G1009" s="2" t="n">
        <v>230</v>
      </c>
      <c r="H1009" t="inlineStr">
        <is>
          <t>208/230</t>
        </is>
      </c>
      <c r="I1009" s="2" t="n">
        <v>208</v>
      </c>
      <c r="J1009" s="2" t="n">
        <v>230</v>
      </c>
      <c r="L1009" s="3" t="n"/>
      <c r="M1009" s="3" t="n"/>
      <c r="N1009" s="3" t="n">
        <v>66</v>
      </c>
      <c r="O1009" s="3" t="n"/>
      <c r="P1009" s="3">
        <f>IF(L1009&lt;&gt;"",L1009/1.4,"")</f>
        <v/>
      </c>
      <c r="Q1009" s="3">
        <f>IF(L1009&lt;&gt;"",L1009/1.56,"")</f>
        <v/>
      </c>
      <c r="R1009" s="3">
        <f>IF(M1009&lt;&gt;"",M1009/1.4,"")</f>
        <v/>
      </c>
      <c r="S1009" s="3">
        <f>IF(M1009&lt;&gt;"",M1009/1.56,"")</f>
        <v/>
      </c>
      <c r="T1009" s="3">
        <f>IF(N1009&lt;&gt;"",N1009,IF(O1009&lt;&gt;"",O1009,IF(L1009&lt;&gt;"",L1009/1.56,IF(M1009&lt;&gt;"",M1009/1.56,""))))</f>
        <v/>
      </c>
      <c r="U1009" s="3" t="n">
        <v>374</v>
      </c>
      <c r="V1009" s="3" t="n">
        <v>222</v>
      </c>
      <c r="W1009" s="3" t="n"/>
      <c r="X1009" s="4" t="n"/>
      <c r="Y1009" s="5" t="n">
        <v>0.14</v>
      </c>
      <c r="Z1009" s="4">
        <f>IF(L1009&lt;&gt;"",SQRT(3)*G1009*L1009/1000,"")</f>
        <v/>
      </c>
      <c r="AA1009" t="inlineStr">
        <is>
          <t>Source=Copeland 2D/3D/4D/4R/6D/8D/9R compressors (pdf) p44; PWS_RLA=33.0</t>
        </is>
      </c>
      <c r="AB1009" t="inlineStr">
        <is>
          <t>Copeland_RLA_230_460_3ph_60Hz.xlsx</t>
        </is>
      </c>
      <c r="AC1009" t="inlineStr">
        <is>
          <t>Recip_2D-9R</t>
        </is>
      </c>
    </row>
    <row r="1010">
      <c r="A1010" t="inlineStr">
        <is>
          <t>COPELAND</t>
        </is>
      </c>
      <c r="B1010" t="inlineStr">
        <is>
          <t>4DTG-220E-TSK</t>
        </is>
      </c>
      <c r="D1010" t="inlineStr">
        <is>
          <t>Reciprocating Semi-hermetic</t>
        </is>
      </c>
      <c r="E1010" s="2" t="n">
        <v>3</v>
      </c>
      <c r="F1010" s="2" t="n">
        <v>60</v>
      </c>
      <c r="G1010" s="2" t="n">
        <v>460</v>
      </c>
      <c r="H1010" t="inlineStr">
        <is>
          <t>460</t>
        </is>
      </c>
      <c r="I1010" s="2" t="n">
        <v>460</v>
      </c>
      <c r="J1010" s="2" t="n">
        <v>460</v>
      </c>
      <c r="L1010" s="3" t="n"/>
      <c r="M1010" s="3" t="n"/>
      <c r="N1010" s="3" t="n">
        <v>33</v>
      </c>
      <c r="O1010" s="3" t="n"/>
      <c r="P1010" s="3">
        <f>IF(L1010&lt;&gt;"",L1010/1.4,"")</f>
        <v/>
      </c>
      <c r="Q1010" s="3">
        <f>IF(L1010&lt;&gt;"",L1010/1.56,"")</f>
        <v/>
      </c>
      <c r="R1010" s="3">
        <f>IF(M1010&lt;&gt;"",M1010/1.4,"")</f>
        <v/>
      </c>
      <c r="S1010" s="3">
        <f>IF(M1010&lt;&gt;"",M1010/1.56,"")</f>
        <v/>
      </c>
      <c r="T1010" s="3">
        <f>IF(N1010&lt;&gt;"",N1010,IF(O1010&lt;&gt;"",O1010,IF(L1010&lt;&gt;"",L1010/1.56,IF(M1010&lt;&gt;"",M1010/1.56,""))))</f>
        <v/>
      </c>
      <c r="U1010" s="3" t="n">
        <v>187</v>
      </c>
      <c r="V1010" s="3" t="n"/>
      <c r="W1010" s="3" t="n"/>
      <c r="X1010" s="4" t="n"/>
      <c r="Y1010" s="5" t="n">
        <v>0.5600000000000001</v>
      </c>
      <c r="Z1010" s="4">
        <f>IF(L1010&lt;&gt;"",SQRT(3)*G1010*L1010/1000,"")</f>
        <v/>
      </c>
      <c r="AA1010" t="inlineStr">
        <is>
          <t>Source=Copeland 2D/3D/4D/4R/6D/8D/9R compressors (pdf) p44</t>
        </is>
      </c>
      <c r="AB1010" t="inlineStr">
        <is>
          <t>Copeland_RLA_230_460_3ph_60Hz.xlsx</t>
        </is>
      </c>
      <c r="AC1010" t="inlineStr">
        <is>
          <t>Recip_2D-9R</t>
        </is>
      </c>
    </row>
    <row r="1011">
      <c r="A1011" t="inlineStr">
        <is>
          <t>COPELAND</t>
        </is>
      </c>
      <c r="B1011" t="inlineStr">
        <is>
          <t>4DTGA220E-FSD</t>
        </is>
      </c>
      <c r="D1011" t="inlineStr">
        <is>
          <t>Reciprocating Semi-hermetic</t>
        </is>
      </c>
      <c r="E1011" s="2" t="n">
        <v>3</v>
      </c>
      <c r="F1011" s="2" t="n">
        <v>60</v>
      </c>
      <c r="G1011" s="2" t="n">
        <v>460</v>
      </c>
      <c r="H1011" t="inlineStr">
        <is>
          <t>460</t>
        </is>
      </c>
      <c r="I1011" s="2" t="n">
        <v>460</v>
      </c>
      <c r="J1011" s="2" t="n">
        <v>460</v>
      </c>
      <c r="L1011" s="3" t="n"/>
      <c r="M1011" s="3" t="n"/>
      <c r="N1011" s="3" t="n">
        <v>33.9</v>
      </c>
      <c r="O1011" s="3" t="n"/>
      <c r="P1011" s="3">
        <f>IF(L1011&lt;&gt;"",L1011/1.4,"")</f>
        <v/>
      </c>
      <c r="Q1011" s="3">
        <f>IF(L1011&lt;&gt;"",L1011/1.56,"")</f>
        <v/>
      </c>
      <c r="R1011" s="3">
        <f>IF(M1011&lt;&gt;"",M1011/1.4,"")</f>
        <v/>
      </c>
      <c r="S1011" s="3">
        <f>IF(M1011&lt;&gt;"",M1011/1.56,"")</f>
        <v/>
      </c>
      <c r="T1011" s="3">
        <f>IF(N1011&lt;&gt;"",N1011,IF(O1011&lt;&gt;"",O1011,IF(L1011&lt;&gt;"",L1011/1.56,IF(M1011&lt;&gt;"",M1011/1.56,""))))</f>
        <v/>
      </c>
      <c r="U1011" s="3" t="n">
        <v>180</v>
      </c>
      <c r="V1011" s="3" t="n">
        <v>108</v>
      </c>
      <c r="W1011" s="3" t="n"/>
      <c r="X1011" s="4" t="n"/>
      <c r="Y1011" s="5" t="n">
        <v>0.5580000000000001</v>
      </c>
      <c r="Z1011" s="4">
        <f>IF(L1011&lt;&gt;"",SQRT(3)*G1011*L1011/1000,"")</f>
        <v/>
      </c>
      <c r="AA1011" t="inlineStr">
        <is>
          <t>Source=Copeland 2D/3D/4D/4R/6D/8D/9R compressors (pdf) p44; PWS_RLA=17.0</t>
        </is>
      </c>
      <c r="AB1011" t="inlineStr">
        <is>
          <t>Copeland_RLA_230_460_3ph_60Hz.xlsx</t>
        </is>
      </c>
      <c r="AC1011" t="inlineStr">
        <is>
          <t>Recip_2D-9R</t>
        </is>
      </c>
    </row>
    <row r="1012">
      <c r="A1012" t="inlineStr">
        <is>
          <t>COPELAND</t>
        </is>
      </c>
      <c r="B1012" t="inlineStr">
        <is>
          <t>4RA3-1000-TSK</t>
        </is>
      </c>
      <c r="D1012" t="inlineStr">
        <is>
          <t>Reciprocating Semi-hermetic</t>
        </is>
      </c>
      <c r="E1012" s="2" t="n">
        <v>3</v>
      </c>
      <c r="F1012" s="2" t="n">
        <v>60</v>
      </c>
      <c r="G1012" s="2" t="n">
        <v>230</v>
      </c>
      <c r="H1012" t="inlineStr">
        <is>
          <t>208/230</t>
        </is>
      </c>
      <c r="I1012" s="2" t="n">
        <v>208</v>
      </c>
      <c r="J1012" s="2" t="n">
        <v>230</v>
      </c>
      <c r="L1012" s="3" t="n"/>
      <c r="M1012" s="3" t="n"/>
      <c r="N1012" s="3" t="n">
        <v>54.9</v>
      </c>
      <c r="O1012" s="3" t="n"/>
      <c r="P1012" s="3">
        <f>IF(L1012&lt;&gt;"",L1012/1.4,"")</f>
        <v/>
      </c>
      <c r="Q1012" s="3">
        <f>IF(L1012&lt;&gt;"",L1012/1.56,"")</f>
        <v/>
      </c>
      <c r="R1012" s="3">
        <f>IF(M1012&lt;&gt;"",M1012/1.4,"")</f>
        <v/>
      </c>
      <c r="S1012" s="3">
        <f>IF(M1012&lt;&gt;"",M1012/1.56,"")</f>
        <v/>
      </c>
      <c r="T1012" s="3">
        <f>IF(N1012&lt;&gt;"",N1012,IF(O1012&lt;&gt;"",O1012,IF(L1012&lt;&gt;"",L1012/1.56,IF(M1012&lt;&gt;"",M1012/1.56,""))))</f>
        <v/>
      </c>
      <c r="U1012" s="3" t="n">
        <v>240</v>
      </c>
      <c r="V1012" s="3" t="n">
        <v>140</v>
      </c>
      <c r="W1012" s="3" t="n"/>
      <c r="X1012" s="4" t="n"/>
      <c r="Y1012" s="5" t="n">
        <v>0.259</v>
      </c>
      <c r="Z1012" s="4">
        <f>IF(L1012&lt;&gt;"",SQRT(3)*G1012*L1012/1000,"")</f>
        <v/>
      </c>
      <c r="AA1012" t="inlineStr">
        <is>
          <t>Source=Copeland 2D/3D/4D/4R/6D/8D/9R compressors (pdf) p44; PWS_RLA=27.4</t>
        </is>
      </c>
      <c r="AB1012" t="inlineStr">
        <is>
          <t>Copeland_RLA_230_460_3ph_60Hz.xlsx</t>
        </is>
      </c>
      <c r="AC1012" t="inlineStr">
        <is>
          <t>Recip_2D-9R</t>
        </is>
      </c>
    </row>
    <row r="1013">
      <c r="A1013" t="inlineStr">
        <is>
          <t>COPELAND</t>
        </is>
      </c>
      <c r="B1013" t="inlineStr">
        <is>
          <t>4RA3-1000-TSK</t>
        </is>
      </c>
      <c r="D1013" t="inlineStr">
        <is>
          <t>Reciprocating Semi-hermetic</t>
        </is>
      </c>
      <c r="E1013" s="2" t="n">
        <v>3</v>
      </c>
      <c r="F1013" s="2" t="n">
        <v>60</v>
      </c>
      <c r="G1013" s="2" t="n">
        <v>460</v>
      </c>
      <c r="H1013" t="inlineStr">
        <is>
          <t>460</t>
        </is>
      </c>
      <c r="I1013" s="2" t="n">
        <v>460</v>
      </c>
      <c r="J1013" s="2" t="n">
        <v>460</v>
      </c>
      <c r="L1013" s="3" t="n"/>
      <c r="M1013" s="3" t="n"/>
      <c r="N1013" s="3" t="n">
        <v>27.4</v>
      </c>
      <c r="O1013" s="3" t="n"/>
      <c r="P1013" s="3">
        <f>IF(L1013&lt;&gt;"",L1013/1.4,"")</f>
        <v/>
      </c>
      <c r="Q1013" s="3">
        <f>IF(L1013&lt;&gt;"",L1013/1.56,"")</f>
        <v/>
      </c>
      <c r="R1013" s="3">
        <f>IF(M1013&lt;&gt;"",M1013/1.4,"")</f>
        <v/>
      </c>
      <c r="S1013" s="3">
        <f>IF(M1013&lt;&gt;"",M1013/1.56,"")</f>
        <v/>
      </c>
      <c r="T1013" s="3">
        <f>IF(N1013&lt;&gt;"",N1013,IF(O1013&lt;&gt;"",O1013,IF(L1013&lt;&gt;"",L1013/1.56,IF(M1013&lt;&gt;"",M1013/1.56,""))))</f>
        <v/>
      </c>
      <c r="U1013" s="3" t="n">
        <v>120</v>
      </c>
      <c r="V1013" s="3" t="n"/>
      <c r="W1013" s="3" t="n"/>
      <c r="X1013" s="4" t="n"/>
      <c r="Y1013" s="5" t="n">
        <v>1.036</v>
      </c>
      <c r="Z1013" s="4">
        <f>IF(L1013&lt;&gt;"",SQRT(3)*G1013*L1013/1000,"")</f>
        <v/>
      </c>
      <c r="AA1013" t="inlineStr">
        <is>
          <t>Source=Copeland 2D/3D/4D/4R/6D/8D/9R compressors (pdf) p44</t>
        </is>
      </c>
      <c r="AB1013" t="inlineStr">
        <is>
          <t>Copeland_RLA_230_460_3ph_60Hz.xlsx</t>
        </is>
      </c>
      <c r="AC1013" t="inlineStr">
        <is>
          <t>Recip_2D-9R</t>
        </is>
      </c>
    </row>
    <row r="1014">
      <c r="A1014" t="inlineStr">
        <is>
          <t>COPELAND</t>
        </is>
      </c>
      <c r="B1014" t="inlineStr">
        <is>
          <t>4RA3-100A-TSK</t>
        </is>
      </c>
      <c r="D1014" t="inlineStr">
        <is>
          <t>Reciprocating Semi-hermetic</t>
        </is>
      </c>
      <c r="E1014" s="2" t="n">
        <v>3</v>
      </c>
      <c r="F1014" s="2" t="n">
        <v>60</v>
      </c>
      <c r="G1014" s="2" t="n">
        <v>230</v>
      </c>
      <c r="H1014" t="inlineStr">
        <is>
          <t>208/230</t>
        </is>
      </c>
      <c r="I1014" s="2" t="n">
        <v>208</v>
      </c>
      <c r="J1014" s="2" t="n">
        <v>230</v>
      </c>
      <c r="L1014" s="3" t="n"/>
      <c r="M1014" s="3" t="n"/>
      <c r="N1014" s="3" t="n">
        <v>54.9</v>
      </c>
      <c r="O1014" s="3" t="n"/>
      <c r="P1014" s="3">
        <f>IF(L1014&lt;&gt;"",L1014/1.4,"")</f>
        <v/>
      </c>
      <c r="Q1014" s="3">
        <f>IF(L1014&lt;&gt;"",L1014/1.56,"")</f>
        <v/>
      </c>
      <c r="R1014" s="3">
        <f>IF(M1014&lt;&gt;"",M1014/1.4,"")</f>
        <v/>
      </c>
      <c r="S1014" s="3">
        <f>IF(M1014&lt;&gt;"",M1014/1.56,"")</f>
        <v/>
      </c>
      <c r="T1014" s="3">
        <f>IF(N1014&lt;&gt;"",N1014,IF(O1014&lt;&gt;"",O1014,IF(L1014&lt;&gt;"",L1014/1.56,IF(M1014&lt;&gt;"",M1014/1.56,""))))</f>
        <v/>
      </c>
      <c r="U1014" s="3" t="n">
        <v>240</v>
      </c>
      <c r="V1014" s="3" t="n">
        <v>140</v>
      </c>
      <c r="W1014" s="3" t="n"/>
      <c r="X1014" s="4" t="n"/>
      <c r="Y1014" s="5" t="n">
        <v>0.259</v>
      </c>
      <c r="Z1014" s="4">
        <f>IF(L1014&lt;&gt;"",SQRT(3)*G1014*L1014/1000,"")</f>
        <v/>
      </c>
      <c r="AA1014" t="inlineStr">
        <is>
          <t>Source=Copeland 2D/3D/4D/4R/6D/8D/9R compressors (pdf) p45; PWS_RLA=27.4</t>
        </is>
      </c>
      <c r="AB1014" t="inlineStr">
        <is>
          <t>Copeland_RLA_230_460_3ph_60Hz.xlsx</t>
        </is>
      </c>
      <c r="AC1014" t="inlineStr">
        <is>
          <t>Recip_2D-9R</t>
        </is>
      </c>
    </row>
    <row r="1015">
      <c r="A1015" t="inlineStr">
        <is>
          <t>COPELAND</t>
        </is>
      </c>
      <c r="B1015" t="inlineStr">
        <is>
          <t>4RA3-100A-TSK</t>
        </is>
      </c>
      <c r="D1015" t="inlineStr">
        <is>
          <t>Reciprocating Semi-hermetic</t>
        </is>
      </c>
      <c r="E1015" s="2" t="n">
        <v>3</v>
      </c>
      <c r="F1015" s="2" t="n">
        <v>60</v>
      </c>
      <c r="G1015" s="2" t="n">
        <v>460</v>
      </c>
      <c r="H1015" t="inlineStr">
        <is>
          <t>460</t>
        </is>
      </c>
      <c r="I1015" s="2" t="n">
        <v>460</v>
      </c>
      <c r="J1015" s="2" t="n">
        <v>460</v>
      </c>
      <c r="L1015" s="3" t="n"/>
      <c r="M1015" s="3" t="n"/>
      <c r="N1015" s="3" t="n">
        <v>27.4</v>
      </c>
      <c r="O1015" s="3" t="n"/>
      <c r="P1015" s="3">
        <f>IF(L1015&lt;&gt;"",L1015/1.4,"")</f>
        <v/>
      </c>
      <c r="Q1015" s="3">
        <f>IF(L1015&lt;&gt;"",L1015/1.56,"")</f>
        <v/>
      </c>
      <c r="R1015" s="3">
        <f>IF(M1015&lt;&gt;"",M1015/1.4,"")</f>
        <v/>
      </c>
      <c r="S1015" s="3">
        <f>IF(M1015&lt;&gt;"",M1015/1.56,"")</f>
        <v/>
      </c>
      <c r="T1015" s="3">
        <f>IF(N1015&lt;&gt;"",N1015,IF(O1015&lt;&gt;"",O1015,IF(L1015&lt;&gt;"",L1015/1.56,IF(M1015&lt;&gt;"",M1015/1.56,""))))</f>
        <v/>
      </c>
      <c r="U1015" s="3" t="n">
        <v>120</v>
      </c>
      <c r="V1015" s="3" t="n"/>
      <c r="W1015" s="3" t="n"/>
      <c r="X1015" s="4" t="n"/>
      <c r="Y1015" s="5" t="n">
        <v>1.036</v>
      </c>
      <c r="Z1015" s="4">
        <f>IF(L1015&lt;&gt;"",SQRT(3)*G1015*L1015/1000,"")</f>
        <v/>
      </c>
      <c r="AA1015" t="inlineStr">
        <is>
          <t>Source=Copeland 2D/3D/4D/4R/6D/8D/9R compressors (pdf) p45</t>
        </is>
      </c>
      <c r="AB1015" t="inlineStr">
        <is>
          <t>Copeland_RLA_230_460_3ph_60Hz.xlsx</t>
        </is>
      </c>
      <c r="AC1015" t="inlineStr">
        <is>
          <t>Recip_2D-9R</t>
        </is>
      </c>
    </row>
    <row r="1016">
      <c r="A1016" t="inlineStr">
        <is>
          <t>COPELAND</t>
        </is>
      </c>
      <c r="B1016" t="inlineStr">
        <is>
          <t>4RA3-100L-TSK</t>
        </is>
      </c>
      <c r="D1016" t="inlineStr">
        <is>
          <t>Reciprocating Semi-hermetic</t>
        </is>
      </c>
      <c r="E1016" s="2" t="n">
        <v>3</v>
      </c>
      <c r="F1016" s="2" t="n">
        <v>60</v>
      </c>
      <c r="G1016" s="2" t="n">
        <v>230</v>
      </c>
      <c r="H1016" t="inlineStr">
        <is>
          <t>208/230</t>
        </is>
      </c>
      <c r="I1016" s="2" t="n">
        <v>208</v>
      </c>
      <c r="J1016" s="2" t="n">
        <v>230</v>
      </c>
      <c r="L1016" s="3" t="n"/>
      <c r="M1016" s="3" t="n"/>
      <c r="N1016" s="3" t="n">
        <v>54.9</v>
      </c>
      <c r="O1016" s="3" t="n"/>
      <c r="P1016" s="3">
        <f>IF(L1016&lt;&gt;"",L1016/1.4,"")</f>
        <v/>
      </c>
      <c r="Q1016" s="3">
        <f>IF(L1016&lt;&gt;"",L1016/1.56,"")</f>
        <v/>
      </c>
      <c r="R1016" s="3">
        <f>IF(M1016&lt;&gt;"",M1016/1.4,"")</f>
        <v/>
      </c>
      <c r="S1016" s="3">
        <f>IF(M1016&lt;&gt;"",M1016/1.56,"")</f>
        <v/>
      </c>
      <c r="T1016" s="3">
        <f>IF(N1016&lt;&gt;"",N1016,IF(O1016&lt;&gt;"",O1016,IF(L1016&lt;&gt;"",L1016/1.56,IF(M1016&lt;&gt;"",M1016/1.56,""))))</f>
        <v/>
      </c>
      <c r="U1016" s="3" t="n">
        <v>240</v>
      </c>
      <c r="V1016" s="3" t="n">
        <v>140</v>
      </c>
      <c r="W1016" s="3" t="n"/>
      <c r="X1016" s="4" t="n"/>
      <c r="Y1016" s="5" t="n">
        <v>0.259</v>
      </c>
      <c r="Z1016" s="4">
        <f>IF(L1016&lt;&gt;"",SQRT(3)*G1016*L1016/1000,"")</f>
        <v/>
      </c>
      <c r="AA1016" t="inlineStr">
        <is>
          <t>Source=Copeland 2D/3D/4D/4R/6D/8D/9R compressors (pdf) p45; PWS_RLA=27.4</t>
        </is>
      </c>
      <c r="AB1016" t="inlineStr">
        <is>
          <t>Copeland_RLA_230_460_3ph_60Hz.xlsx</t>
        </is>
      </c>
      <c r="AC1016" t="inlineStr">
        <is>
          <t>Recip_2D-9R</t>
        </is>
      </c>
    </row>
    <row r="1017">
      <c r="A1017" t="inlineStr">
        <is>
          <t>COPELAND</t>
        </is>
      </c>
      <c r="B1017" t="inlineStr">
        <is>
          <t>4RA3-100L-TSK</t>
        </is>
      </c>
      <c r="D1017" t="inlineStr">
        <is>
          <t>Reciprocating Semi-hermetic</t>
        </is>
      </c>
      <c r="E1017" s="2" t="n">
        <v>3</v>
      </c>
      <c r="F1017" s="2" t="n">
        <v>60</v>
      </c>
      <c r="G1017" s="2" t="n">
        <v>460</v>
      </c>
      <c r="H1017" t="inlineStr">
        <is>
          <t>460</t>
        </is>
      </c>
      <c r="I1017" s="2" t="n">
        <v>460</v>
      </c>
      <c r="J1017" s="2" t="n">
        <v>460</v>
      </c>
      <c r="L1017" s="3" t="n"/>
      <c r="M1017" s="3" t="n"/>
      <c r="N1017" s="3" t="n">
        <v>27.4</v>
      </c>
      <c r="O1017" s="3" t="n"/>
      <c r="P1017" s="3">
        <f>IF(L1017&lt;&gt;"",L1017/1.4,"")</f>
        <v/>
      </c>
      <c r="Q1017" s="3">
        <f>IF(L1017&lt;&gt;"",L1017/1.56,"")</f>
        <v/>
      </c>
      <c r="R1017" s="3">
        <f>IF(M1017&lt;&gt;"",M1017/1.4,"")</f>
        <v/>
      </c>
      <c r="S1017" s="3">
        <f>IF(M1017&lt;&gt;"",M1017/1.56,"")</f>
        <v/>
      </c>
      <c r="T1017" s="3">
        <f>IF(N1017&lt;&gt;"",N1017,IF(O1017&lt;&gt;"",O1017,IF(L1017&lt;&gt;"",L1017/1.56,IF(M1017&lt;&gt;"",M1017/1.56,""))))</f>
        <v/>
      </c>
      <c r="U1017" s="3" t="n">
        <v>120</v>
      </c>
      <c r="V1017" s="3" t="n"/>
      <c r="W1017" s="3" t="n"/>
      <c r="X1017" s="4" t="n"/>
      <c r="Y1017" s="5" t="n">
        <v>1.036</v>
      </c>
      <c r="Z1017" s="4">
        <f>IF(L1017&lt;&gt;"",SQRT(3)*G1017*L1017/1000,"")</f>
        <v/>
      </c>
      <c r="AA1017" t="inlineStr">
        <is>
          <t>Source=Copeland 2D/3D/4D/4R/6D/8D/9R compressors (pdf) p45</t>
        </is>
      </c>
      <c r="AB1017" t="inlineStr">
        <is>
          <t>Copeland_RLA_230_460_3ph_60Hz.xlsx</t>
        </is>
      </c>
      <c r="AC1017" t="inlineStr">
        <is>
          <t>Recip_2D-9R</t>
        </is>
      </c>
    </row>
    <row r="1018">
      <c r="A1018" t="inlineStr">
        <is>
          <t>COPELAND</t>
        </is>
      </c>
      <c r="B1018" t="inlineStr">
        <is>
          <t>4RA3-2000-FSD</t>
        </is>
      </c>
      <c r="D1018" t="inlineStr">
        <is>
          <t>Reciprocating Semi-hermetic</t>
        </is>
      </c>
      <c r="E1018" s="2" t="n">
        <v>3</v>
      </c>
      <c r="F1018" s="2" t="n">
        <v>60</v>
      </c>
      <c r="G1018" s="2" t="n">
        <v>460</v>
      </c>
      <c r="H1018" t="inlineStr">
        <is>
          <t>460</t>
        </is>
      </c>
      <c r="I1018" s="2" t="n">
        <v>460</v>
      </c>
      <c r="J1018" s="2" t="n">
        <v>460</v>
      </c>
      <c r="L1018" s="3" t="n"/>
      <c r="M1018" s="3" t="n"/>
      <c r="N1018" s="3" t="n">
        <v>32.4</v>
      </c>
      <c r="O1018" s="3" t="n"/>
      <c r="P1018" s="3">
        <f>IF(L1018&lt;&gt;"",L1018/1.4,"")</f>
        <v/>
      </c>
      <c r="Q1018" s="3">
        <f>IF(L1018&lt;&gt;"",L1018/1.56,"")</f>
        <v/>
      </c>
      <c r="R1018" s="3">
        <f>IF(M1018&lt;&gt;"",M1018/1.4,"")</f>
        <v/>
      </c>
      <c r="S1018" s="3">
        <f>IF(M1018&lt;&gt;"",M1018/1.56,"")</f>
        <v/>
      </c>
      <c r="T1018" s="3">
        <f>IF(N1018&lt;&gt;"",N1018,IF(O1018&lt;&gt;"",O1018,IF(L1018&lt;&gt;"",L1018/1.56,IF(M1018&lt;&gt;"",M1018/1.56,""))))</f>
        <v/>
      </c>
      <c r="U1018" s="3" t="n">
        <v>135</v>
      </c>
      <c r="V1018" s="3" t="n">
        <v>82</v>
      </c>
      <c r="W1018" s="3" t="n"/>
      <c r="X1018" s="4" t="n"/>
      <c r="Y1018" s="5" t="n">
        <v>0.757</v>
      </c>
      <c r="Z1018" s="4">
        <f>IF(L1018&lt;&gt;"",SQRT(3)*G1018*L1018/1000,"")</f>
        <v/>
      </c>
      <c r="AA1018" t="inlineStr">
        <is>
          <t>Source=Copeland 2D/3D/4D/4R/6D/8D/9R compressors (pdf) p45; PWS_RLA=16.2</t>
        </is>
      </c>
      <c r="AB1018" t="inlineStr">
        <is>
          <t>Copeland_RLA_230_460_3ph_60Hz.xlsx</t>
        </is>
      </c>
      <c r="AC1018" t="inlineStr">
        <is>
          <t>Recip_2D-9R</t>
        </is>
      </c>
    </row>
    <row r="1019">
      <c r="A1019" t="inlineStr">
        <is>
          <t>COPELAND</t>
        </is>
      </c>
      <c r="B1019" t="inlineStr">
        <is>
          <t>4RA3-2000-TSK</t>
        </is>
      </c>
      <c r="D1019" t="inlineStr">
        <is>
          <t>Reciprocating Semi-hermetic</t>
        </is>
      </c>
      <c r="E1019" s="2" t="n">
        <v>3</v>
      </c>
      <c r="F1019" s="2" t="n">
        <v>60</v>
      </c>
      <c r="G1019" s="2" t="n">
        <v>230</v>
      </c>
      <c r="H1019" t="inlineStr">
        <is>
          <t>208/230</t>
        </is>
      </c>
      <c r="I1019" s="2" t="n">
        <v>208</v>
      </c>
      <c r="J1019" s="2" t="n">
        <v>230</v>
      </c>
      <c r="L1019" s="3" t="n"/>
      <c r="M1019" s="3" t="n"/>
      <c r="N1019" s="3" t="n">
        <v>71.40000000000001</v>
      </c>
      <c r="O1019" s="3" t="n"/>
      <c r="P1019" s="3">
        <f>IF(L1019&lt;&gt;"",L1019/1.4,"")</f>
        <v/>
      </c>
      <c r="Q1019" s="3">
        <f>IF(L1019&lt;&gt;"",L1019/1.56,"")</f>
        <v/>
      </c>
      <c r="R1019" s="3">
        <f>IF(M1019&lt;&gt;"",M1019/1.4,"")</f>
        <v/>
      </c>
      <c r="S1019" s="3">
        <f>IF(M1019&lt;&gt;"",M1019/1.56,"")</f>
        <v/>
      </c>
      <c r="T1019" s="3">
        <f>IF(N1019&lt;&gt;"",N1019,IF(O1019&lt;&gt;"",O1019,IF(L1019&lt;&gt;"",L1019/1.56,IF(M1019&lt;&gt;"",M1019/1.56,""))))</f>
        <v/>
      </c>
      <c r="U1019" s="3" t="n">
        <v>308</v>
      </c>
      <c r="V1019" s="3" t="n">
        <v>188</v>
      </c>
      <c r="W1019" s="3" t="n"/>
      <c r="X1019" s="4" t="n"/>
      <c r="Y1019" s="5" t="n">
        <v>0.173</v>
      </c>
      <c r="Z1019" s="4">
        <f>IF(L1019&lt;&gt;"",SQRT(3)*G1019*L1019/1000,"")</f>
        <v/>
      </c>
      <c r="AA1019" t="inlineStr">
        <is>
          <t>Source=Copeland 2D/3D/4D/4R/6D/8D/9R compressors (pdf) p45; PWS_RLA=35.7</t>
        </is>
      </c>
      <c r="AB1019" t="inlineStr">
        <is>
          <t>Copeland_RLA_230_460_3ph_60Hz.xlsx</t>
        </is>
      </c>
      <c r="AC1019" t="inlineStr">
        <is>
          <t>Recip_2D-9R</t>
        </is>
      </c>
    </row>
    <row r="1020">
      <c r="A1020" t="inlineStr">
        <is>
          <t>COPELAND</t>
        </is>
      </c>
      <c r="B1020" t="inlineStr">
        <is>
          <t>4RA3-2000-TSK</t>
        </is>
      </c>
      <c r="D1020" t="inlineStr">
        <is>
          <t>Reciprocating Semi-hermetic</t>
        </is>
      </c>
      <c r="E1020" s="2" t="n">
        <v>3</v>
      </c>
      <c r="F1020" s="2" t="n">
        <v>60</v>
      </c>
      <c r="G1020" s="2" t="n">
        <v>460</v>
      </c>
      <c r="H1020" t="inlineStr">
        <is>
          <t>460</t>
        </is>
      </c>
      <c r="I1020" s="2" t="n">
        <v>460</v>
      </c>
      <c r="J1020" s="2" t="n">
        <v>460</v>
      </c>
      <c r="L1020" s="3" t="n"/>
      <c r="M1020" s="3" t="n"/>
      <c r="N1020" s="3" t="n">
        <v>35.7</v>
      </c>
      <c r="O1020" s="3" t="n"/>
      <c r="P1020" s="3">
        <f>IF(L1020&lt;&gt;"",L1020/1.4,"")</f>
        <v/>
      </c>
      <c r="Q1020" s="3">
        <f>IF(L1020&lt;&gt;"",L1020/1.56,"")</f>
        <v/>
      </c>
      <c r="R1020" s="3">
        <f>IF(M1020&lt;&gt;"",M1020/1.4,"")</f>
        <v/>
      </c>
      <c r="S1020" s="3">
        <f>IF(M1020&lt;&gt;"",M1020/1.56,"")</f>
        <v/>
      </c>
      <c r="T1020" s="3">
        <f>IF(N1020&lt;&gt;"",N1020,IF(O1020&lt;&gt;"",O1020,IF(L1020&lt;&gt;"",L1020/1.56,IF(M1020&lt;&gt;"",M1020/1.56,""))))</f>
        <v/>
      </c>
      <c r="U1020" s="3" t="n">
        <v>154</v>
      </c>
      <c r="V1020" s="3" t="n"/>
      <c r="W1020" s="3" t="n"/>
      <c r="X1020" s="4" t="n"/>
      <c r="Y1020" s="5" t="n">
        <v>0.6899999999999999</v>
      </c>
      <c r="Z1020" s="4">
        <f>IF(L1020&lt;&gt;"",SQRT(3)*G1020*L1020/1000,"")</f>
        <v/>
      </c>
      <c r="AA1020" t="inlineStr">
        <is>
          <t>Source=Copeland 2D/3D/4D/4R/6D/8D/9R compressors (pdf) p45</t>
        </is>
      </c>
      <c r="AB1020" t="inlineStr">
        <is>
          <t>Copeland_RLA_230_460_3ph_60Hz.xlsx</t>
        </is>
      </c>
      <c r="AC1020" t="inlineStr">
        <is>
          <t>Recip_2D-9R</t>
        </is>
      </c>
    </row>
    <row r="1021">
      <c r="A1021" t="inlineStr">
        <is>
          <t>COPELAND</t>
        </is>
      </c>
      <c r="B1021" t="inlineStr">
        <is>
          <t>4RA3-200A-TSK</t>
        </is>
      </c>
      <c r="D1021" t="inlineStr">
        <is>
          <t>Reciprocating Semi-hermetic</t>
        </is>
      </c>
      <c r="E1021" s="2" t="n">
        <v>3</v>
      </c>
      <c r="F1021" s="2" t="n">
        <v>60</v>
      </c>
      <c r="G1021" s="2" t="n">
        <v>230</v>
      </c>
      <c r="H1021" t="inlineStr">
        <is>
          <t>208/230</t>
        </is>
      </c>
      <c r="I1021" s="2" t="n">
        <v>208</v>
      </c>
      <c r="J1021" s="2" t="n">
        <v>230</v>
      </c>
      <c r="L1021" s="3" t="n"/>
      <c r="M1021" s="3" t="n"/>
      <c r="N1021" s="3" t="n">
        <v>71.40000000000001</v>
      </c>
      <c r="O1021" s="3" t="n"/>
      <c r="P1021" s="3">
        <f>IF(L1021&lt;&gt;"",L1021/1.4,"")</f>
        <v/>
      </c>
      <c r="Q1021" s="3">
        <f>IF(L1021&lt;&gt;"",L1021/1.56,"")</f>
        <v/>
      </c>
      <c r="R1021" s="3">
        <f>IF(M1021&lt;&gt;"",M1021/1.4,"")</f>
        <v/>
      </c>
      <c r="S1021" s="3">
        <f>IF(M1021&lt;&gt;"",M1021/1.56,"")</f>
        <v/>
      </c>
      <c r="T1021" s="3">
        <f>IF(N1021&lt;&gt;"",N1021,IF(O1021&lt;&gt;"",O1021,IF(L1021&lt;&gt;"",L1021/1.56,IF(M1021&lt;&gt;"",M1021/1.56,""))))</f>
        <v/>
      </c>
      <c r="U1021" s="3" t="n">
        <v>308</v>
      </c>
      <c r="V1021" s="3" t="n">
        <v>188</v>
      </c>
      <c r="W1021" s="3" t="n"/>
      <c r="X1021" s="4" t="n"/>
      <c r="Y1021" s="5" t="n">
        <v>0.173</v>
      </c>
      <c r="Z1021" s="4">
        <f>IF(L1021&lt;&gt;"",SQRT(3)*G1021*L1021/1000,"")</f>
        <v/>
      </c>
      <c r="AA1021" t="inlineStr">
        <is>
          <t>Source=Copeland 2D/3D/4D/4R/6D/8D/9R compressors (pdf) p45; PWS_RLA=35.7</t>
        </is>
      </c>
      <c r="AB1021" t="inlineStr">
        <is>
          <t>Copeland_RLA_230_460_3ph_60Hz.xlsx</t>
        </is>
      </c>
      <c r="AC1021" t="inlineStr">
        <is>
          <t>Recip_2D-9R</t>
        </is>
      </c>
    </row>
    <row r="1022">
      <c r="A1022" t="inlineStr">
        <is>
          <t>COPELAND</t>
        </is>
      </c>
      <c r="B1022" t="inlineStr">
        <is>
          <t>4RA3-200A-TSK</t>
        </is>
      </c>
      <c r="D1022" t="inlineStr">
        <is>
          <t>Reciprocating Semi-hermetic</t>
        </is>
      </c>
      <c r="E1022" s="2" t="n">
        <v>3</v>
      </c>
      <c r="F1022" s="2" t="n">
        <v>60</v>
      </c>
      <c r="G1022" s="2" t="n">
        <v>460</v>
      </c>
      <c r="H1022" t="inlineStr">
        <is>
          <t>460</t>
        </is>
      </c>
      <c r="I1022" s="2" t="n">
        <v>460</v>
      </c>
      <c r="J1022" s="2" t="n">
        <v>460</v>
      </c>
      <c r="L1022" s="3" t="n"/>
      <c r="M1022" s="3" t="n"/>
      <c r="N1022" s="3" t="n">
        <v>35.7</v>
      </c>
      <c r="O1022" s="3" t="n"/>
      <c r="P1022" s="3">
        <f>IF(L1022&lt;&gt;"",L1022/1.4,"")</f>
        <v/>
      </c>
      <c r="Q1022" s="3">
        <f>IF(L1022&lt;&gt;"",L1022/1.56,"")</f>
        <v/>
      </c>
      <c r="R1022" s="3">
        <f>IF(M1022&lt;&gt;"",M1022/1.4,"")</f>
        <v/>
      </c>
      <c r="S1022" s="3">
        <f>IF(M1022&lt;&gt;"",M1022/1.56,"")</f>
        <v/>
      </c>
      <c r="T1022" s="3">
        <f>IF(N1022&lt;&gt;"",N1022,IF(O1022&lt;&gt;"",O1022,IF(L1022&lt;&gt;"",L1022/1.56,IF(M1022&lt;&gt;"",M1022/1.56,""))))</f>
        <v/>
      </c>
      <c r="U1022" s="3" t="n">
        <v>154</v>
      </c>
      <c r="V1022" s="3" t="n"/>
      <c r="W1022" s="3" t="n"/>
      <c r="X1022" s="4" t="n"/>
      <c r="Y1022" s="5" t="n">
        <v>0.6899999999999999</v>
      </c>
      <c r="Z1022" s="4">
        <f>IF(L1022&lt;&gt;"",SQRT(3)*G1022*L1022/1000,"")</f>
        <v/>
      </c>
      <c r="AA1022" t="inlineStr">
        <is>
          <t>Source=Copeland 2D/3D/4D/4R/6D/8D/9R compressors (pdf) p45</t>
        </is>
      </c>
      <c r="AB1022" t="inlineStr">
        <is>
          <t>Copeland_RLA_230_460_3ph_60Hz.xlsx</t>
        </is>
      </c>
      <c r="AC1022" t="inlineStr">
        <is>
          <t>Recip_2D-9R</t>
        </is>
      </c>
    </row>
    <row r="1023">
      <c r="A1023" t="inlineStr">
        <is>
          <t>COPELAND</t>
        </is>
      </c>
      <c r="B1023" t="inlineStr">
        <is>
          <t>4RA4-1000-TSK</t>
        </is>
      </c>
      <c r="D1023" t="inlineStr">
        <is>
          <t>Reciprocating Semi-hermetic</t>
        </is>
      </c>
      <c r="E1023" s="2" t="n">
        <v>3</v>
      </c>
      <c r="F1023" s="2" t="n">
        <v>60</v>
      </c>
      <c r="G1023" s="2" t="n">
        <v>230</v>
      </c>
      <c r="H1023" t="inlineStr">
        <is>
          <t>208/230</t>
        </is>
      </c>
      <c r="I1023" s="2" t="n">
        <v>208</v>
      </c>
      <c r="J1023" s="2" t="n">
        <v>230</v>
      </c>
      <c r="L1023" s="3" t="n"/>
      <c r="M1023" s="3" t="n"/>
      <c r="N1023" s="3" t="n">
        <v>54.9</v>
      </c>
      <c r="O1023" s="3" t="n"/>
      <c r="P1023" s="3">
        <f>IF(L1023&lt;&gt;"",L1023/1.4,"")</f>
        <v/>
      </c>
      <c r="Q1023" s="3">
        <f>IF(L1023&lt;&gt;"",L1023/1.56,"")</f>
        <v/>
      </c>
      <c r="R1023" s="3">
        <f>IF(M1023&lt;&gt;"",M1023/1.4,"")</f>
        <v/>
      </c>
      <c r="S1023" s="3">
        <f>IF(M1023&lt;&gt;"",M1023/1.56,"")</f>
        <v/>
      </c>
      <c r="T1023" s="3">
        <f>IF(N1023&lt;&gt;"",N1023,IF(O1023&lt;&gt;"",O1023,IF(L1023&lt;&gt;"",L1023/1.56,IF(M1023&lt;&gt;"",M1023/1.56,""))))</f>
        <v/>
      </c>
      <c r="U1023" s="3" t="n">
        <v>240</v>
      </c>
      <c r="V1023" s="3" t="n">
        <v>140</v>
      </c>
      <c r="W1023" s="3" t="n"/>
      <c r="X1023" s="4" t="n"/>
      <c r="Y1023" s="5" t="n">
        <v>0.259</v>
      </c>
      <c r="Z1023" s="4">
        <f>IF(L1023&lt;&gt;"",SQRT(3)*G1023*L1023/1000,"")</f>
        <v/>
      </c>
      <c r="AA1023" t="inlineStr">
        <is>
          <t>Source=Copeland 2D/3D/4D/4R/6D/8D/9R compressors (pdf) p45; PWS_RLA=27.4</t>
        </is>
      </c>
      <c r="AB1023" t="inlineStr">
        <is>
          <t>Copeland_RLA_230_460_3ph_60Hz.xlsx</t>
        </is>
      </c>
      <c r="AC1023" t="inlineStr">
        <is>
          <t>Recip_2D-9R</t>
        </is>
      </c>
    </row>
    <row r="1024">
      <c r="A1024" t="inlineStr">
        <is>
          <t>COPELAND</t>
        </is>
      </c>
      <c r="B1024" t="inlineStr">
        <is>
          <t>4RA4-1000-TSK</t>
        </is>
      </c>
      <c r="D1024" t="inlineStr">
        <is>
          <t>Reciprocating Semi-hermetic</t>
        </is>
      </c>
      <c r="E1024" s="2" t="n">
        <v>3</v>
      </c>
      <c r="F1024" s="2" t="n">
        <v>60</v>
      </c>
      <c r="G1024" s="2" t="n">
        <v>460</v>
      </c>
      <c r="H1024" t="inlineStr">
        <is>
          <t>460</t>
        </is>
      </c>
      <c r="I1024" s="2" t="n">
        <v>460</v>
      </c>
      <c r="J1024" s="2" t="n">
        <v>460</v>
      </c>
      <c r="L1024" s="3" t="n"/>
      <c r="M1024" s="3" t="n"/>
      <c r="N1024" s="3" t="n">
        <v>27.4</v>
      </c>
      <c r="O1024" s="3" t="n"/>
      <c r="P1024" s="3">
        <f>IF(L1024&lt;&gt;"",L1024/1.4,"")</f>
        <v/>
      </c>
      <c r="Q1024" s="3">
        <f>IF(L1024&lt;&gt;"",L1024/1.56,"")</f>
        <v/>
      </c>
      <c r="R1024" s="3">
        <f>IF(M1024&lt;&gt;"",M1024/1.4,"")</f>
        <v/>
      </c>
      <c r="S1024" s="3">
        <f>IF(M1024&lt;&gt;"",M1024/1.56,"")</f>
        <v/>
      </c>
      <c r="T1024" s="3">
        <f>IF(N1024&lt;&gt;"",N1024,IF(O1024&lt;&gt;"",O1024,IF(L1024&lt;&gt;"",L1024/1.56,IF(M1024&lt;&gt;"",M1024/1.56,""))))</f>
        <v/>
      </c>
      <c r="U1024" s="3" t="n">
        <v>120</v>
      </c>
      <c r="V1024" s="3" t="n"/>
      <c r="W1024" s="3" t="n"/>
      <c r="X1024" s="4" t="n"/>
      <c r="Y1024" s="5" t="n">
        <v>1.036</v>
      </c>
      <c r="Z1024" s="4">
        <f>IF(L1024&lt;&gt;"",SQRT(3)*G1024*L1024/1000,"")</f>
        <v/>
      </c>
      <c r="AA1024" t="inlineStr">
        <is>
          <t>Source=Copeland 2D/3D/4D/4R/6D/8D/9R compressors (pdf) p45</t>
        </is>
      </c>
      <c r="AB1024" t="inlineStr">
        <is>
          <t>Copeland_RLA_230_460_3ph_60Hz.xlsx</t>
        </is>
      </c>
      <c r="AC1024" t="inlineStr">
        <is>
          <t>Recip_2D-9R</t>
        </is>
      </c>
    </row>
    <row r="1025">
      <c r="A1025" t="inlineStr">
        <is>
          <t>COPELAND</t>
        </is>
      </c>
      <c r="B1025" t="inlineStr">
        <is>
          <t>4RA4-2000-TSK</t>
        </is>
      </c>
      <c r="D1025" t="inlineStr">
        <is>
          <t>Reciprocating Semi-hermetic</t>
        </is>
      </c>
      <c r="E1025" s="2" t="n">
        <v>3</v>
      </c>
      <c r="F1025" s="2" t="n">
        <v>60</v>
      </c>
      <c r="G1025" s="2" t="n">
        <v>230</v>
      </c>
      <c r="H1025" t="inlineStr">
        <is>
          <t>208/230</t>
        </is>
      </c>
      <c r="I1025" s="2" t="n">
        <v>208</v>
      </c>
      <c r="J1025" s="2" t="n">
        <v>230</v>
      </c>
      <c r="L1025" s="3" t="n"/>
      <c r="M1025" s="3" t="n"/>
      <c r="N1025" s="3" t="n">
        <v>71.40000000000001</v>
      </c>
      <c r="O1025" s="3" t="n"/>
      <c r="P1025" s="3">
        <f>IF(L1025&lt;&gt;"",L1025/1.4,"")</f>
        <v/>
      </c>
      <c r="Q1025" s="3">
        <f>IF(L1025&lt;&gt;"",L1025/1.56,"")</f>
        <v/>
      </c>
      <c r="R1025" s="3">
        <f>IF(M1025&lt;&gt;"",M1025/1.4,"")</f>
        <v/>
      </c>
      <c r="S1025" s="3">
        <f>IF(M1025&lt;&gt;"",M1025/1.56,"")</f>
        <v/>
      </c>
      <c r="T1025" s="3">
        <f>IF(N1025&lt;&gt;"",N1025,IF(O1025&lt;&gt;"",O1025,IF(L1025&lt;&gt;"",L1025/1.56,IF(M1025&lt;&gt;"",M1025/1.56,""))))</f>
        <v/>
      </c>
      <c r="U1025" s="3" t="n">
        <v>308</v>
      </c>
      <c r="V1025" s="3" t="n">
        <v>188</v>
      </c>
      <c r="W1025" s="3" t="n"/>
      <c r="X1025" s="4" t="n"/>
      <c r="Y1025" s="5" t="n">
        <v>0.173</v>
      </c>
      <c r="Z1025" s="4">
        <f>IF(L1025&lt;&gt;"",SQRT(3)*G1025*L1025/1000,"")</f>
        <v/>
      </c>
      <c r="AA1025" t="inlineStr">
        <is>
          <t>Source=Copeland 2D/3D/4D/4R/6D/8D/9R compressors (pdf) p45; PWS_RLA=35.7</t>
        </is>
      </c>
      <c r="AB1025" t="inlineStr">
        <is>
          <t>Copeland_RLA_230_460_3ph_60Hz.xlsx</t>
        </is>
      </c>
      <c r="AC1025" t="inlineStr">
        <is>
          <t>Recip_2D-9R</t>
        </is>
      </c>
    </row>
    <row r="1026">
      <c r="A1026" t="inlineStr">
        <is>
          <t>COPELAND</t>
        </is>
      </c>
      <c r="B1026" t="inlineStr">
        <is>
          <t>4RA4-2000-TSK</t>
        </is>
      </c>
      <c r="D1026" t="inlineStr">
        <is>
          <t>Reciprocating Semi-hermetic</t>
        </is>
      </c>
      <c r="E1026" s="2" t="n">
        <v>3</v>
      </c>
      <c r="F1026" s="2" t="n">
        <v>60</v>
      </c>
      <c r="G1026" s="2" t="n">
        <v>460</v>
      </c>
      <c r="H1026" t="inlineStr">
        <is>
          <t>460</t>
        </is>
      </c>
      <c r="I1026" s="2" t="n">
        <v>460</v>
      </c>
      <c r="J1026" s="2" t="n">
        <v>460</v>
      </c>
      <c r="L1026" s="3" t="n"/>
      <c r="M1026" s="3" t="n"/>
      <c r="N1026" s="3" t="n">
        <v>35.7</v>
      </c>
      <c r="O1026" s="3" t="n"/>
      <c r="P1026" s="3">
        <f>IF(L1026&lt;&gt;"",L1026/1.4,"")</f>
        <v/>
      </c>
      <c r="Q1026" s="3">
        <f>IF(L1026&lt;&gt;"",L1026/1.56,"")</f>
        <v/>
      </c>
      <c r="R1026" s="3">
        <f>IF(M1026&lt;&gt;"",M1026/1.4,"")</f>
        <v/>
      </c>
      <c r="S1026" s="3">
        <f>IF(M1026&lt;&gt;"",M1026/1.56,"")</f>
        <v/>
      </c>
      <c r="T1026" s="3">
        <f>IF(N1026&lt;&gt;"",N1026,IF(O1026&lt;&gt;"",O1026,IF(L1026&lt;&gt;"",L1026/1.56,IF(M1026&lt;&gt;"",M1026/1.56,""))))</f>
        <v/>
      </c>
      <c r="U1026" s="3" t="n">
        <v>154</v>
      </c>
      <c r="V1026" s="3" t="n"/>
      <c r="W1026" s="3" t="n"/>
      <c r="X1026" s="4" t="n"/>
      <c r="Y1026" s="5" t="n">
        <v>0.6899999999999999</v>
      </c>
      <c r="Z1026" s="4">
        <f>IF(L1026&lt;&gt;"",SQRT(3)*G1026*L1026/1000,"")</f>
        <v/>
      </c>
      <c r="AA1026" t="inlineStr">
        <is>
          <t>Source=Copeland 2D/3D/4D/4R/6D/8D/9R compressors (pdf) p45</t>
        </is>
      </c>
      <c r="AB1026" t="inlineStr">
        <is>
          <t>Copeland_RLA_230_460_3ph_60Hz.xlsx</t>
        </is>
      </c>
      <c r="AC1026" t="inlineStr">
        <is>
          <t>Recip_2D-9R</t>
        </is>
      </c>
    </row>
    <row r="1027">
      <c r="A1027" t="inlineStr">
        <is>
          <t>COPELAND</t>
        </is>
      </c>
      <c r="B1027" t="inlineStr">
        <is>
          <t>4RA4-200A-TSK</t>
        </is>
      </c>
      <c r="D1027" t="inlineStr">
        <is>
          <t>Reciprocating Semi-hermetic</t>
        </is>
      </c>
      <c r="E1027" s="2" t="n">
        <v>3</v>
      </c>
      <c r="F1027" s="2" t="n">
        <v>60</v>
      </c>
      <c r="G1027" s="2" t="n">
        <v>230</v>
      </c>
      <c r="H1027" t="inlineStr">
        <is>
          <t>208/230</t>
        </is>
      </c>
      <c r="I1027" s="2" t="n">
        <v>208</v>
      </c>
      <c r="J1027" s="2" t="n">
        <v>230</v>
      </c>
      <c r="L1027" s="3" t="n"/>
      <c r="M1027" s="3" t="n"/>
      <c r="N1027" s="3" t="n">
        <v>71.40000000000001</v>
      </c>
      <c r="O1027" s="3" t="n"/>
      <c r="P1027" s="3">
        <f>IF(L1027&lt;&gt;"",L1027/1.4,"")</f>
        <v/>
      </c>
      <c r="Q1027" s="3">
        <f>IF(L1027&lt;&gt;"",L1027/1.56,"")</f>
        <v/>
      </c>
      <c r="R1027" s="3">
        <f>IF(M1027&lt;&gt;"",M1027/1.4,"")</f>
        <v/>
      </c>
      <c r="S1027" s="3">
        <f>IF(M1027&lt;&gt;"",M1027/1.56,"")</f>
        <v/>
      </c>
      <c r="T1027" s="3">
        <f>IF(N1027&lt;&gt;"",N1027,IF(O1027&lt;&gt;"",O1027,IF(L1027&lt;&gt;"",L1027/1.56,IF(M1027&lt;&gt;"",M1027/1.56,""))))</f>
        <v/>
      </c>
      <c r="U1027" s="3" t="n">
        <v>308</v>
      </c>
      <c r="V1027" s="3" t="n">
        <v>188</v>
      </c>
      <c r="W1027" s="3" t="n"/>
      <c r="X1027" s="4" t="n"/>
      <c r="Y1027" s="5" t="n">
        <v>0.173</v>
      </c>
      <c r="Z1027" s="4">
        <f>IF(L1027&lt;&gt;"",SQRT(3)*G1027*L1027/1000,"")</f>
        <v/>
      </c>
      <c r="AA1027" t="inlineStr">
        <is>
          <t>Source=Copeland 2D/3D/4D/4R/6D/8D/9R compressors (pdf) p45; PWS_RLA=35.7</t>
        </is>
      </c>
      <c r="AB1027" t="inlineStr">
        <is>
          <t>Copeland_RLA_230_460_3ph_60Hz.xlsx</t>
        </is>
      </c>
      <c r="AC1027" t="inlineStr">
        <is>
          <t>Recip_2D-9R</t>
        </is>
      </c>
    </row>
    <row r="1028">
      <c r="A1028" t="inlineStr">
        <is>
          <t>COPELAND</t>
        </is>
      </c>
      <c r="B1028" t="inlineStr">
        <is>
          <t>4RA4-200A-TSK</t>
        </is>
      </c>
      <c r="D1028" t="inlineStr">
        <is>
          <t>Reciprocating Semi-hermetic</t>
        </is>
      </c>
      <c r="E1028" s="2" t="n">
        <v>3</v>
      </c>
      <c r="F1028" s="2" t="n">
        <v>60</v>
      </c>
      <c r="G1028" s="2" t="n">
        <v>460</v>
      </c>
      <c r="H1028" t="inlineStr">
        <is>
          <t>460</t>
        </is>
      </c>
      <c r="I1028" s="2" t="n">
        <v>460</v>
      </c>
      <c r="J1028" s="2" t="n">
        <v>460</v>
      </c>
      <c r="L1028" s="3" t="n"/>
      <c r="M1028" s="3" t="n"/>
      <c r="N1028" s="3" t="n">
        <v>35.7</v>
      </c>
      <c r="O1028" s="3" t="n"/>
      <c r="P1028" s="3">
        <f>IF(L1028&lt;&gt;"",L1028/1.4,"")</f>
        <v/>
      </c>
      <c r="Q1028" s="3">
        <f>IF(L1028&lt;&gt;"",L1028/1.56,"")</f>
        <v/>
      </c>
      <c r="R1028" s="3">
        <f>IF(M1028&lt;&gt;"",M1028/1.4,"")</f>
        <v/>
      </c>
      <c r="S1028" s="3">
        <f>IF(M1028&lt;&gt;"",M1028/1.56,"")</f>
        <v/>
      </c>
      <c r="T1028" s="3">
        <f>IF(N1028&lt;&gt;"",N1028,IF(O1028&lt;&gt;"",O1028,IF(L1028&lt;&gt;"",L1028/1.56,IF(M1028&lt;&gt;"",M1028/1.56,""))))</f>
        <v/>
      </c>
      <c r="U1028" s="3" t="n">
        <v>154</v>
      </c>
      <c r="V1028" s="3" t="n"/>
      <c r="W1028" s="3" t="n"/>
      <c r="X1028" s="4" t="n"/>
      <c r="Y1028" s="5" t="n">
        <v>0.6899999999999999</v>
      </c>
      <c r="Z1028" s="4">
        <f>IF(L1028&lt;&gt;"",SQRT(3)*G1028*L1028/1000,"")</f>
        <v/>
      </c>
      <c r="AA1028" t="inlineStr">
        <is>
          <t>Source=Copeland 2D/3D/4D/4R/6D/8D/9R compressors (pdf) p45</t>
        </is>
      </c>
      <c r="AB1028" t="inlineStr">
        <is>
          <t>Copeland_RLA_230_460_3ph_60Hz.xlsx</t>
        </is>
      </c>
      <c r="AC1028" t="inlineStr">
        <is>
          <t>Recip_2D-9R</t>
        </is>
      </c>
    </row>
    <row r="1029">
      <c r="A1029" t="inlineStr">
        <is>
          <t>COPELAND</t>
        </is>
      </c>
      <c r="B1029" t="inlineStr">
        <is>
          <t>4RA4-200L-TSK</t>
        </is>
      </c>
      <c r="D1029" t="inlineStr">
        <is>
          <t>Reciprocating Semi-hermetic</t>
        </is>
      </c>
      <c r="E1029" s="2" t="n">
        <v>3</v>
      </c>
      <c r="F1029" s="2" t="n">
        <v>60</v>
      </c>
      <c r="G1029" s="2" t="n">
        <v>230</v>
      </c>
      <c r="H1029" t="inlineStr">
        <is>
          <t>208/230</t>
        </is>
      </c>
      <c r="I1029" s="2" t="n">
        <v>208</v>
      </c>
      <c r="J1029" s="2" t="n">
        <v>230</v>
      </c>
      <c r="L1029" s="3" t="n"/>
      <c r="M1029" s="3" t="n"/>
      <c r="N1029" s="3" t="n">
        <v>71.40000000000001</v>
      </c>
      <c r="O1029" s="3" t="n"/>
      <c r="P1029" s="3">
        <f>IF(L1029&lt;&gt;"",L1029/1.4,"")</f>
        <v/>
      </c>
      <c r="Q1029" s="3">
        <f>IF(L1029&lt;&gt;"",L1029/1.56,"")</f>
        <v/>
      </c>
      <c r="R1029" s="3">
        <f>IF(M1029&lt;&gt;"",M1029/1.4,"")</f>
        <v/>
      </c>
      <c r="S1029" s="3">
        <f>IF(M1029&lt;&gt;"",M1029/1.56,"")</f>
        <v/>
      </c>
      <c r="T1029" s="3">
        <f>IF(N1029&lt;&gt;"",N1029,IF(O1029&lt;&gt;"",O1029,IF(L1029&lt;&gt;"",L1029/1.56,IF(M1029&lt;&gt;"",M1029/1.56,""))))</f>
        <v/>
      </c>
      <c r="U1029" s="3" t="n">
        <v>308</v>
      </c>
      <c r="V1029" s="3" t="n">
        <v>188</v>
      </c>
      <c r="W1029" s="3" t="n"/>
      <c r="X1029" s="4" t="n"/>
      <c r="Y1029" s="5" t="n">
        <v>0.173</v>
      </c>
      <c r="Z1029" s="4">
        <f>IF(L1029&lt;&gt;"",SQRT(3)*G1029*L1029/1000,"")</f>
        <v/>
      </c>
      <c r="AA1029" t="inlineStr">
        <is>
          <t>Source=Copeland 2D/3D/4D/4R/6D/8D/9R compressors (pdf) p45; PWS_RLA=35.7</t>
        </is>
      </c>
      <c r="AB1029" t="inlineStr">
        <is>
          <t>Copeland_RLA_230_460_3ph_60Hz.xlsx</t>
        </is>
      </c>
      <c r="AC1029" t="inlineStr">
        <is>
          <t>Recip_2D-9R</t>
        </is>
      </c>
    </row>
    <row r="1030">
      <c r="A1030" t="inlineStr">
        <is>
          <t>COPELAND</t>
        </is>
      </c>
      <c r="B1030" t="inlineStr">
        <is>
          <t>4RA4-200L-TSK</t>
        </is>
      </c>
      <c r="D1030" t="inlineStr">
        <is>
          <t>Reciprocating Semi-hermetic</t>
        </is>
      </c>
      <c r="E1030" s="2" t="n">
        <v>3</v>
      </c>
      <c r="F1030" s="2" t="n">
        <v>60</v>
      </c>
      <c r="G1030" s="2" t="n">
        <v>460</v>
      </c>
      <c r="H1030" t="inlineStr">
        <is>
          <t>460</t>
        </is>
      </c>
      <c r="I1030" s="2" t="n">
        <v>460</v>
      </c>
      <c r="J1030" s="2" t="n">
        <v>460</v>
      </c>
      <c r="L1030" s="3" t="n"/>
      <c r="M1030" s="3" t="n"/>
      <c r="N1030" s="3" t="n">
        <v>35.7</v>
      </c>
      <c r="O1030" s="3" t="n"/>
      <c r="P1030" s="3">
        <f>IF(L1030&lt;&gt;"",L1030/1.4,"")</f>
        <v/>
      </c>
      <c r="Q1030" s="3">
        <f>IF(L1030&lt;&gt;"",L1030/1.56,"")</f>
        <v/>
      </c>
      <c r="R1030" s="3">
        <f>IF(M1030&lt;&gt;"",M1030/1.4,"")</f>
        <v/>
      </c>
      <c r="S1030" s="3">
        <f>IF(M1030&lt;&gt;"",M1030/1.56,"")</f>
        <v/>
      </c>
      <c r="T1030" s="3">
        <f>IF(N1030&lt;&gt;"",N1030,IF(O1030&lt;&gt;"",O1030,IF(L1030&lt;&gt;"",L1030/1.56,IF(M1030&lt;&gt;"",M1030/1.56,""))))</f>
        <v/>
      </c>
      <c r="U1030" s="3" t="n">
        <v>154</v>
      </c>
      <c r="V1030" s="3" t="n"/>
      <c r="W1030" s="3" t="n"/>
      <c r="X1030" s="4" t="n"/>
      <c r="Y1030" s="5" t="n">
        <v>0.6899999999999999</v>
      </c>
      <c r="Z1030" s="4">
        <f>IF(L1030&lt;&gt;"",SQRT(3)*G1030*L1030/1000,"")</f>
        <v/>
      </c>
      <c r="AA1030" t="inlineStr">
        <is>
          <t>Source=Copeland 2D/3D/4D/4R/6D/8D/9R compressors (pdf) p45</t>
        </is>
      </c>
      <c r="AB1030" t="inlineStr">
        <is>
          <t>Copeland_RLA_230_460_3ph_60Hz.xlsx</t>
        </is>
      </c>
      <c r="AC1030" t="inlineStr">
        <is>
          <t>Recip_2D-9R</t>
        </is>
      </c>
    </row>
    <row r="1031">
      <c r="A1031" t="inlineStr">
        <is>
          <t>COPELAND</t>
        </is>
      </c>
      <c r="B1031" t="inlineStr">
        <is>
          <t>4RE2-1000-TSK</t>
        </is>
      </c>
      <c r="D1031" t="inlineStr">
        <is>
          <t>Reciprocating Semi-hermetic</t>
        </is>
      </c>
      <c r="E1031" s="2" t="n">
        <v>3</v>
      </c>
      <c r="F1031" s="2" t="n">
        <v>60</v>
      </c>
      <c r="G1031" s="2" t="n">
        <v>230</v>
      </c>
      <c r="H1031" t="inlineStr">
        <is>
          <t>208/230</t>
        </is>
      </c>
      <c r="I1031" s="2" t="n">
        <v>208</v>
      </c>
      <c r="J1031" s="2" t="n">
        <v>230</v>
      </c>
      <c r="L1031" s="3" t="n"/>
      <c r="M1031" s="3" t="n"/>
      <c r="N1031" s="3" t="n">
        <v>54.9</v>
      </c>
      <c r="O1031" s="3" t="n"/>
      <c r="P1031" s="3">
        <f>IF(L1031&lt;&gt;"",L1031/1.4,"")</f>
        <v/>
      </c>
      <c r="Q1031" s="3">
        <f>IF(L1031&lt;&gt;"",L1031/1.56,"")</f>
        <v/>
      </c>
      <c r="R1031" s="3">
        <f>IF(M1031&lt;&gt;"",M1031/1.4,"")</f>
        <v/>
      </c>
      <c r="S1031" s="3">
        <f>IF(M1031&lt;&gt;"",M1031/1.56,"")</f>
        <v/>
      </c>
      <c r="T1031" s="3">
        <f>IF(N1031&lt;&gt;"",N1031,IF(O1031&lt;&gt;"",O1031,IF(L1031&lt;&gt;"",L1031/1.56,IF(M1031&lt;&gt;"",M1031/1.56,""))))</f>
        <v/>
      </c>
      <c r="U1031" s="3" t="n">
        <v>240</v>
      </c>
      <c r="V1031" s="3" t="n">
        <v>140</v>
      </c>
      <c r="W1031" s="3" t="n"/>
      <c r="X1031" s="4" t="n"/>
      <c r="Y1031" s="5" t="n">
        <v>0.259</v>
      </c>
      <c r="Z1031" s="4">
        <f>IF(L1031&lt;&gt;"",SQRT(3)*G1031*L1031/1000,"")</f>
        <v/>
      </c>
      <c r="AA1031" t="inlineStr">
        <is>
          <t>Source=Copeland 2D/3D/4D/4R/6D/8D/9R compressors (pdf) p45; PWS_RLA=27.4</t>
        </is>
      </c>
      <c r="AB1031" t="inlineStr">
        <is>
          <t>Copeland_RLA_230_460_3ph_60Hz.xlsx</t>
        </is>
      </c>
      <c r="AC1031" t="inlineStr">
        <is>
          <t>Recip_2D-9R</t>
        </is>
      </c>
    </row>
    <row r="1032">
      <c r="A1032" t="inlineStr">
        <is>
          <t>COPELAND</t>
        </is>
      </c>
      <c r="B1032" t="inlineStr">
        <is>
          <t>4RE2-1000-TSK</t>
        </is>
      </c>
      <c r="D1032" t="inlineStr">
        <is>
          <t>Reciprocating Semi-hermetic</t>
        </is>
      </c>
      <c r="E1032" s="2" t="n">
        <v>3</v>
      </c>
      <c r="F1032" s="2" t="n">
        <v>60</v>
      </c>
      <c r="G1032" s="2" t="n">
        <v>460</v>
      </c>
      <c r="H1032" t="inlineStr">
        <is>
          <t>460</t>
        </is>
      </c>
      <c r="I1032" s="2" t="n">
        <v>460</v>
      </c>
      <c r="J1032" s="2" t="n">
        <v>460</v>
      </c>
      <c r="L1032" s="3" t="n"/>
      <c r="M1032" s="3" t="n"/>
      <c r="N1032" s="3" t="n">
        <v>27.4</v>
      </c>
      <c r="O1032" s="3" t="n"/>
      <c r="P1032" s="3">
        <f>IF(L1032&lt;&gt;"",L1032/1.4,"")</f>
        <v/>
      </c>
      <c r="Q1032" s="3">
        <f>IF(L1032&lt;&gt;"",L1032/1.56,"")</f>
        <v/>
      </c>
      <c r="R1032" s="3">
        <f>IF(M1032&lt;&gt;"",M1032/1.4,"")</f>
        <v/>
      </c>
      <c r="S1032" s="3">
        <f>IF(M1032&lt;&gt;"",M1032/1.56,"")</f>
        <v/>
      </c>
      <c r="T1032" s="3">
        <f>IF(N1032&lt;&gt;"",N1032,IF(O1032&lt;&gt;"",O1032,IF(L1032&lt;&gt;"",L1032/1.56,IF(M1032&lt;&gt;"",M1032/1.56,""))))</f>
        <v/>
      </c>
      <c r="U1032" s="3" t="n">
        <v>120</v>
      </c>
      <c r="V1032" s="3" t="n"/>
      <c r="W1032" s="3" t="n"/>
      <c r="X1032" s="4" t="n"/>
      <c r="Y1032" s="5" t="n">
        <v>1.036</v>
      </c>
      <c r="Z1032" s="4">
        <f>IF(L1032&lt;&gt;"",SQRT(3)*G1032*L1032/1000,"")</f>
        <v/>
      </c>
      <c r="AA1032" t="inlineStr">
        <is>
          <t>Source=Copeland 2D/3D/4D/4R/6D/8D/9R compressors (pdf) p46</t>
        </is>
      </c>
      <c r="AB1032" t="inlineStr">
        <is>
          <t>Copeland_RLA_230_460_3ph_60Hz.xlsx</t>
        </is>
      </c>
      <c r="AC1032" t="inlineStr">
        <is>
          <t>Recip_2D-9R</t>
        </is>
      </c>
    </row>
    <row r="1033">
      <c r="A1033" t="inlineStr">
        <is>
          <t>COPELAND</t>
        </is>
      </c>
      <c r="B1033" t="inlineStr">
        <is>
          <t>4RE2-2000-FSD</t>
        </is>
      </c>
      <c r="D1033" t="inlineStr">
        <is>
          <t>Reciprocating Semi-hermetic</t>
        </is>
      </c>
      <c r="E1033" s="2" t="n">
        <v>3</v>
      </c>
      <c r="F1033" s="2" t="n">
        <v>60</v>
      </c>
      <c r="G1033" s="2" t="n">
        <v>460</v>
      </c>
      <c r="H1033" t="inlineStr">
        <is>
          <t>460</t>
        </is>
      </c>
      <c r="I1033" s="2" t="n">
        <v>460</v>
      </c>
      <c r="J1033" s="2" t="n">
        <v>460</v>
      </c>
      <c r="L1033" s="3" t="n"/>
      <c r="M1033" s="3" t="n"/>
      <c r="N1033" s="3" t="n">
        <v>32.4</v>
      </c>
      <c r="O1033" s="3" t="n"/>
      <c r="P1033" s="3">
        <f>IF(L1033&lt;&gt;"",L1033/1.4,"")</f>
        <v/>
      </c>
      <c r="Q1033" s="3">
        <f>IF(L1033&lt;&gt;"",L1033/1.56,"")</f>
        <v/>
      </c>
      <c r="R1033" s="3">
        <f>IF(M1033&lt;&gt;"",M1033/1.4,"")</f>
        <v/>
      </c>
      <c r="S1033" s="3">
        <f>IF(M1033&lt;&gt;"",M1033/1.56,"")</f>
        <v/>
      </c>
      <c r="T1033" s="3">
        <f>IF(N1033&lt;&gt;"",N1033,IF(O1033&lt;&gt;"",O1033,IF(L1033&lt;&gt;"",L1033/1.56,IF(M1033&lt;&gt;"",M1033/1.56,""))))</f>
        <v/>
      </c>
      <c r="U1033" s="3" t="n">
        <v>135</v>
      </c>
      <c r="V1033" s="3" t="n">
        <v>82</v>
      </c>
      <c r="W1033" s="3" t="n"/>
      <c r="X1033" s="4" t="n"/>
      <c r="Y1033" s="5" t="n">
        <v>0.757</v>
      </c>
      <c r="Z1033" s="4">
        <f>IF(L1033&lt;&gt;"",SQRT(3)*G1033*L1033/1000,"")</f>
        <v/>
      </c>
      <c r="AA1033" t="inlineStr">
        <is>
          <t>Source=Copeland 2D/3D/4D/4R/6D/8D/9R compressors (pdf) p46; PWS_RLA=16.2</t>
        </is>
      </c>
      <c r="AB1033" t="inlineStr">
        <is>
          <t>Copeland_RLA_230_460_3ph_60Hz.xlsx</t>
        </is>
      </c>
      <c r="AC1033" t="inlineStr">
        <is>
          <t>Recip_2D-9R</t>
        </is>
      </c>
    </row>
    <row r="1034">
      <c r="A1034" t="inlineStr">
        <is>
          <t>COPELAND</t>
        </is>
      </c>
      <c r="B1034" t="inlineStr">
        <is>
          <t>4RE2-2000-TSK</t>
        </is>
      </c>
      <c r="D1034" t="inlineStr">
        <is>
          <t>Reciprocating Semi-hermetic</t>
        </is>
      </c>
      <c r="E1034" s="2" t="n">
        <v>3</v>
      </c>
      <c r="F1034" s="2" t="n">
        <v>60</v>
      </c>
      <c r="G1034" s="2" t="n">
        <v>230</v>
      </c>
      <c r="H1034" t="inlineStr">
        <is>
          <t>208/230</t>
        </is>
      </c>
      <c r="I1034" s="2" t="n">
        <v>208</v>
      </c>
      <c r="J1034" s="2" t="n">
        <v>230</v>
      </c>
      <c r="L1034" s="3" t="n"/>
      <c r="M1034" s="3" t="n"/>
      <c r="N1034" s="3" t="n">
        <v>71.40000000000001</v>
      </c>
      <c r="O1034" s="3" t="n"/>
      <c r="P1034" s="3">
        <f>IF(L1034&lt;&gt;"",L1034/1.4,"")</f>
        <v/>
      </c>
      <c r="Q1034" s="3">
        <f>IF(L1034&lt;&gt;"",L1034/1.56,"")</f>
        <v/>
      </c>
      <c r="R1034" s="3">
        <f>IF(M1034&lt;&gt;"",M1034/1.4,"")</f>
        <v/>
      </c>
      <c r="S1034" s="3">
        <f>IF(M1034&lt;&gt;"",M1034/1.56,"")</f>
        <v/>
      </c>
      <c r="T1034" s="3">
        <f>IF(N1034&lt;&gt;"",N1034,IF(O1034&lt;&gt;"",O1034,IF(L1034&lt;&gt;"",L1034/1.56,IF(M1034&lt;&gt;"",M1034/1.56,""))))</f>
        <v/>
      </c>
      <c r="U1034" s="3" t="n">
        <v>308</v>
      </c>
      <c r="V1034" s="3" t="n">
        <v>188</v>
      </c>
      <c r="W1034" s="3" t="n"/>
      <c r="X1034" s="4" t="n"/>
      <c r="Y1034" s="5" t="n">
        <v>0.173</v>
      </c>
      <c r="Z1034" s="4">
        <f>IF(L1034&lt;&gt;"",SQRT(3)*G1034*L1034/1000,"")</f>
        <v/>
      </c>
      <c r="AA1034" t="inlineStr">
        <is>
          <t>Source=Copeland 2D/3D/4D/4R/6D/8D/9R compressors (pdf) p46; PWS_RLA=35.7</t>
        </is>
      </c>
      <c r="AB1034" t="inlineStr">
        <is>
          <t>Copeland_RLA_230_460_3ph_60Hz.xlsx</t>
        </is>
      </c>
      <c r="AC1034" t="inlineStr">
        <is>
          <t>Recip_2D-9R</t>
        </is>
      </c>
    </row>
    <row r="1035">
      <c r="A1035" t="inlineStr">
        <is>
          <t>COPELAND</t>
        </is>
      </c>
      <c r="B1035" t="inlineStr">
        <is>
          <t>4RE2-2000-TSK</t>
        </is>
      </c>
      <c r="D1035" t="inlineStr">
        <is>
          <t>Reciprocating Semi-hermetic</t>
        </is>
      </c>
      <c r="E1035" s="2" t="n">
        <v>3</v>
      </c>
      <c r="F1035" s="2" t="n">
        <v>60</v>
      </c>
      <c r="G1035" s="2" t="n">
        <v>460</v>
      </c>
      <c r="H1035" t="inlineStr">
        <is>
          <t>460</t>
        </is>
      </c>
      <c r="I1035" s="2" t="n">
        <v>460</v>
      </c>
      <c r="J1035" s="2" t="n">
        <v>460</v>
      </c>
      <c r="L1035" s="3" t="n"/>
      <c r="M1035" s="3" t="n"/>
      <c r="N1035" s="3" t="n">
        <v>35.7</v>
      </c>
      <c r="O1035" s="3" t="n"/>
      <c r="P1035" s="3">
        <f>IF(L1035&lt;&gt;"",L1035/1.4,"")</f>
        <v/>
      </c>
      <c r="Q1035" s="3">
        <f>IF(L1035&lt;&gt;"",L1035/1.56,"")</f>
        <v/>
      </c>
      <c r="R1035" s="3">
        <f>IF(M1035&lt;&gt;"",M1035/1.4,"")</f>
        <v/>
      </c>
      <c r="S1035" s="3">
        <f>IF(M1035&lt;&gt;"",M1035/1.56,"")</f>
        <v/>
      </c>
      <c r="T1035" s="3">
        <f>IF(N1035&lt;&gt;"",N1035,IF(O1035&lt;&gt;"",O1035,IF(L1035&lt;&gt;"",L1035/1.56,IF(M1035&lt;&gt;"",M1035/1.56,""))))</f>
        <v/>
      </c>
      <c r="U1035" s="3" t="n">
        <v>154</v>
      </c>
      <c r="V1035" s="3" t="n"/>
      <c r="W1035" s="3" t="n"/>
      <c r="X1035" s="4" t="n"/>
      <c r="Y1035" s="5" t="n">
        <v>0.6899999999999999</v>
      </c>
      <c r="Z1035" s="4">
        <f>IF(L1035&lt;&gt;"",SQRT(3)*G1035*L1035/1000,"")</f>
        <v/>
      </c>
      <c r="AA1035" t="inlineStr">
        <is>
          <t>Source=Copeland 2D/3D/4D/4R/6D/8D/9R compressors (pdf) p46</t>
        </is>
      </c>
      <c r="AB1035" t="inlineStr">
        <is>
          <t>Copeland_RLA_230_460_3ph_60Hz.xlsx</t>
        </is>
      </c>
      <c r="AC1035" t="inlineStr">
        <is>
          <t>Recip_2D-9R</t>
        </is>
      </c>
    </row>
    <row r="1036">
      <c r="A1036" t="inlineStr">
        <is>
          <t>COPELAND</t>
        </is>
      </c>
      <c r="B1036" t="inlineStr">
        <is>
          <t>4RE2-200A-FSD</t>
        </is>
      </c>
      <c r="D1036" t="inlineStr">
        <is>
          <t>Reciprocating Semi-hermetic</t>
        </is>
      </c>
      <c r="E1036" s="2" t="n">
        <v>3</v>
      </c>
      <c r="F1036" s="2" t="n">
        <v>60</v>
      </c>
      <c r="G1036" s="2" t="n">
        <v>460</v>
      </c>
      <c r="H1036" t="inlineStr">
        <is>
          <t>460</t>
        </is>
      </c>
      <c r="I1036" s="2" t="n">
        <v>460</v>
      </c>
      <c r="J1036" s="2" t="n">
        <v>460</v>
      </c>
      <c r="L1036" s="3" t="n"/>
      <c r="M1036" s="3" t="n"/>
      <c r="N1036" s="3" t="n">
        <v>32.4</v>
      </c>
      <c r="O1036" s="3" t="n"/>
      <c r="P1036" s="3">
        <f>IF(L1036&lt;&gt;"",L1036/1.4,"")</f>
        <v/>
      </c>
      <c r="Q1036" s="3">
        <f>IF(L1036&lt;&gt;"",L1036/1.56,"")</f>
        <v/>
      </c>
      <c r="R1036" s="3">
        <f>IF(M1036&lt;&gt;"",M1036/1.4,"")</f>
        <v/>
      </c>
      <c r="S1036" s="3">
        <f>IF(M1036&lt;&gt;"",M1036/1.56,"")</f>
        <v/>
      </c>
      <c r="T1036" s="3">
        <f>IF(N1036&lt;&gt;"",N1036,IF(O1036&lt;&gt;"",O1036,IF(L1036&lt;&gt;"",L1036/1.56,IF(M1036&lt;&gt;"",M1036/1.56,""))))</f>
        <v/>
      </c>
      <c r="U1036" s="3" t="n">
        <v>135</v>
      </c>
      <c r="V1036" s="3" t="n">
        <v>82</v>
      </c>
      <c r="W1036" s="3" t="n"/>
      <c r="X1036" s="4" t="n"/>
      <c r="Y1036" s="5" t="n">
        <v>0.757</v>
      </c>
      <c r="Z1036" s="4">
        <f>IF(L1036&lt;&gt;"",SQRT(3)*G1036*L1036/1000,"")</f>
        <v/>
      </c>
      <c r="AA1036" t="inlineStr">
        <is>
          <t>Source=Copeland 2D/3D/4D/4R/6D/8D/9R compressors (pdf) p46; PWS_RLA=16.2</t>
        </is>
      </c>
      <c r="AB1036" t="inlineStr">
        <is>
          <t>Copeland_RLA_230_460_3ph_60Hz.xlsx</t>
        </is>
      </c>
      <c r="AC1036" t="inlineStr">
        <is>
          <t>Recip_2D-9R</t>
        </is>
      </c>
    </row>
    <row r="1037">
      <c r="A1037" t="inlineStr">
        <is>
          <t>COPELAND</t>
        </is>
      </c>
      <c r="B1037" t="inlineStr">
        <is>
          <t>4RE2-200A-TSK</t>
        </is>
      </c>
      <c r="D1037" t="inlineStr">
        <is>
          <t>Reciprocating Semi-hermetic</t>
        </is>
      </c>
      <c r="E1037" s="2" t="n">
        <v>3</v>
      </c>
      <c r="F1037" s="2" t="n">
        <v>60</v>
      </c>
      <c r="G1037" s="2" t="n">
        <v>230</v>
      </c>
      <c r="H1037" t="inlineStr">
        <is>
          <t>208/230</t>
        </is>
      </c>
      <c r="I1037" s="2" t="n">
        <v>208</v>
      </c>
      <c r="J1037" s="2" t="n">
        <v>230</v>
      </c>
      <c r="L1037" s="3" t="n"/>
      <c r="M1037" s="3" t="n"/>
      <c r="N1037" s="3" t="n">
        <v>71.40000000000001</v>
      </c>
      <c r="O1037" s="3" t="n"/>
      <c r="P1037" s="3">
        <f>IF(L1037&lt;&gt;"",L1037/1.4,"")</f>
        <v/>
      </c>
      <c r="Q1037" s="3">
        <f>IF(L1037&lt;&gt;"",L1037/1.56,"")</f>
        <v/>
      </c>
      <c r="R1037" s="3">
        <f>IF(M1037&lt;&gt;"",M1037/1.4,"")</f>
        <v/>
      </c>
      <c r="S1037" s="3">
        <f>IF(M1037&lt;&gt;"",M1037/1.56,"")</f>
        <v/>
      </c>
      <c r="T1037" s="3">
        <f>IF(N1037&lt;&gt;"",N1037,IF(O1037&lt;&gt;"",O1037,IF(L1037&lt;&gt;"",L1037/1.56,IF(M1037&lt;&gt;"",M1037/1.56,""))))</f>
        <v/>
      </c>
      <c r="U1037" s="3" t="n">
        <v>308</v>
      </c>
      <c r="V1037" s="3" t="n">
        <v>188</v>
      </c>
      <c r="W1037" s="3" t="n"/>
      <c r="X1037" s="4" t="n"/>
      <c r="Y1037" s="5" t="n">
        <v>0.173</v>
      </c>
      <c r="Z1037" s="4">
        <f>IF(L1037&lt;&gt;"",SQRT(3)*G1037*L1037/1000,"")</f>
        <v/>
      </c>
      <c r="AA1037" t="inlineStr">
        <is>
          <t>Source=Copeland 2D/3D/4D/4R/6D/8D/9R compressors (pdf) p46; PWS_RLA=35.7</t>
        </is>
      </c>
      <c r="AB1037" t="inlineStr">
        <is>
          <t>Copeland_RLA_230_460_3ph_60Hz.xlsx</t>
        </is>
      </c>
      <c r="AC1037" t="inlineStr">
        <is>
          <t>Recip_2D-9R</t>
        </is>
      </c>
    </row>
    <row r="1038">
      <c r="A1038" t="inlineStr">
        <is>
          <t>COPELAND</t>
        </is>
      </c>
      <c r="B1038" t="inlineStr">
        <is>
          <t>4RE2-200A-TSK</t>
        </is>
      </c>
      <c r="D1038" t="inlineStr">
        <is>
          <t>Reciprocating Semi-hermetic</t>
        </is>
      </c>
      <c r="E1038" s="2" t="n">
        <v>3</v>
      </c>
      <c r="F1038" s="2" t="n">
        <v>60</v>
      </c>
      <c r="G1038" s="2" t="n">
        <v>460</v>
      </c>
      <c r="H1038" t="inlineStr">
        <is>
          <t>460</t>
        </is>
      </c>
      <c r="I1038" s="2" t="n">
        <v>460</v>
      </c>
      <c r="J1038" s="2" t="n">
        <v>460</v>
      </c>
      <c r="L1038" s="3" t="n"/>
      <c r="M1038" s="3" t="n"/>
      <c r="N1038" s="3" t="n">
        <v>35.7</v>
      </c>
      <c r="O1038" s="3" t="n"/>
      <c r="P1038" s="3">
        <f>IF(L1038&lt;&gt;"",L1038/1.4,"")</f>
        <v/>
      </c>
      <c r="Q1038" s="3">
        <f>IF(L1038&lt;&gt;"",L1038/1.56,"")</f>
        <v/>
      </c>
      <c r="R1038" s="3">
        <f>IF(M1038&lt;&gt;"",M1038/1.4,"")</f>
        <v/>
      </c>
      <c r="S1038" s="3">
        <f>IF(M1038&lt;&gt;"",M1038/1.56,"")</f>
        <v/>
      </c>
      <c r="T1038" s="3">
        <f>IF(N1038&lt;&gt;"",N1038,IF(O1038&lt;&gt;"",O1038,IF(L1038&lt;&gt;"",L1038/1.56,IF(M1038&lt;&gt;"",M1038/1.56,""))))</f>
        <v/>
      </c>
      <c r="U1038" s="3" t="n">
        <v>154</v>
      </c>
      <c r="V1038" s="3" t="n"/>
      <c r="W1038" s="3" t="n"/>
      <c r="X1038" s="4" t="n"/>
      <c r="Y1038" s="5" t="n">
        <v>0.6899999999999999</v>
      </c>
      <c r="Z1038" s="4">
        <f>IF(L1038&lt;&gt;"",SQRT(3)*G1038*L1038/1000,"")</f>
        <v/>
      </c>
      <c r="AA1038" t="inlineStr">
        <is>
          <t>Source=Copeland 2D/3D/4D/4R/6D/8D/9R compressors (pdf) p46</t>
        </is>
      </c>
      <c r="AB1038" t="inlineStr">
        <is>
          <t>Copeland_RLA_230_460_3ph_60Hz.xlsx</t>
        </is>
      </c>
      <c r="AC1038" t="inlineStr">
        <is>
          <t>Recip_2D-9R</t>
        </is>
      </c>
    </row>
    <row r="1039">
      <c r="A1039" t="inlineStr">
        <is>
          <t>COPELAND</t>
        </is>
      </c>
      <c r="B1039" t="inlineStr">
        <is>
          <t>4RE4-2000-TSK</t>
        </is>
      </c>
      <c r="D1039" t="inlineStr">
        <is>
          <t>Reciprocating Semi-hermetic</t>
        </is>
      </c>
      <c r="E1039" s="2" t="n">
        <v>3</v>
      </c>
      <c r="F1039" s="2" t="n">
        <v>60</v>
      </c>
      <c r="G1039" s="2" t="n">
        <v>230</v>
      </c>
      <c r="H1039" t="inlineStr">
        <is>
          <t>208/230</t>
        </is>
      </c>
      <c r="I1039" s="2" t="n">
        <v>208</v>
      </c>
      <c r="J1039" s="2" t="n">
        <v>230</v>
      </c>
      <c r="L1039" s="3" t="n"/>
      <c r="M1039" s="3" t="n"/>
      <c r="N1039" s="3" t="n">
        <v>71.40000000000001</v>
      </c>
      <c r="O1039" s="3" t="n"/>
      <c r="P1039" s="3">
        <f>IF(L1039&lt;&gt;"",L1039/1.4,"")</f>
        <v/>
      </c>
      <c r="Q1039" s="3">
        <f>IF(L1039&lt;&gt;"",L1039/1.56,"")</f>
        <v/>
      </c>
      <c r="R1039" s="3">
        <f>IF(M1039&lt;&gt;"",M1039/1.4,"")</f>
        <v/>
      </c>
      <c r="S1039" s="3">
        <f>IF(M1039&lt;&gt;"",M1039/1.56,"")</f>
        <v/>
      </c>
      <c r="T1039" s="3">
        <f>IF(N1039&lt;&gt;"",N1039,IF(O1039&lt;&gt;"",O1039,IF(L1039&lt;&gt;"",L1039/1.56,IF(M1039&lt;&gt;"",M1039/1.56,""))))</f>
        <v/>
      </c>
      <c r="U1039" s="3" t="n">
        <v>308</v>
      </c>
      <c r="V1039" s="3" t="n">
        <v>188</v>
      </c>
      <c r="W1039" s="3" t="n"/>
      <c r="X1039" s="4" t="n"/>
      <c r="Y1039" s="5" t="n">
        <v>0.173</v>
      </c>
      <c r="Z1039" s="4">
        <f>IF(L1039&lt;&gt;"",SQRT(3)*G1039*L1039/1000,"")</f>
        <v/>
      </c>
      <c r="AA1039" t="inlineStr">
        <is>
          <t>Source=Copeland 2D/3D/4D/4R/6D/8D/9R compressors (pdf) p46; PWS_RLA=35.7</t>
        </is>
      </c>
      <c r="AB1039" t="inlineStr">
        <is>
          <t>Copeland_RLA_230_460_3ph_60Hz.xlsx</t>
        </is>
      </c>
      <c r="AC1039" t="inlineStr">
        <is>
          <t>Recip_2D-9R</t>
        </is>
      </c>
    </row>
    <row r="1040">
      <c r="A1040" t="inlineStr">
        <is>
          <t>COPELAND</t>
        </is>
      </c>
      <c r="B1040" t="inlineStr">
        <is>
          <t>4RE4-2000-TSK</t>
        </is>
      </c>
      <c r="D1040" t="inlineStr">
        <is>
          <t>Reciprocating Semi-hermetic</t>
        </is>
      </c>
      <c r="E1040" s="2" t="n">
        <v>3</v>
      </c>
      <c r="F1040" s="2" t="n">
        <v>60</v>
      </c>
      <c r="G1040" s="2" t="n">
        <v>460</v>
      </c>
      <c r="H1040" t="inlineStr">
        <is>
          <t>460</t>
        </is>
      </c>
      <c r="I1040" s="2" t="n">
        <v>460</v>
      </c>
      <c r="J1040" s="2" t="n">
        <v>460</v>
      </c>
      <c r="L1040" s="3" t="n"/>
      <c r="M1040" s="3" t="n"/>
      <c r="N1040" s="3" t="n">
        <v>35.7</v>
      </c>
      <c r="O1040" s="3" t="n"/>
      <c r="P1040" s="3">
        <f>IF(L1040&lt;&gt;"",L1040/1.4,"")</f>
        <v/>
      </c>
      <c r="Q1040" s="3">
        <f>IF(L1040&lt;&gt;"",L1040/1.56,"")</f>
        <v/>
      </c>
      <c r="R1040" s="3">
        <f>IF(M1040&lt;&gt;"",M1040/1.4,"")</f>
        <v/>
      </c>
      <c r="S1040" s="3">
        <f>IF(M1040&lt;&gt;"",M1040/1.56,"")</f>
        <v/>
      </c>
      <c r="T1040" s="3">
        <f>IF(N1040&lt;&gt;"",N1040,IF(O1040&lt;&gt;"",O1040,IF(L1040&lt;&gt;"",L1040/1.56,IF(M1040&lt;&gt;"",M1040/1.56,""))))</f>
        <v/>
      </c>
      <c r="U1040" s="3" t="n">
        <v>154</v>
      </c>
      <c r="V1040" s="3" t="n"/>
      <c r="W1040" s="3" t="n"/>
      <c r="X1040" s="4" t="n"/>
      <c r="Y1040" s="5" t="n">
        <v>0.6899999999999999</v>
      </c>
      <c r="Z1040" s="4">
        <f>IF(L1040&lt;&gt;"",SQRT(3)*G1040*L1040/1000,"")</f>
        <v/>
      </c>
      <c r="AA1040" t="inlineStr">
        <is>
          <t>Source=Copeland 2D/3D/4D/4R/6D/8D/9R compressors (pdf) p46</t>
        </is>
      </c>
      <c r="AB1040" t="inlineStr">
        <is>
          <t>Copeland_RLA_230_460_3ph_60Hz.xlsx</t>
        </is>
      </c>
      <c r="AC1040" t="inlineStr">
        <is>
          <t>Recip_2D-9R</t>
        </is>
      </c>
    </row>
    <row r="1041">
      <c r="A1041" t="inlineStr">
        <is>
          <t>COPELAND</t>
        </is>
      </c>
      <c r="B1041" t="inlineStr">
        <is>
          <t>4RE5-2000-TSK</t>
        </is>
      </c>
      <c r="D1041" t="inlineStr">
        <is>
          <t>Reciprocating Semi-hermetic</t>
        </is>
      </c>
      <c r="E1041" s="2" t="n">
        <v>3</v>
      </c>
      <c r="F1041" s="2" t="n">
        <v>60</v>
      </c>
      <c r="G1041" s="2" t="n">
        <v>230</v>
      </c>
      <c r="H1041" t="inlineStr">
        <is>
          <t>208/230</t>
        </is>
      </c>
      <c r="I1041" s="2" t="n">
        <v>208</v>
      </c>
      <c r="J1041" s="2" t="n">
        <v>230</v>
      </c>
      <c r="L1041" s="3" t="n"/>
      <c r="M1041" s="3" t="n"/>
      <c r="N1041" s="3" t="n">
        <v>71.40000000000001</v>
      </c>
      <c r="O1041" s="3" t="n"/>
      <c r="P1041" s="3">
        <f>IF(L1041&lt;&gt;"",L1041/1.4,"")</f>
        <v/>
      </c>
      <c r="Q1041" s="3">
        <f>IF(L1041&lt;&gt;"",L1041/1.56,"")</f>
        <v/>
      </c>
      <c r="R1041" s="3">
        <f>IF(M1041&lt;&gt;"",M1041/1.4,"")</f>
        <v/>
      </c>
      <c r="S1041" s="3">
        <f>IF(M1041&lt;&gt;"",M1041/1.56,"")</f>
        <v/>
      </c>
      <c r="T1041" s="3">
        <f>IF(N1041&lt;&gt;"",N1041,IF(O1041&lt;&gt;"",O1041,IF(L1041&lt;&gt;"",L1041/1.56,IF(M1041&lt;&gt;"",M1041/1.56,""))))</f>
        <v/>
      </c>
      <c r="U1041" s="3" t="n">
        <v>308</v>
      </c>
      <c r="V1041" s="3" t="n">
        <v>188</v>
      </c>
      <c r="W1041" s="3" t="n"/>
      <c r="X1041" s="4" t="n"/>
      <c r="Y1041" s="5" t="n">
        <v>0.173</v>
      </c>
      <c r="Z1041" s="4">
        <f>IF(L1041&lt;&gt;"",SQRT(3)*G1041*L1041/1000,"")</f>
        <v/>
      </c>
      <c r="AA1041" t="inlineStr">
        <is>
          <t>Source=Copeland 2D/3D/4D/4R/6D/8D/9R compressors (pdf) p46; PWS_RLA=35.7</t>
        </is>
      </c>
      <c r="AB1041" t="inlineStr">
        <is>
          <t>Copeland_RLA_230_460_3ph_60Hz.xlsx</t>
        </is>
      </c>
      <c r="AC1041" t="inlineStr">
        <is>
          <t>Recip_2D-9R</t>
        </is>
      </c>
    </row>
    <row r="1042">
      <c r="A1042" t="inlineStr">
        <is>
          <t>COPELAND</t>
        </is>
      </c>
      <c r="B1042" t="inlineStr">
        <is>
          <t>4RE5-2000-TSK</t>
        </is>
      </c>
      <c r="D1042" t="inlineStr">
        <is>
          <t>Reciprocating Semi-hermetic</t>
        </is>
      </c>
      <c r="E1042" s="2" t="n">
        <v>3</v>
      </c>
      <c r="F1042" s="2" t="n">
        <v>60</v>
      </c>
      <c r="G1042" s="2" t="n">
        <v>460</v>
      </c>
      <c r="H1042" t="inlineStr">
        <is>
          <t>460</t>
        </is>
      </c>
      <c r="I1042" s="2" t="n">
        <v>460</v>
      </c>
      <c r="J1042" s="2" t="n">
        <v>460</v>
      </c>
      <c r="L1042" s="3" t="n"/>
      <c r="M1042" s="3" t="n"/>
      <c r="N1042" s="3" t="n">
        <v>35.7</v>
      </c>
      <c r="O1042" s="3" t="n"/>
      <c r="P1042" s="3">
        <f>IF(L1042&lt;&gt;"",L1042/1.4,"")</f>
        <v/>
      </c>
      <c r="Q1042" s="3">
        <f>IF(L1042&lt;&gt;"",L1042/1.56,"")</f>
        <v/>
      </c>
      <c r="R1042" s="3">
        <f>IF(M1042&lt;&gt;"",M1042/1.4,"")</f>
        <v/>
      </c>
      <c r="S1042" s="3">
        <f>IF(M1042&lt;&gt;"",M1042/1.56,"")</f>
        <v/>
      </c>
      <c r="T1042" s="3">
        <f>IF(N1042&lt;&gt;"",N1042,IF(O1042&lt;&gt;"",O1042,IF(L1042&lt;&gt;"",L1042/1.56,IF(M1042&lt;&gt;"",M1042/1.56,""))))</f>
        <v/>
      </c>
      <c r="U1042" s="3" t="n">
        <v>154</v>
      </c>
      <c r="V1042" s="3" t="n"/>
      <c r="W1042" s="3" t="n"/>
      <c r="X1042" s="4" t="n"/>
      <c r="Y1042" s="5" t="n">
        <v>0.6899999999999999</v>
      </c>
      <c r="Z1042" s="4">
        <f>IF(L1042&lt;&gt;"",SQRT(3)*G1042*L1042/1000,"")</f>
        <v/>
      </c>
      <c r="AA1042" t="inlineStr">
        <is>
          <t>Source=Copeland 2D/3D/4D/4R/6D/8D/9R compressors (pdf) p46</t>
        </is>
      </c>
      <c r="AB1042" t="inlineStr">
        <is>
          <t>Copeland_RLA_230_460_3ph_60Hz.xlsx</t>
        </is>
      </c>
      <c r="AC1042" t="inlineStr">
        <is>
          <t>Recip_2D-9R</t>
        </is>
      </c>
    </row>
    <row r="1043">
      <c r="A1043" t="inlineStr">
        <is>
          <t>COPELAND</t>
        </is>
      </c>
      <c r="B1043" t="inlineStr">
        <is>
          <t>4RH1-1500-TSK</t>
        </is>
      </c>
      <c r="D1043" t="inlineStr">
        <is>
          <t>Reciprocating Semi-hermetic</t>
        </is>
      </c>
      <c r="E1043" s="2" t="n">
        <v>3</v>
      </c>
      <c r="F1043" s="2" t="n">
        <v>60</v>
      </c>
      <c r="G1043" s="2" t="n">
        <v>230</v>
      </c>
      <c r="H1043" t="inlineStr">
        <is>
          <t>208/230</t>
        </is>
      </c>
      <c r="I1043" s="2" t="n">
        <v>208</v>
      </c>
      <c r="J1043" s="2" t="n">
        <v>230</v>
      </c>
      <c r="L1043" s="3" t="n"/>
      <c r="M1043" s="3" t="n"/>
      <c r="N1043" s="3" t="n">
        <v>63</v>
      </c>
      <c r="O1043" s="3" t="n"/>
      <c r="P1043" s="3">
        <f>IF(L1043&lt;&gt;"",L1043/1.4,"")</f>
        <v/>
      </c>
      <c r="Q1043" s="3">
        <f>IF(L1043&lt;&gt;"",L1043/1.56,"")</f>
        <v/>
      </c>
      <c r="R1043" s="3">
        <f>IF(M1043&lt;&gt;"",M1043/1.4,"")</f>
        <v/>
      </c>
      <c r="S1043" s="3">
        <f>IF(M1043&lt;&gt;"",M1043/1.56,"")</f>
        <v/>
      </c>
      <c r="T1043" s="3">
        <f>IF(N1043&lt;&gt;"",N1043,IF(O1043&lt;&gt;"",O1043,IF(L1043&lt;&gt;"",L1043/1.56,IF(M1043&lt;&gt;"",M1043/1.56,""))))</f>
        <v/>
      </c>
      <c r="U1043" s="3" t="n">
        <v>278</v>
      </c>
      <c r="V1043" s="3" t="n">
        <v>170</v>
      </c>
      <c r="W1043" s="3" t="n"/>
      <c r="X1043" s="4" t="n"/>
      <c r="Y1043" s="5" t="n">
        <v>0.208</v>
      </c>
      <c r="Z1043" s="4">
        <f>IF(L1043&lt;&gt;"",SQRT(3)*G1043*L1043/1000,"")</f>
        <v/>
      </c>
      <c r="AA1043" t="inlineStr">
        <is>
          <t>Source=Copeland 2D/3D/4D/4R/6D/8D/9R compressors (pdf) p46; PWS_RLA=31.5</t>
        </is>
      </c>
      <c r="AB1043" t="inlineStr">
        <is>
          <t>Copeland_RLA_230_460_3ph_60Hz.xlsx</t>
        </is>
      </c>
      <c r="AC1043" t="inlineStr">
        <is>
          <t>Recip_2D-9R</t>
        </is>
      </c>
    </row>
    <row r="1044">
      <c r="A1044" t="inlineStr">
        <is>
          <t>COPELAND</t>
        </is>
      </c>
      <c r="B1044" t="inlineStr">
        <is>
          <t>4RH1-1500-TSK</t>
        </is>
      </c>
      <c r="D1044" t="inlineStr">
        <is>
          <t>Reciprocating Semi-hermetic</t>
        </is>
      </c>
      <c r="E1044" s="2" t="n">
        <v>3</v>
      </c>
      <c r="F1044" s="2" t="n">
        <v>60</v>
      </c>
      <c r="G1044" s="2" t="n">
        <v>460</v>
      </c>
      <c r="H1044" t="inlineStr">
        <is>
          <t>460</t>
        </is>
      </c>
      <c r="I1044" s="2" t="n">
        <v>460</v>
      </c>
      <c r="J1044" s="2" t="n">
        <v>460</v>
      </c>
      <c r="L1044" s="3" t="n"/>
      <c r="M1044" s="3" t="n"/>
      <c r="N1044" s="3" t="n">
        <v>31.5</v>
      </c>
      <c r="O1044" s="3" t="n"/>
      <c r="P1044" s="3">
        <f>IF(L1044&lt;&gt;"",L1044/1.4,"")</f>
        <v/>
      </c>
      <c r="Q1044" s="3">
        <f>IF(L1044&lt;&gt;"",L1044/1.56,"")</f>
        <v/>
      </c>
      <c r="R1044" s="3">
        <f>IF(M1044&lt;&gt;"",M1044/1.4,"")</f>
        <v/>
      </c>
      <c r="S1044" s="3">
        <f>IF(M1044&lt;&gt;"",M1044/1.56,"")</f>
        <v/>
      </c>
      <c r="T1044" s="3">
        <f>IF(N1044&lt;&gt;"",N1044,IF(O1044&lt;&gt;"",O1044,IF(L1044&lt;&gt;"",L1044/1.56,IF(M1044&lt;&gt;"",M1044/1.56,""))))</f>
        <v/>
      </c>
      <c r="U1044" s="3" t="n">
        <v>139</v>
      </c>
      <c r="V1044" s="3" t="n"/>
      <c r="W1044" s="3" t="n"/>
      <c r="X1044" s="4" t="n"/>
      <c r="Y1044" s="5" t="n">
        <v>0.832</v>
      </c>
      <c r="Z1044" s="4">
        <f>IF(L1044&lt;&gt;"",SQRT(3)*G1044*L1044/1000,"")</f>
        <v/>
      </c>
      <c r="AA1044" t="inlineStr">
        <is>
          <t>Source=Copeland 2D/3D/4D/4R/6D/8D/9R compressors (pdf) p46</t>
        </is>
      </c>
      <c r="AB1044" t="inlineStr">
        <is>
          <t>Copeland_RLA_230_460_3ph_60Hz.xlsx</t>
        </is>
      </c>
      <c r="AC1044" t="inlineStr">
        <is>
          <t>Recip_2D-9R</t>
        </is>
      </c>
    </row>
    <row r="1045">
      <c r="A1045" t="inlineStr">
        <is>
          <t>COPELAND</t>
        </is>
      </c>
      <c r="B1045" t="inlineStr">
        <is>
          <t>4RH1-150A-TSK</t>
        </is>
      </c>
      <c r="D1045" t="inlineStr">
        <is>
          <t>Reciprocating Semi-hermetic</t>
        </is>
      </c>
      <c r="E1045" s="2" t="n">
        <v>3</v>
      </c>
      <c r="F1045" s="2" t="n">
        <v>60</v>
      </c>
      <c r="G1045" s="2" t="n">
        <v>230</v>
      </c>
      <c r="H1045" t="inlineStr">
        <is>
          <t>208/230</t>
        </is>
      </c>
      <c r="I1045" s="2" t="n">
        <v>208</v>
      </c>
      <c r="J1045" s="2" t="n">
        <v>230</v>
      </c>
      <c r="L1045" s="3" t="n"/>
      <c r="M1045" s="3" t="n"/>
      <c r="N1045" s="3" t="n">
        <v>63</v>
      </c>
      <c r="O1045" s="3" t="n"/>
      <c r="P1045" s="3">
        <f>IF(L1045&lt;&gt;"",L1045/1.4,"")</f>
        <v/>
      </c>
      <c r="Q1045" s="3">
        <f>IF(L1045&lt;&gt;"",L1045/1.56,"")</f>
        <v/>
      </c>
      <c r="R1045" s="3">
        <f>IF(M1045&lt;&gt;"",M1045/1.4,"")</f>
        <v/>
      </c>
      <c r="S1045" s="3">
        <f>IF(M1045&lt;&gt;"",M1045/1.56,"")</f>
        <v/>
      </c>
      <c r="T1045" s="3">
        <f>IF(N1045&lt;&gt;"",N1045,IF(O1045&lt;&gt;"",O1045,IF(L1045&lt;&gt;"",L1045/1.56,IF(M1045&lt;&gt;"",M1045/1.56,""))))</f>
        <v/>
      </c>
      <c r="U1045" s="3" t="n">
        <v>278</v>
      </c>
      <c r="V1045" s="3" t="n">
        <v>170</v>
      </c>
      <c r="W1045" s="3" t="n"/>
      <c r="X1045" s="4" t="n"/>
      <c r="Y1045" s="5" t="n">
        <v>0.208</v>
      </c>
      <c r="Z1045" s="4">
        <f>IF(L1045&lt;&gt;"",SQRT(3)*G1045*L1045/1000,"")</f>
        <v/>
      </c>
      <c r="AA1045" t="inlineStr">
        <is>
          <t>Source=Copeland 2D/3D/4D/4R/6D/8D/9R compressors (pdf) p46; PWS_RLA=31.5</t>
        </is>
      </c>
      <c r="AB1045" t="inlineStr">
        <is>
          <t>Copeland_RLA_230_460_3ph_60Hz.xlsx</t>
        </is>
      </c>
      <c r="AC1045" t="inlineStr">
        <is>
          <t>Recip_2D-9R</t>
        </is>
      </c>
    </row>
    <row r="1046">
      <c r="A1046" t="inlineStr">
        <is>
          <t>COPELAND</t>
        </is>
      </c>
      <c r="B1046" t="inlineStr">
        <is>
          <t>4RH1-150A-TSK</t>
        </is>
      </c>
      <c r="D1046" t="inlineStr">
        <is>
          <t>Reciprocating Semi-hermetic</t>
        </is>
      </c>
      <c r="E1046" s="2" t="n">
        <v>3</v>
      </c>
      <c r="F1046" s="2" t="n">
        <v>60</v>
      </c>
      <c r="G1046" s="2" t="n">
        <v>460</v>
      </c>
      <c r="H1046" t="inlineStr">
        <is>
          <t>460</t>
        </is>
      </c>
      <c r="I1046" s="2" t="n">
        <v>460</v>
      </c>
      <c r="J1046" s="2" t="n">
        <v>460</v>
      </c>
      <c r="L1046" s="3" t="n"/>
      <c r="M1046" s="3" t="n"/>
      <c r="N1046" s="3" t="n">
        <v>31.5</v>
      </c>
      <c r="O1046" s="3" t="n"/>
      <c r="P1046" s="3">
        <f>IF(L1046&lt;&gt;"",L1046/1.4,"")</f>
        <v/>
      </c>
      <c r="Q1046" s="3">
        <f>IF(L1046&lt;&gt;"",L1046/1.56,"")</f>
        <v/>
      </c>
      <c r="R1046" s="3">
        <f>IF(M1046&lt;&gt;"",M1046/1.4,"")</f>
        <v/>
      </c>
      <c r="S1046" s="3">
        <f>IF(M1046&lt;&gt;"",M1046/1.56,"")</f>
        <v/>
      </c>
      <c r="T1046" s="3">
        <f>IF(N1046&lt;&gt;"",N1046,IF(O1046&lt;&gt;"",O1046,IF(L1046&lt;&gt;"",L1046/1.56,IF(M1046&lt;&gt;"",M1046/1.56,""))))</f>
        <v/>
      </c>
      <c r="U1046" s="3" t="n">
        <v>139</v>
      </c>
      <c r="V1046" s="3" t="n"/>
      <c r="W1046" s="3" t="n"/>
      <c r="X1046" s="4" t="n"/>
      <c r="Y1046" s="5" t="n">
        <v>0.832</v>
      </c>
      <c r="Z1046" s="4">
        <f>IF(L1046&lt;&gt;"",SQRT(3)*G1046*L1046/1000,"")</f>
        <v/>
      </c>
      <c r="AA1046" t="inlineStr">
        <is>
          <t>Source=Copeland 2D/3D/4D/4R/6D/8D/9R compressors (pdf) p46</t>
        </is>
      </c>
      <c r="AB1046" t="inlineStr">
        <is>
          <t>Copeland_RLA_230_460_3ph_60Hz.xlsx</t>
        </is>
      </c>
      <c r="AC1046" t="inlineStr">
        <is>
          <t>Recip_2D-9R</t>
        </is>
      </c>
    </row>
    <row r="1047">
      <c r="A1047" t="inlineStr">
        <is>
          <t>COPELAND</t>
        </is>
      </c>
      <c r="B1047" t="inlineStr">
        <is>
          <t>4RH1-2500-FSD</t>
        </is>
      </c>
      <c r="D1047" t="inlineStr">
        <is>
          <t>Reciprocating Semi-hermetic</t>
        </is>
      </c>
      <c r="E1047" s="2" t="n">
        <v>3</v>
      </c>
      <c r="F1047" s="2" t="n">
        <v>60</v>
      </c>
      <c r="G1047" s="2" t="n">
        <v>460</v>
      </c>
      <c r="H1047" t="inlineStr">
        <is>
          <t>460</t>
        </is>
      </c>
      <c r="I1047" s="2" t="n">
        <v>460</v>
      </c>
      <c r="J1047" s="2" t="n">
        <v>460</v>
      </c>
      <c r="L1047" s="3" t="n"/>
      <c r="M1047" s="3" t="n"/>
      <c r="N1047" s="3" t="n">
        <v>45</v>
      </c>
      <c r="O1047" s="3" t="n"/>
      <c r="P1047" s="3">
        <f>IF(L1047&lt;&gt;"",L1047/1.4,"")</f>
        <v/>
      </c>
      <c r="Q1047" s="3">
        <f>IF(L1047&lt;&gt;"",L1047/1.56,"")</f>
        <v/>
      </c>
      <c r="R1047" s="3">
        <f>IF(M1047&lt;&gt;"",M1047/1.4,"")</f>
        <v/>
      </c>
      <c r="S1047" s="3">
        <f>IF(M1047&lt;&gt;"",M1047/1.56,"")</f>
        <v/>
      </c>
      <c r="T1047" s="3">
        <f>IF(N1047&lt;&gt;"",N1047,IF(O1047&lt;&gt;"",O1047,IF(L1047&lt;&gt;"",L1047/1.56,IF(M1047&lt;&gt;"",M1047/1.56,""))))</f>
        <v/>
      </c>
      <c r="U1047" s="3" t="n">
        <v>165</v>
      </c>
      <c r="V1047" s="3" t="n">
        <v>100</v>
      </c>
      <c r="W1047" s="3" t="n"/>
      <c r="X1047" s="4" t="n"/>
      <c r="Y1047" s="5" t="n">
        <v>0.575</v>
      </c>
      <c r="Z1047" s="4">
        <f>IF(L1047&lt;&gt;"",SQRT(3)*G1047*L1047/1000,"")</f>
        <v/>
      </c>
      <c r="AA1047" t="inlineStr">
        <is>
          <t>Source=Copeland 2D/3D/4D/4R/6D/8D/9R compressors (pdf) p46; PWS_RLA=22.5</t>
        </is>
      </c>
      <c r="AB1047" t="inlineStr">
        <is>
          <t>Copeland_RLA_230_460_3ph_60Hz.xlsx</t>
        </is>
      </c>
      <c r="AC1047" t="inlineStr">
        <is>
          <t>Recip_2D-9R</t>
        </is>
      </c>
    </row>
    <row r="1048">
      <c r="A1048" t="inlineStr">
        <is>
          <t>COPELAND</t>
        </is>
      </c>
      <c r="B1048" t="inlineStr">
        <is>
          <t>4RH1-2500-TSK</t>
        </is>
      </c>
      <c r="D1048" t="inlineStr">
        <is>
          <t>Reciprocating Semi-hermetic</t>
        </is>
      </c>
      <c r="E1048" s="2" t="n">
        <v>3</v>
      </c>
      <c r="F1048" s="2" t="n">
        <v>60</v>
      </c>
      <c r="G1048" s="2" t="n">
        <v>230</v>
      </c>
      <c r="H1048" t="inlineStr">
        <is>
          <t>208/230</t>
        </is>
      </c>
      <c r="I1048" s="2" t="n">
        <v>208</v>
      </c>
      <c r="J1048" s="2" t="n">
        <v>230</v>
      </c>
      <c r="L1048" s="3" t="n"/>
      <c r="M1048" s="3" t="n"/>
      <c r="N1048" s="3" t="n">
        <v>88.59999999999999</v>
      </c>
      <c r="O1048" s="3" t="n"/>
      <c r="P1048" s="3">
        <f>IF(L1048&lt;&gt;"",L1048/1.4,"")</f>
        <v/>
      </c>
      <c r="Q1048" s="3">
        <f>IF(L1048&lt;&gt;"",L1048/1.56,"")</f>
        <v/>
      </c>
      <c r="R1048" s="3">
        <f>IF(M1048&lt;&gt;"",M1048/1.4,"")</f>
        <v/>
      </c>
      <c r="S1048" s="3">
        <f>IF(M1048&lt;&gt;"",M1048/1.56,"")</f>
        <v/>
      </c>
      <c r="T1048" s="3">
        <f>IF(N1048&lt;&gt;"",N1048,IF(O1048&lt;&gt;"",O1048,IF(L1048&lt;&gt;"",L1048/1.56,IF(M1048&lt;&gt;"",M1048/1.56,""))))</f>
        <v/>
      </c>
      <c r="U1048" s="3" t="n">
        <v>428</v>
      </c>
      <c r="V1048" s="3" t="n">
        <v>250</v>
      </c>
      <c r="W1048" s="3" t="n"/>
      <c r="X1048" s="4" t="n"/>
      <c r="Y1048" s="5" t="n">
        <v>0.132</v>
      </c>
      <c r="Z1048" s="4">
        <f>IF(L1048&lt;&gt;"",SQRT(3)*G1048*L1048/1000,"")</f>
        <v/>
      </c>
      <c r="AA1048" t="inlineStr">
        <is>
          <t>Source=Copeland 2D/3D/4D/4R/6D/8D/9R compressors (pdf) p46; PWS_RLA=44.3</t>
        </is>
      </c>
      <c r="AB1048" t="inlineStr">
        <is>
          <t>Copeland_RLA_230_460_3ph_60Hz.xlsx</t>
        </is>
      </c>
      <c r="AC1048" t="inlineStr">
        <is>
          <t>Recip_2D-9R</t>
        </is>
      </c>
    </row>
    <row r="1049">
      <c r="A1049" t="inlineStr">
        <is>
          <t>COPELAND</t>
        </is>
      </c>
      <c r="B1049" t="inlineStr">
        <is>
          <t>4RH1-2500-TSK</t>
        </is>
      </c>
      <c r="D1049" t="inlineStr">
        <is>
          <t>Reciprocating Semi-hermetic</t>
        </is>
      </c>
      <c r="E1049" s="2" t="n">
        <v>3</v>
      </c>
      <c r="F1049" s="2" t="n">
        <v>60</v>
      </c>
      <c r="G1049" s="2" t="n">
        <v>460</v>
      </c>
      <c r="H1049" t="inlineStr">
        <is>
          <t>460</t>
        </is>
      </c>
      <c r="I1049" s="2" t="n">
        <v>460</v>
      </c>
      <c r="J1049" s="2" t="n">
        <v>460</v>
      </c>
      <c r="L1049" s="3" t="n"/>
      <c r="M1049" s="3" t="n"/>
      <c r="N1049" s="3" t="n">
        <v>44.3</v>
      </c>
      <c r="O1049" s="3" t="n"/>
      <c r="P1049" s="3">
        <f>IF(L1049&lt;&gt;"",L1049/1.4,"")</f>
        <v/>
      </c>
      <c r="Q1049" s="3">
        <f>IF(L1049&lt;&gt;"",L1049/1.56,"")</f>
        <v/>
      </c>
      <c r="R1049" s="3">
        <f>IF(M1049&lt;&gt;"",M1049/1.4,"")</f>
        <v/>
      </c>
      <c r="S1049" s="3">
        <f>IF(M1049&lt;&gt;"",M1049/1.56,"")</f>
        <v/>
      </c>
      <c r="T1049" s="3">
        <f>IF(N1049&lt;&gt;"",N1049,IF(O1049&lt;&gt;"",O1049,IF(L1049&lt;&gt;"",L1049/1.56,IF(M1049&lt;&gt;"",M1049/1.56,""))))</f>
        <v/>
      </c>
      <c r="U1049" s="3" t="n">
        <v>214</v>
      </c>
      <c r="V1049" s="3" t="n"/>
      <c r="W1049" s="3" t="n"/>
      <c r="X1049" s="4" t="n"/>
      <c r="Y1049" s="5" t="n">
        <v>0.528</v>
      </c>
      <c r="Z1049" s="4">
        <f>IF(L1049&lt;&gt;"",SQRT(3)*G1049*L1049/1000,"")</f>
        <v/>
      </c>
      <c r="AA1049" t="inlineStr">
        <is>
          <t>Source=Copeland 2D/3D/4D/4R/6D/8D/9R compressors (pdf) p47</t>
        </is>
      </c>
      <c r="AB1049" t="inlineStr">
        <is>
          <t>Copeland_RLA_230_460_3ph_60Hz.xlsx</t>
        </is>
      </c>
      <c r="AC1049" t="inlineStr">
        <is>
          <t>Recip_2D-9R</t>
        </is>
      </c>
    </row>
    <row r="1050">
      <c r="A1050" t="inlineStr">
        <is>
          <t>COPELAND</t>
        </is>
      </c>
      <c r="B1050" t="inlineStr">
        <is>
          <t>4RH1-250A-FSD</t>
        </is>
      </c>
      <c r="D1050" t="inlineStr">
        <is>
          <t>Reciprocating Semi-hermetic</t>
        </is>
      </c>
      <c r="E1050" s="2" t="n">
        <v>3</v>
      </c>
      <c r="F1050" s="2" t="n">
        <v>60</v>
      </c>
      <c r="G1050" s="2" t="n">
        <v>460</v>
      </c>
      <c r="H1050" t="inlineStr">
        <is>
          <t>460</t>
        </is>
      </c>
      <c r="I1050" s="2" t="n">
        <v>460</v>
      </c>
      <c r="J1050" s="2" t="n">
        <v>460</v>
      </c>
      <c r="L1050" s="3" t="n"/>
      <c r="M1050" s="3" t="n"/>
      <c r="N1050" s="3" t="n">
        <v>45</v>
      </c>
      <c r="O1050" s="3" t="n"/>
      <c r="P1050" s="3">
        <f>IF(L1050&lt;&gt;"",L1050/1.4,"")</f>
        <v/>
      </c>
      <c r="Q1050" s="3">
        <f>IF(L1050&lt;&gt;"",L1050/1.56,"")</f>
        <v/>
      </c>
      <c r="R1050" s="3">
        <f>IF(M1050&lt;&gt;"",M1050/1.4,"")</f>
        <v/>
      </c>
      <c r="S1050" s="3">
        <f>IF(M1050&lt;&gt;"",M1050/1.56,"")</f>
        <v/>
      </c>
      <c r="T1050" s="3">
        <f>IF(N1050&lt;&gt;"",N1050,IF(O1050&lt;&gt;"",O1050,IF(L1050&lt;&gt;"",L1050/1.56,IF(M1050&lt;&gt;"",M1050/1.56,""))))</f>
        <v/>
      </c>
      <c r="U1050" s="3" t="n">
        <v>165</v>
      </c>
      <c r="V1050" s="3" t="n">
        <v>100</v>
      </c>
      <c r="W1050" s="3" t="n"/>
      <c r="X1050" s="4" t="n"/>
      <c r="Y1050" s="5" t="n">
        <v>0.575</v>
      </c>
      <c r="Z1050" s="4">
        <f>IF(L1050&lt;&gt;"",SQRT(3)*G1050*L1050/1000,"")</f>
        <v/>
      </c>
      <c r="AA1050" t="inlineStr">
        <is>
          <t>Source=Copeland 2D/3D/4D/4R/6D/8D/9R compressors (pdf) p47; PWS_RLA=22.5</t>
        </is>
      </c>
      <c r="AB1050" t="inlineStr">
        <is>
          <t>Copeland_RLA_230_460_3ph_60Hz.xlsx</t>
        </is>
      </c>
      <c r="AC1050" t="inlineStr">
        <is>
          <t>Recip_2D-9R</t>
        </is>
      </c>
    </row>
    <row r="1051">
      <c r="A1051" t="inlineStr">
        <is>
          <t>COPELAND</t>
        </is>
      </c>
      <c r="B1051" t="inlineStr">
        <is>
          <t>4RH1-250A-TSK</t>
        </is>
      </c>
      <c r="D1051" t="inlineStr">
        <is>
          <t>Reciprocating Semi-hermetic</t>
        </is>
      </c>
      <c r="E1051" s="2" t="n">
        <v>3</v>
      </c>
      <c r="F1051" s="2" t="n">
        <v>60</v>
      </c>
      <c r="G1051" s="2" t="n">
        <v>230</v>
      </c>
      <c r="H1051" t="inlineStr">
        <is>
          <t>208/230</t>
        </is>
      </c>
      <c r="I1051" s="2" t="n">
        <v>208</v>
      </c>
      <c r="J1051" s="2" t="n">
        <v>230</v>
      </c>
      <c r="L1051" s="3" t="n"/>
      <c r="M1051" s="3" t="n"/>
      <c r="N1051" s="3" t="n">
        <v>88.59999999999999</v>
      </c>
      <c r="O1051" s="3" t="n"/>
      <c r="P1051" s="3">
        <f>IF(L1051&lt;&gt;"",L1051/1.4,"")</f>
        <v/>
      </c>
      <c r="Q1051" s="3">
        <f>IF(L1051&lt;&gt;"",L1051/1.56,"")</f>
        <v/>
      </c>
      <c r="R1051" s="3">
        <f>IF(M1051&lt;&gt;"",M1051/1.4,"")</f>
        <v/>
      </c>
      <c r="S1051" s="3">
        <f>IF(M1051&lt;&gt;"",M1051/1.56,"")</f>
        <v/>
      </c>
      <c r="T1051" s="3">
        <f>IF(N1051&lt;&gt;"",N1051,IF(O1051&lt;&gt;"",O1051,IF(L1051&lt;&gt;"",L1051/1.56,IF(M1051&lt;&gt;"",M1051/1.56,""))))</f>
        <v/>
      </c>
      <c r="U1051" s="3" t="n">
        <v>428</v>
      </c>
      <c r="V1051" s="3" t="n">
        <v>250</v>
      </c>
      <c r="W1051" s="3" t="n"/>
      <c r="X1051" s="4" t="n"/>
      <c r="Y1051" s="5" t="n">
        <v>0.132</v>
      </c>
      <c r="Z1051" s="4">
        <f>IF(L1051&lt;&gt;"",SQRT(3)*G1051*L1051/1000,"")</f>
        <v/>
      </c>
      <c r="AA1051" t="inlineStr">
        <is>
          <t>Source=Copeland 2D/3D/4D/4R/6D/8D/9R compressors (pdf) p47; PWS_RLA=44.3</t>
        </is>
      </c>
      <c r="AB1051" t="inlineStr">
        <is>
          <t>Copeland_RLA_230_460_3ph_60Hz.xlsx</t>
        </is>
      </c>
      <c r="AC1051" t="inlineStr">
        <is>
          <t>Recip_2D-9R</t>
        </is>
      </c>
    </row>
    <row r="1052">
      <c r="A1052" t="inlineStr">
        <is>
          <t>COPELAND</t>
        </is>
      </c>
      <c r="B1052" t="inlineStr">
        <is>
          <t>4RH1-250A-TSK</t>
        </is>
      </c>
      <c r="D1052" t="inlineStr">
        <is>
          <t>Reciprocating Semi-hermetic</t>
        </is>
      </c>
      <c r="E1052" s="2" t="n">
        <v>3</v>
      </c>
      <c r="F1052" s="2" t="n">
        <v>60</v>
      </c>
      <c r="G1052" s="2" t="n">
        <v>460</v>
      </c>
      <c r="H1052" t="inlineStr">
        <is>
          <t>460</t>
        </is>
      </c>
      <c r="I1052" s="2" t="n">
        <v>460</v>
      </c>
      <c r="J1052" s="2" t="n">
        <v>460</v>
      </c>
      <c r="L1052" s="3" t="n"/>
      <c r="M1052" s="3" t="n"/>
      <c r="N1052" s="3" t="n">
        <v>44.3</v>
      </c>
      <c r="O1052" s="3" t="n"/>
      <c r="P1052" s="3">
        <f>IF(L1052&lt;&gt;"",L1052/1.4,"")</f>
        <v/>
      </c>
      <c r="Q1052" s="3">
        <f>IF(L1052&lt;&gt;"",L1052/1.56,"")</f>
        <v/>
      </c>
      <c r="R1052" s="3">
        <f>IF(M1052&lt;&gt;"",M1052/1.4,"")</f>
        <v/>
      </c>
      <c r="S1052" s="3">
        <f>IF(M1052&lt;&gt;"",M1052/1.56,"")</f>
        <v/>
      </c>
      <c r="T1052" s="3">
        <f>IF(N1052&lt;&gt;"",N1052,IF(O1052&lt;&gt;"",O1052,IF(L1052&lt;&gt;"",L1052/1.56,IF(M1052&lt;&gt;"",M1052/1.56,""))))</f>
        <v/>
      </c>
      <c r="U1052" s="3" t="n">
        <v>214</v>
      </c>
      <c r="V1052" s="3" t="n"/>
      <c r="W1052" s="3" t="n"/>
      <c r="X1052" s="4" t="n"/>
      <c r="Y1052" s="5" t="n">
        <v>0.528</v>
      </c>
      <c r="Z1052" s="4">
        <f>IF(L1052&lt;&gt;"",SQRT(3)*G1052*L1052/1000,"")</f>
        <v/>
      </c>
      <c r="AA1052" t="inlineStr">
        <is>
          <t>Source=Copeland 2D/3D/4D/4R/6D/8D/9R compressors (pdf) p47</t>
        </is>
      </c>
      <c r="AB1052" t="inlineStr">
        <is>
          <t>Copeland_RLA_230_460_3ph_60Hz.xlsx</t>
        </is>
      </c>
      <c r="AC1052" t="inlineStr">
        <is>
          <t>Recip_2D-9R</t>
        </is>
      </c>
    </row>
    <row r="1053">
      <c r="A1053" t="inlineStr">
        <is>
          <t>COPELAND</t>
        </is>
      </c>
      <c r="B1053" t="inlineStr">
        <is>
          <t>4RH1-250L-TSK</t>
        </is>
      </c>
      <c r="D1053" t="inlineStr">
        <is>
          <t>Reciprocating Semi-hermetic</t>
        </is>
      </c>
      <c r="E1053" s="2" t="n">
        <v>3</v>
      </c>
      <c r="F1053" s="2" t="n">
        <v>60</v>
      </c>
      <c r="G1053" s="2" t="n">
        <v>230</v>
      </c>
      <c r="H1053" t="inlineStr">
        <is>
          <t>208/230</t>
        </is>
      </c>
      <c r="I1053" s="2" t="n">
        <v>208</v>
      </c>
      <c r="J1053" s="2" t="n">
        <v>230</v>
      </c>
      <c r="L1053" s="3" t="n"/>
      <c r="M1053" s="3" t="n"/>
      <c r="N1053" s="3" t="n">
        <v>88.59999999999999</v>
      </c>
      <c r="O1053" s="3" t="n"/>
      <c r="P1053" s="3">
        <f>IF(L1053&lt;&gt;"",L1053/1.4,"")</f>
        <v/>
      </c>
      <c r="Q1053" s="3">
        <f>IF(L1053&lt;&gt;"",L1053/1.56,"")</f>
        <v/>
      </c>
      <c r="R1053" s="3">
        <f>IF(M1053&lt;&gt;"",M1053/1.4,"")</f>
        <v/>
      </c>
      <c r="S1053" s="3">
        <f>IF(M1053&lt;&gt;"",M1053/1.56,"")</f>
        <v/>
      </c>
      <c r="T1053" s="3">
        <f>IF(N1053&lt;&gt;"",N1053,IF(O1053&lt;&gt;"",O1053,IF(L1053&lt;&gt;"",L1053/1.56,IF(M1053&lt;&gt;"",M1053/1.56,""))))</f>
        <v/>
      </c>
      <c r="U1053" s="3" t="n">
        <v>428</v>
      </c>
      <c r="V1053" s="3" t="n">
        <v>250</v>
      </c>
      <c r="W1053" s="3" t="n"/>
      <c r="X1053" s="4" t="n"/>
      <c r="Y1053" s="5" t="n">
        <v>0.132</v>
      </c>
      <c r="Z1053" s="4">
        <f>IF(L1053&lt;&gt;"",SQRT(3)*G1053*L1053/1000,"")</f>
        <v/>
      </c>
      <c r="AA1053" t="inlineStr">
        <is>
          <t>Source=Copeland 2D/3D/4D/4R/6D/8D/9R compressors (pdf) p47; PWS_RLA=44.3</t>
        </is>
      </c>
      <c r="AB1053" t="inlineStr">
        <is>
          <t>Copeland_RLA_230_460_3ph_60Hz.xlsx</t>
        </is>
      </c>
      <c r="AC1053" t="inlineStr">
        <is>
          <t>Recip_2D-9R</t>
        </is>
      </c>
    </row>
    <row r="1054">
      <c r="A1054" t="inlineStr">
        <is>
          <t>COPELAND</t>
        </is>
      </c>
      <c r="B1054" t="inlineStr">
        <is>
          <t>4RH1-250L-TSK</t>
        </is>
      </c>
      <c r="D1054" t="inlineStr">
        <is>
          <t>Reciprocating Semi-hermetic</t>
        </is>
      </c>
      <c r="E1054" s="2" t="n">
        <v>3</v>
      </c>
      <c r="F1054" s="2" t="n">
        <v>60</v>
      </c>
      <c r="G1054" s="2" t="n">
        <v>460</v>
      </c>
      <c r="H1054" t="inlineStr">
        <is>
          <t>460</t>
        </is>
      </c>
      <c r="I1054" s="2" t="n">
        <v>460</v>
      </c>
      <c r="J1054" s="2" t="n">
        <v>460</v>
      </c>
      <c r="L1054" s="3" t="n"/>
      <c r="M1054" s="3" t="n"/>
      <c r="N1054" s="3" t="n">
        <v>44.3</v>
      </c>
      <c r="O1054" s="3" t="n"/>
      <c r="P1054" s="3">
        <f>IF(L1054&lt;&gt;"",L1054/1.4,"")</f>
        <v/>
      </c>
      <c r="Q1054" s="3">
        <f>IF(L1054&lt;&gt;"",L1054/1.56,"")</f>
        <v/>
      </c>
      <c r="R1054" s="3">
        <f>IF(M1054&lt;&gt;"",M1054/1.4,"")</f>
        <v/>
      </c>
      <c r="S1054" s="3">
        <f>IF(M1054&lt;&gt;"",M1054/1.56,"")</f>
        <v/>
      </c>
      <c r="T1054" s="3">
        <f>IF(N1054&lt;&gt;"",N1054,IF(O1054&lt;&gt;"",O1054,IF(L1054&lt;&gt;"",L1054/1.56,IF(M1054&lt;&gt;"",M1054/1.56,""))))</f>
        <v/>
      </c>
      <c r="U1054" s="3" t="n">
        <v>214</v>
      </c>
      <c r="V1054" s="3" t="n"/>
      <c r="W1054" s="3" t="n"/>
      <c r="X1054" s="4" t="n"/>
      <c r="Y1054" s="5" t="n">
        <v>0.528</v>
      </c>
      <c r="Z1054" s="4">
        <f>IF(L1054&lt;&gt;"",SQRT(3)*G1054*L1054/1000,"")</f>
        <v/>
      </c>
      <c r="AA1054" t="inlineStr">
        <is>
          <t>Source=Copeland 2D/3D/4D/4R/6D/8D/9R compressors (pdf) p47</t>
        </is>
      </c>
      <c r="AB1054" t="inlineStr">
        <is>
          <t>Copeland_RLA_230_460_3ph_60Hz.xlsx</t>
        </is>
      </c>
      <c r="AC1054" t="inlineStr">
        <is>
          <t>Recip_2D-9R</t>
        </is>
      </c>
    </row>
    <row r="1055">
      <c r="A1055" t="inlineStr">
        <is>
          <t>COPELAND</t>
        </is>
      </c>
      <c r="B1055" t="inlineStr">
        <is>
          <t>4RH2-1500-TSK</t>
        </is>
      </c>
      <c r="D1055" t="inlineStr">
        <is>
          <t>Reciprocating Semi-hermetic</t>
        </is>
      </c>
      <c r="E1055" s="2" t="n">
        <v>3</v>
      </c>
      <c r="F1055" s="2" t="n">
        <v>60</v>
      </c>
      <c r="G1055" s="2" t="n">
        <v>230</v>
      </c>
      <c r="H1055" t="inlineStr">
        <is>
          <t>208/230</t>
        </is>
      </c>
      <c r="I1055" s="2" t="n">
        <v>208</v>
      </c>
      <c r="J1055" s="2" t="n">
        <v>230</v>
      </c>
      <c r="L1055" s="3" t="n"/>
      <c r="M1055" s="3" t="n"/>
      <c r="N1055" s="3" t="n">
        <v>63</v>
      </c>
      <c r="O1055" s="3" t="n"/>
      <c r="P1055" s="3">
        <f>IF(L1055&lt;&gt;"",L1055/1.4,"")</f>
        <v/>
      </c>
      <c r="Q1055" s="3">
        <f>IF(L1055&lt;&gt;"",L1055/1.56,"")</f>
        <v/>
      </c>
      <c r="R1055" s="3">
        <f>IF(M1055&lt;&gt;"",M1055/1.4,"")</f>
        <v/>
      </c>
      <c r="S1055" s="3">
        <f>IF(M1055&lt;&gt;"",M1055/1.56,"")</f>
        <v/>
      </c>
      <c r="T1055" s="3">
        <f>IF(N1055&lt;&gt;"",N1055,IF(O1055&lt;&gt;"",O1055,IF(L1055&lt;&gt;"",L1055/1.56,IF(M1055&lt;&gt;"",M1055/1.56,""))))</f>
        <v/>
      </c>
      <c r="U1055" s="3" t="n">
        <v>278</v>
      </c>
      <c r="V1055" s="3" t="n">
        <v>170</v>
      </c>
      <c r="W1055" s="3" t="n"/>
      <c r="X1055" s="4" t="n"/>
      <c r="Y1055" s="5" t="n">
        <v>0.208</v>
      </c>
      <c r="Z1055" s="4">
        <f>IF(L1055&lt;&gt;"",SQRT(3)*G1055*L1055/1000,"")</f>
        <v/>
      </c>
      <c r="AA1055" t="inlineStr">
        <is>
          <t>Source=Copeland 2D/3D/4D/4R/6D/8D/9R compressors (pdf) p47; PWS_RLA=31.5</t>
        </is>
      </c>
      <c r="AB1055" t="inlineStr">
        <is>
          <t>Copeland_RLA_230_460_3ph_60Hz.xlsx</t>
        </is>
      </c>
      <c r="AC1055" t="inlineStr">
        <is>
          <t>Recip_2D-9R</t>
        </is>
      </c>
    </row>
    <row r="1056">
      <c r="A1056" t="inlineStr">
        <is>
          <t>COPELAND</t>
        </is>
      </c>
      <c r="B1056" t="inlineStr">
        <is>
          <t>4RH2-1500-TSK</t>
        </is>
      </c>
      <c r="D1056" t="inlineStr">
        <is>
          <t>Reciprocating Semi-hermetic</t>
        </is>
      </c>
      <c r="E1056" s="2" t="n">
        <v>3</v>
      </c>
      <c r="F1056" s="2" t="n">
        <v>60</v>
      </c>
      <c r="G1056" s="2" t="n">
        <v>460</v>
      </c>
      <c r="H1056" t="inlineStr">
        <is>
          <t>460</t>
        </is>
      </c>
      <c r="I1056" s="2" t="n">
        <v>460</v>
      </c>
      <c r="J1056" s="2" t="n">
        <v>460</v>
      </c>
      <c r="L1056" s="3" t="n"/>
      <c r="M1056" s="3" t="n"/>
      <c r="N1056" s="3" t="n">
        <v>31.5</v>
      </c>
      <c r="O1056" s="3" t="n"/>
      <c r="P1056" s="3">
        <f>IF(L1056&lt;&gt;"",L1056/1.4,"")</f>
        <v/>
      </c>
      <c r="Q1056" s="3">
        <f>IF(L1056&lt;&gt;"",L1056/1.56,"")</f>
        <v/>
      </c>
      <c r="R1056" s="3">
        <f>IF(M1056&lt;&gt;"",M1056/1.4,"")</f>
        <v/>
      </c>
      <c r="S1056" s="3">
        <f>IF(M1056&lt;&gt;"",M1056/1.56,"")</f>
        <v/>
      </c>
      <c r="T1056" s="3">
        <f>IF(N1056&lt;&gt;"",N1056,IF(O1056&lt;&gt;"",O1056,IF(L1056&lt;&gt;"",L1056/1.56,IF(M1056&lt;&gt;"",M1056/1.56,""))))</f>
        <v/>
      </c>
      <c r="U1056" s="3" t="n">
        <v>139</v>
      </c>
      <c r="V1056" s="3" t="n"/>
      <c r="W1056" s="3" t="n"/>
      <c r="X1056" s="4" t="n"/>
      <c r="Y1056" s="5" t="n">
        <v>0.832</v>
      </c>
      <c r="Z1056" s="4">
        <f>IF(L1056&lt;&gt;"",SQRT(3)*G1056*L1056/1000,"")</f>
        <v/>
      </c>
      <c r="AA1056" t="inlineStr">
        <is>
          <t>Source=Copeland 2D/3D/4D/4R/6D/8D/9R compressors (pdf) p47</t>
        </is>
      </c>
      <c r="AB1056" t="inlineStr">
        <is>
          <t>Copeland_RLA_230_460_3ph_60Hz.xlsx</t>
        </is>
      </c>
      <c r="AC1056" t="inlineStr">
        <is>
          <t>Recip_2D-9R</t>
        </is>
      </c>
    </row>
    <row r="1057">
      <c r="A1057" t="inlineStr">
        <is>
          <t>COPELAND</t>
        </is>
      </c>
      <c r="B1057" t="inlineStr">
        <is>
          <t>4RH5-1500-TSK</t>
        </is>
      </c>
      <c r="D1057" t="inlineStr">
        <is>
          <t>Reciprocating Semi-hermetic</t>
        </is>
      </c>
      <c r="E1057" s="2" t="n">
        <v>3</v>
      </c>
      <c r="F1057" s="2" t="n">
        <v>60</v>
      </c>
      <c r="G1057" s="2" t="n">
        <v>230</v>
      </c>
      <c r="H1057" t="inlineStr">
        <is>
          <t>208/230</t>
        </is>
      </c>
      <c r="I1057" s="2" t="n">
        <v>208</v>
      </c>
      <c r="J1057" s="2" t="n">
        <v>230</v>
      </c>
      <c r="L1057" s="3" t="n"/>
      <c r="M1057" s="3" t="n"/>
      <c r="N1057" s="3" t="n">
        <v>63</v>
      </c>
      <c r="O1057" s="3" t="n"/>
      <c r="P1057" s="3">
        <f>IF(L1057&lt;&gt;"",L1057/1.4,"")</f>
        <v/>
      </c>
      <c r="Q1057" s="3">
        <f>IF(L1057&lt;&gt;"",L1057/1.56,"")</f>
        <v/>
      </c>
      <c r="R1057" s="3">
        <f>IF(M1057&lt;&gt;"",M1057/1.4,"")</f>
        <v/>
      </c>
      <c r="S1057" s="3">
        <f>IF(M1057&lt;&gt;"",M1057/1.56,"")</f>
        <v/>
      </c>
      <c r="T1057" s="3">
        <f>IF(N1057&lt;&gt;"",N1057,IF(O1057&lt;&gt;"",O1057,IF(L1057&lt;&gt;"",L1057/1.56,IF(M1057&lt;&gt;"",M1057/1.56,""))))</f>
        <v/>
      </c>
      <c r="U1057" s="3" t="n">
        <v>278</v>
      </c>
      <c r="V1057" s="3" t="n">
        <v>170</v>
      </c>
      <c r="W1057" s="3" t="n"/>
      <c r="X1057" s="4" t="n"/>
      <c r="Y1057" s="5" t="n">
        <v>0.208</v>
      </c>
      <c r="Z1057" s="4">
        <f>IF(L1057&lt;&gt;"",SQRT(3)*G1057*L1057/1000,"")</f>
        <v/>
      </c>
      <c r="AA1057" t="inlineStr">
        <is>
          <t>Source=Copeland 2D/3D/4D/4R/6D/8D/9R compressors (pdf) p47; PWS_RLA=31.5</t>
        </is>
      </c>
      <c r="AB1057" t="inlineStr">
        <is>
          <t>Copeland_RLA_230_460_3ph_60Hz.xlsx</t>
        </is>
      </c>
      <c r="AC1057" t="inlineStr">
        <is>
          <t>Recip_2D-9R</t>
        </is>
      </c>
    </row>
    <row r="1058">
      <c r="A1058" t="inlineStr">
        <is>
          <t>COPELAND</t>
        </is>
      </c>
      <c r="B1058" t="inlineStr">
        <is>
          <t>4RH5-1500-TSK</t>
        </is>
      </c>
      <c r="D1058" t="inlineStr">
        <is>
          <t>Reciprocating Semi-hermetic</t>
        </is>
      </c>
      <c r="E1058" s="2" t="n">
        <v>3</v>
      </c>
      <c r="F1058" s="2" t="n">
        <v>60</v>
      </c>
      <c r="G1058" s="2" t="n">
        <v>460</v>
      </c>
      <c r="H1058" t="inlineStr">
        <is>
          <t>460</t>
        </is>
      </c>
      <c r="I1058" s="2" t="n">
        <v>460</v>
      </c>
      <c r="J1058" s="2" t="n">
        <v>460</v>
      </c>
      <c r="L1058" s="3" t="n"/>
      <c r="M1058" s="3" t="n"/>
      <c r="N1058" s="3" t="n">
        <v>31.5</v>
      </c>
      <c r="O1058" s="3" t="n"/>
      <c r="P1058" s="3">
        <f>IF(L1058&lt;&gt;"",L1058/1.4,"")</f>
        <v/>
      </c>
      <c r="Q1058" s="3">
        <f>IF(L1058&lt;&gt;"",L1058/1.56,"")</f>
        <v/>
      </c>
      <c r="R1058" s="3">
        <f>IF(M1058&lt;&gt;"",M1058/1.4,"")</f>
        <v/>
      </c>
      <c r="S1058" s="3">
        <f>IF(M1058&lt;&gt;"",M1058/1.56,"")</f>
        <v/>
      </c>
      <c r="T1058" s="3">
        <f>IF(N1058&lt;&gt;"",N1058,IF(O1058&lt;&gt;"",O1058,IF(L1058&lt;&gt;"",L1058/1.56,IF(M1058&lt;&gt;"",M1058/1.56,""))))</f>
        <v/>
      </c>
      <c r="U1058" s="3" t="n">
        <v>139</v>
      </c>
      <c r="V1058" s="3" t="n"/>
      <c r="W1058" s="3" t="n"/>
      <c r="X1058" s="4" t="n"/>
      <c r="Y1058" s="5" t="n">
        <v>0.832</v>
      </c>
      <c r="Z1058" s="4">
        <f>IF(L1058&lt;&gt;"",SQRT(3)*G1058*L1058/1000,"")</f>
        <v/>
      </c>
      <c r="AA1058" t="inlineStr">
        <is>
          <t>Source=Copeland 2D/3D/4D/4R/6D/8D/9R compressors (pdf) p47</t>
        </is>
      </c>
      <c r="AB1058" t="inlineStr">
        <is>
          <t>Copeland_RLA_230_460_3ph_60Hz.xlsx</t>
        </is>
      </c>
      <c r="AC1058" t="inlineStr">
        <is>
          <t>Recip_2D-9R</t>
        </is>
      </c>
    </row>
    <row r="1059">
      <c r="A1059" t="inlineStr">
        <is>
          <t>COPELAND</t>
        </is>
      </c>
      <c r="B1059" t="inlineStr">
        <is>
          <t>4RJ1-3000-FSD</t>
        </is>
      </c>
      <c r="D1059" t="inlineStr">
        <is>
          <t>Reciprocating Semi-hermetic</t>
        </is>
      </c>
      <c r="E1059" s="2" t="n">
        <v>3</v>
      </c>
      <c r="F1059" s="2" t="n">
        <v>60</v>
      </c>
      <c r="G1059" s="2" t="n">
        <v>460</v>
      </c>
      <c r="H1059" t="inlineStr">
        <is>
          <t>460</t>
        </is>
      </c>
      <c r="I1059" s="2" t="n">
        <v>460</v>
      </c>
      <c r="J1059" s="2" t="n">
        <v>460</v>
      </c>
      <c r="L1059" s="3" t="n"/>
      <c r="M1059" s="3" t="n"/>
      <c r="N1059" s="3" t="n">
        <v>59</v>
      </c>
      <c r="O1059" s="3" t="n"/>
      <c r="P1059" s="3">
        <f>IF(L1059&lt;&gt;"",L1059/1.4,"")</f>
        <v/>
      </c>
      <c r="Q1059" s="3">
        <f>IF(L1059&lt;&gt;"",L1059/1.56,"")</f>
        <v/>
      </c>
      <c r="R1059" s="3">
        <f>IF(M1059&lt;&gt;"",M1059/1.4,"")</f>
        <v/>
      </c>
      <c r="S1059" s="3">
        <f>IF(M1059&lt;&gt;"",M1059/1.56,"")</f>
        <v/>
      </c>
      <c r="T1059" s="3">
        <f>IF(N1059&lt;&gt;"",N1059,IF(O1059&lt;&gt;"",O1059,IF(L1059&lt;&gt;"",L1059/1.56,IF(M1059&lt;&gt;"",M1059/1.56,""))))</f>
        <v/>
      </c>
      <c r="U1059" s="3" t="n">
        <v>200</v>
      </c>
      <c r="V1059" s="3" t="n">
        <v>121</v>
      </c>
      <c r="W1059" s="3" t="n"/>
      <c r="X1059" s="4" t="n"/>
      <c r="Y1059" s="5" t="n">
        <v>0.475</v>
      </c>
      <c r="Z1059" s="4">
        <f>IF(L1059&lt;&gt;"",SQRT(3)*G1059*L1059/1000,"")</f>
        <v/>
      </c>
      <c r="AA1059" t="inlineStr">
        <is>
          <t>Source=Copeland 2D/3D/4D/4R/6D/8D/9R compressors (pdf) p47; PWS_RLA=29.5</t>
        </is>
      </c>
      <c r="AB1059" t="inlineStr">
        <is>
          <t>Copeland_RLA_230_460_3ph_60Hz.xlsx</t>
        </is>
      </c>
      <c r="AC1059" t="inlineStr">
        <is>
          <t>Recip_2D-9R</t>
        </is>
      </c>
    </row>
    <row r="1060">
      <c r="A1060" t="inlineStr">
        <is>
          <t>COPELAND</t>
        </is>
      </c>
      <c r="B1060" t="inlineStr">
        <is>
          <t>4RJ1-3000-TSK</t>
        </is>
      </c>
      <c r="D1060" t="inlineStr">
        <is>
          <t>Reciprocating Semi-hermetic</t>
        </is>
      </c>
      <c r="E1060" s="2" t="n">
        <v>3</v>
      </c>
      <c r="F1060" s="2" t="n">
        <v>60</v>
      </c>
      <c r="G1060" s="2" t="n">
        <v>230</v>
      </c>
      <c r="H1060" t="inlineStr">
        <is>
          <t>208/230</t>
        </is>
      </c>
      <c r="I1060" s="2" t="n">
        <v>208</v>
      </c>
      <c r="J1060" s="2" t="n">
        <v>230</v>
      </c>
      <c r="L1060" s="3" t="n"/>
      <c r="M1060" s="3" t="n"/>
      <c r="N1060" s="3" t="n">
        <v>96.40000000000001</v>
      </c>
      <c r="O1060" s="3" t="n"/>
      <c r="P1060" s="3">
        <f>IF(L1060&lt;&gt;"",L1060/1.4,"")</f>
        <v/>
      </c>
      <c r="Q1060" s="3">
        <f>IF(L1060&lt;&gt;"",L1060/1.56,"")</f>
        <v/>
      </c>
      <c r="R1060" s="3">
        <f>IF(M1060&lt;&gt;"",M1060/1.4,"")</f>
        <v/>
      </c>
      <c r="S1060" s="3">
        <f>IF(M1060&lt;&gt;"",M1060/1.56,"")</f>
        <v/>
      </c>
      <c r="T1060" s="3">
        <f>IF(N1060&lt;&gt;"",N1060,IF(O1060&lt;&gt;"",O1060,IF(L1060&lt;&gt;"",L1060/1.56,IF(M1060&lt;&gt;"",M1060/1.56,""))))</f>
        <v/>
      </c>
      <c r="U1060" s="3" t="n">
        <v>470</v>
      </c>
      <c r="V1060" s="3" t="n">
        <v>292</v>
      </c>
      <c r="W1060" s="3" t="n"/>
      <c r="X1060" s="4" t="n"/>
      <c r="Y1060" s="5" t="n">
        <v>0.108</v>
      </c>
      <c r="Z1060" s="4">
        <f>IF(L1060&lt;&gt;"",SQRT(3)*G1060*L1060/1000,"")</f>
        <v/>
      </c>
      <c r="AA1060" t="inlineStr">
        <is>
          <t>Source=Copeland 2D/3D/4D/4R/6D/8D/9R compressors (pdf) p47; PWS_RLA=51.0</t>
        </is>
      </c>
      <c r="AB1060" t="inlineStr">
        <is>
          <t>Copeland_RLA_230_460_3ph_60Hz.xlsx</t>
        </is>
      </c>
      <c r="AC1060" t="inlineStr">
        <is>
          <t>Recip_2D-9R</t>
        </is>
      </c>
    </row>
    <row r="1061">
      <c r="A1061" t="inlineStr">
        <is>
          <t>COPELAND</t>
        </is>
      </c>
      <c r="B1061" t="inlineStr">
        <is>
          <t>4RJ1-3000-TSK</t>
        </is>
      </c>
      <c r="D1061" t="inlineStr">
        <is>
          <t>Reciprocating Semi-hermetic</t>
        </is>
      </c>
      <c r="E1061" s="2" t="n">
        <v>3</v>
      </c>
      <c r="F1061" s="2" t="n">
        <v>60</v>
      </c>
      <c r="G1061" s="2" t="n">
        <v>460</v>
      </c>
      <c r="H1061" t="inlineStr">
        <is>
          <t>460</t>
        </is>
      </c>
      <c r="I1061" s="2" t="n">
        <v>460</v>
      </c>
      <c r="J1061" s="2" t="n">
        <v>460</v>
      </c>
      <c r="L1061" s="3" t="n"/>
      <c r="M1061" s="3" t="n"/>
      <c r="N1061" s="3" t="n">
        <v>50.7</v>
      </c>
      <c r="O1061" s="3" t="n"/>
      <c r="P1061" s="3">
        <f>IF(L1061&lt;&gt;"",L1061/1.4,"")</f>
        <v/>
      </c>
      <c r="Q1061" s="3">
        <f>IF(L1061&lt;&gt;"",L1061/1.56,"")</f>
        <v/>
      </c>
      <c r="R1061" s="3">
        <f>IF(M1061&lt;&gt;"",M1061/1.4,"")</f>
        <v/>
      </c>
      <c r="S1061" s="3">
        <f>IF(M1061&lt;&gt;"",M1061/1.56,"")</f>
        <v/>
      </c>
      <c r="T1061" s="3">
        <f>IF(N1061&lt;&gt;"",N1061,IF(O1061&lt;&gt;"",O1061,IF(L1061&lt;&gt;"",L1061/1.56,IF(M1061&lt;&gt;"",M1061/1.56,""))))</f>
        <v/>
      </c>
      <c r="U1061" s="3" t="n">
        <v>235</v>
      </c>
      <c r="V1061" s="3" t="n"/>
      <c r="W1061" s="3" t="n"/>
      <c r="X1061" s="4" t="n"/>
      <c r="Y1061" s="5" t="n">
        <v>0.43</v>
      </c>
      <c r="Z1061" s="4">
        <f>IF(L1061&lt;&gt;"",SQRT(3)*G1061*L1061/1000,"")</f>
        <v/>
      </c>
      <c r="AA1061" t="inlineStr">
        <is>
          <t>Source=Copeland 2D/3D/4D/4R/6D/8D/9R compressors (pdf) p47</t>
        </is>
      </c>
      <c r="AB1061" t="inlineStr">
        <is>
          <t>Copeland_RLA_230_460_3ph_60Hz.xlsx</t>
        </is>
      </c>
      <c r="AC1061" t="inlineStr">
        <is>
          <t>Recip_2D-9R</t>
        </is>
      </c>
    </row>
    <row r="1062">
      <c r="A1062" t="inlineStr">
        <is>
          <t>COPELAND</t>
        </is>
      </c>
      <c r="B1062" t="inlineStr">
        <is>
          <t>4RJ1-300A-FSD</t>
        </is>
      </c>
      <c r="D1062" t="inlineStr">
        <is>
          <t>Reciprocating Semi-hermetic</t>
        </is>
      </c>
      <c r="E1062" s="2" t="n">
        <v>3</v>
      </c>
      <c r="F1062" s="2" t="n">
        <v>60</v>
      </c>
      <c r="G1062" s="2" t="n">
        <v>460</v>
      </c>
      <c r="H1062" t="inlineStr">
        <is>
          <t>460</t>
        </is>
      </c>
      <c r="I1062" s="2" t="n">
        <v>460</v>
      </c>
      <c r="J1062" s="2" t="n">
        <v>460</v>
      </c>
      <c r="L1062" s="3" t="n"/>
      <c r="M1062" s="3" t="n"/>
      <c r="N1062" s="3" t="n">
        <v>59</v>
      </c>
      <c r="O1062" s="3" t="n"/>
      <c r="P1062" s="3">
        <f>IF(L1062&lt;&gt;"",L1062/1.4,"")</f>
        <v/>
      </c>
      <c r="Q1062" s="3">
        <f>IF(L1062&lt;&gt;"",L1062/1.56,"")</f>
        <v/>
      </c>
      <c r="R1062" s="3">
        <f>IF(M1062&lt;&gt;"",M1062/1.4,"")</f>
        <v/>
      </c>
      <c r="S1062" s="3">
        <f>IF(M1062&lt;&gt;"",M1062/1.56,"")</f>
        <v/>
      </c>
      <c r="T1062" s="3">
        <f>IF(N1062&lt;&gt;"",N1062,IF(O1062&lt;&gt;"",O1062,IF(L1062&lt;&gt;"",L1062/1.56,IF(M1062&lt;&gt;"",M1062/1.56,""))))</f>
        <v/>
      </c>
      <c r="U1062" s="3" t="n">
        <v>200</v>
      </c>
      <c r="V1062" s="3" t="n">
        <v>121</v>
      </c>
      <c r="W1062" s="3" t="n"/>
      <c r="X1062" s="4" t="n"/>
      <c r="Y1062" s="5" t="n">
        <v>0.475</v>
      </c>
      <c r="Z1062" s="4">
        <f>IF(L1062&lt;&gt;"",SQRT(3)*G1062*L1062/1000,"")</f>
        <v/>
      </c>
      <c r="AA1062" t="inlineStr">
        <is>
          <t>Source=Copeland 2D/3D/4D/4R/6D/8D/9R compressors (pdf) p47; PWS_RLA=29.5</t>
        </is>
      </c>
      <c r="AB1062" t="inlineStr">
        <is>
          <t>Copeland_RLA_230_460_3ph_60Hz.xlsx</t>
        </is>
      </c>
      <c r="AC1062" t="inlineStr">
        <is>
          <t>Recip_2D-9R</t>
        </is>
      </c>
    </row>
    <row r="1063">
      <c r="A1063" t="inlineStr">
        <is>
          <t>COPELAND</t>
        </is>
      </c>
      <c r="B1063" t="inlineStr">
        <is>
          <t>4RJ1-300A-TSK</t>
        </is>
      </c>
      <c r="D1063" t="inlineStr">
        <is>
          <t>Reciprocating Semi-hermetic</t>
        </is>
      </c>
      <c r="E1063" s="2" t="n">
        <v>3</v>
      </c>
      <c r="F1063" s="2" t="n">
        <v>60</v>
      </c>
      <c r="G1063" s="2" t="n">
        <v>230</v>
      </c>
      <c r="H1063" t="inlineStr">
        <is>
          <t>208/230</t>
        </is>
      </c>
      <c r="I1063" s="2" t="n">
        <v>208</v>
      </c>
      <c r="J1063" s="2" t="n">
        <v>230</v>
      </c>
      <c r="L1063" s="3" t="n"/>
      <c r="M1063" s="3" t="n"/>
      <c r="N1063" s="3" t="n">
        <v>96.40000000000001</v>
      </c>
      <c r="O1063" s="3" t="n"/>
      <c r="P1063" s="3">
        <f>IF(L1063&lt;&gt;"",L1063/1.4,"")</f>
        <v/>
      </c>
      <c r="Q1063" s="3">
        <f>IF(L1063&lt;&gt;"",L1063/1.56,"")</f>
        <v/>
      </c>
      <c r="R1063" s="3">
        <f>IF(M1063&lt;&gt;"",M1063/1.4,"")</f>
        <v/>
      </c>
      <c r="S1063" s="3">
        <f>IF(M1063&lt;&gt;"",M1063/1.56,"")</f>
        <v/>
      </c>
      <c r="T1063" s="3">
        <f>IF(N1063&lt;&gt;"",N1063,IF(O1063&lt;&gt;"",O1063,IF(L1063&lt;&gt;"",L1063/1.56,IF(M1063&lt;&gt;"",M1063/1.56,""))))</f>
        <v/>
      </c>
      <c r="U1063" s="3" t="n">
        <v>470</v>
      </c>
      <c r="V1063" s="3" t="n">
        <v>292</v>
      </c>
      <c r="W1063" s="3" t="n"/>
      <c r="X1063" s="4" t="n"/>
      <c r="Y1063" s="5" t="n">
        <v>0.108</v>
      </c>
      <c r="Z1063" s="4">
        <f>IF(L1063&lt;&gt;"",SQRT(3)*G1063*L1063/1000,"")</f>
        <v/>
      </c>
      <c r="AA1063" t="inlineStr">
        <is>
          <t>Source=Copeland 2D/3D/4D/4R/6D/8D/9R compressors (pdf) p47; PWS_RLA=51.0</t>
        </is>
      </c>
      <c r="AB1063" t="inlineStr">
        <is>
          <t>Copeland_RLA_230_460_3ph_60Hz.xlsx</t>
        </is>
      </c>
      <c r="AC1063" t="inlineStr">
        <is>
          <t>Recip_2D-9R</t>
        </is>
      </c>
    </row>
    <row r="1064">
      <c r="A1064" t="inlineStr">
        <is>
          <t>COPELAND</t>
        </is>
      </c>
      <c r="B1064" t="inlineStr">
        <is>
          <t>4RJ1-300A-TSK</t>
        </is>
      </c>
      <c r="D1064" t="inlineStr">
        <is>
          <t>Reciprocating Semi-hermetic</t>
        </is>
      </c>
      <c r="E1064" s="2" t="n">
        <v>3</v>
      </c>
      <c r="F1064" s="2" t="n">
        <v>60</v>
      </c>
      <c r="G1064" s="2" t="n">
        <v>460</v>
      </c>
      <c r="H1064" t="inlineStr">
        <is>
          <t>460</t>
        </is>
      </c>
      <c r="I1064" s="2" t="n">
        <v>460</v>
      </c>
      <c r="J1064" s="2" t="n">
        <v>460</v>
      </c>
      <c r="L1064" s="3" t="n"/>
      <c r="M1064" s="3" t="n"/>
      <c r="N1064" s="3" t="n">
        <v>50.7</v>
      </c>
      <c r="O1064" s="3" t="n"/>
      <c r="P1064" s="3">
        <f>IF(L1064&lt;&gt;"",L1064/1.4,"")</f>
        <v/>
      </c>
      <c r="Q1064" s="3">
        <f>IF(L1064&lt;&gt;"",L1064/1.56,"")</f>
        <v/>
      </c>
      <c r="R1064" s="3">
        <f>IF(M1064&lt;&gt;"",M1064/1.4,"")</f>
        <v/>
      </c>
      <c r="S1064" s="3">
        <f>IF(M1064&lt;&gt;"",M1064/1.56,"")</f>
        <v/>
      </c>
      <c r="T1064" s="3">
        <f>IF(N1064&lt;&gt;"",N1064,IF(O1064&lt;&gt;"",O1064,IF(L1064&lt;&gt;"",L1064/1.56,IF(M1064&lt;&gt;"",M1064/1.56,""))))</f>
        <v/>
      </c>
      <c r="U1064" s="3" t="n">
        <v>235</v>
      </c>
      <c r="V1064" s="3" t="n"/>
      <c r="W1064" s="3" t="n"/>
      <c r="X1064" s="4" t="n"/>
      <c r="Y1064" s="5" t="n">
        <v>0.43</v>
      </c>
      <c r="Z1064" s="4">
        <f>IF(L1064&lt;&gt;"",SQRT(3)*G1064*L1064/1000,"")</f>
        <v/>
      </c>
      <c r="AA1064" t="inlineStr">
        <is>
          <t>Source=Copeland 2D/3D/4D/4R/6D/8D/9R compressors (pdf) p47</t>
        </is>
      </c>
      <c r="AB1064" t="inlineStr">
        <is>
          <t>Copeland_RLA_230_460_3ph_60Hz.xlsx</t>
        </is>
      </c>
      <c r="AC1064" t="inlineStr">
        <is>
          <t>Recip_2D-9R</t>
        </is>
      </c>
    </row>
    <row r="1065">
      <c r="A1065" t="inlineStr">
        <is>
          <t>COPELAND</t>
        </is>
      </c>
      <c r="B1065" t="inlineStr">
        <is>
          <t>4RJ2-3000-FSD</t>
        </is>
      </c>
      <c r="D1065" t="inlineStr">
        <is>
          <t>Reciprocating Semi-hermetic</t>
        </is>
      </c>
      <c r="E1065" s="2" t="n">
        <v>3</v>
      </c>
      <c r="F1065" s="2" t="n">
        <v>60</v>
      </c>
      <c r="G1065" s="2" t="n">
        <v>460</v>
      </c>
      <c r="H1065" t="inlineStr">
        <is>
          <t>460</t>
        </is>
      </c>
      <c r="I1065" s="2" t="n">
        <v>460</v>
      </c>
      <c r="J1065" s="2" t="n">
        <v>460</v>
      </c>
      <c r="L1065" s="3" t="n"/>
      <c r="M1065" s="3" t="n"/>
      <c r="N1065" s="3" t="n">
        <v>59</v>
      </c>
      <c r="O1065" s="3" t="n"/>
      <c r="P1065" s="3">
        <f>IF(L1065&lt;&gt;"",L1065/1.4,"")</f>
        <v/>
      </c>
      <c r="Q1065" s="3">
        <f>IF(L1065&lt;&gt;"",L1065/1.56,"")</f>
        <v/>
      </c>
      <c r="R1065" s="3">
        <f>IF(M1065&lt;&gt;"",M1065/1.4,"")</f>
        <v/>
      </c>
      <c r="S1065" s="3">
        <f>IF(M1065&lt;&gt;"",M1065/1.56,"")</f>
        <v/>
      </c>
      <c r="T1065" s="3">
        <f>IF(N1065&lt;&gt;"",N1065,IF(O1065&lt;&gt;"",O1065,IF(L1065&lt;&gt;"",L1065/1.56,IF(M1065&lt;&gt;"",M1065/1.56,""))))</f>
        <v/>
      </c>
      <c r="U1065" s="3" t="n">
        <v>200</v>
      </c>
      <c r="V1065" s="3" t="n">
        <v>121</v>
      </c>
      <c r="W1065" s="3" t="n"/>
      <c r="X1065" s="4" t="n"/>
      <c r="Y1065" s="5" t="n">
        <v>0.475</v>
      </c>
      <c r="Z1065" s="4">
        <f>IF(L1065&lt;&gt;"",SQRT(3)*G1065*L1065/1000,"")</f>
        <v/>
      </c>
      <c r="AA1065" t="inlineStr">
        <is>
          <t>Source=Copeland 2D/3D/4D/4R/6D/8D/9R compressors (pdf) p47; PWS_RLA=29.5</t>
        </is>
      </c>
      <c r="AB1065" t="inlineStr">
        <is>
          <t>Copeland_RLA_230_460_3ph_60Hz.xlsx</t>
        </is>
      </c>
      <c r="AC1065" t="inlineStr">
        <is>
          <t>Recip_2D-9R</t>
        </is>
      </c>
    </row>
    <row r="1066">
      <c r="A1066" t="inlineStr">
        <is>
          <t>COPELAND</t>
        </is>
      </c>
      <c r="B1066" t="inlineStr">
        <is>
          <t>4RJ2-3000-TSK</t>
        </is>
      </c>
      <c r="D1066" t="inlineStr">
        <is>
          <t>Reciprocating Semi-hermetic</t>
        </is>
      </c>
      <c r="E1066" s="2" t="n">
        <v>3</v>
      </c>
      <c r="F1066" s="2" t="n">
        <v>60</v>
      </c>
      <c r="G1066" s="2" t="n">
        <v>230</v>
      </c>
      <c r="H1066" t="inlineStr">
        <is>
          <t>208/230</t>
        </is>
      </c>
      <c r="I1066" s="2" t="n">
        <v>208</v>
      </c>
      <c r="J1066" s="2" t="n">
        <v>230</v>
      </c>
      <c r="L1066" s="3" t="n"/>
      <c r="M1066" s="3" t="n"/>
      <c r="N1066" s="3" t="n">
        <v>96.40000000000001</v>
      </c>
      <c r="O1066" s="3" t="n"/>
      <c r="P1066" s="3">
        <f>IF(L1066&lt;&gt;"",L1066/1.4,"")</f>
        <v/>
      </c>
      <c r="Q1066" s="3">
        <f>IF(L1066&lt;&gt;"",L1066/1.56,"")</f>
        <v/>
      </c>
      <c r="R1066" s="3">
        <f>IF(M1066&lt;&gt;"",M1066/1.4,"")</f>
        <v/>
      </c>
      <c r="S1066" s="3">
        <f>IF(M1066&lt;&gt;"",M1066/1.56,"")</f>
        <v/>
      </c>
      <c r="T1066" s="3">
        <f>IF(N1066&lt;&gt;"",N1066,IF(O1066&lt;&gt;"",O1066,IF(L1066&lt;&gt;"",L1066/1.56,IF(M1066&lt;&gt;"",M1066/1.56,""))))</f>
        <v/>
      </c>
      <c r="U1066" s="3" t="n">
        <v>470</v>
      </c>
      <c r="V1066" s="3" t="n">
        <v>292</v>
      </c>
      <c r="W1066" s="3" t="n"/>
      <c r="X1066" s="4" t="n"/>
      <c r="Y1066" s="5" t="n">
        <v>0.108</v>
      </c>
      <c r="Z1066" s="4">
        <f>IF(L1066&lt;&gt;"",SQRT(3)*G1066*L1066/1000,"")</f>
        <v/>
      </c>
      <c r="AA1066" t="inlineStr">
        <is>
          <t>Source=Copeland 2D/3D/4D/4R/6D/8D/9R compressors (pdf) p47; PWS_RLA=51.0</t>
        </is>
      </c>
      <c r="AB1066" t="inlineStr">
        <is>
          <t>Copeland_RLA_230_460_3ph_60Hz.xlsx</t>
        </is>
      </c>
      <c r="AC1066" t="inlineStr">
        <is>
          <t>Recip_2D-9R</t>
        </is>
      </c>
    </row>
    <row r="1067">
      <c r="A1067" t="inlineStr">
        <is>
          <t>COPELAND</t>
        </is>
      </c>
      <c r="B1067" t="inlineStr">
        <is>
          <t>4RJ2-3000-TSK</t>
        </is>
      </c>
      <c r="D1067" t="inlineStr">
        <is>
          <t>Reciprocating Semi-hermetic</t>
        </is>
      </c>
      <c r="E1067" s="2" t="n">
        <v>3</v>
      </c>
      <c r="F1067" s="2" t="n">
        <v>60</v>
      </c>
      <c r="G1067" s="2" t="n">
        <v>460</v>
      </c>
      <c r="H1067" t="inlineStr">
        <is>
          <t>460</t>
        </is>
      </c>
      <c r="I1067" s="2" t="n">
        <v>460</v>
      </c>
      <c r="J1067" s="2" t="n">
        <v>460</v>
      </c>
      <c r="L1067" s="3" t="n"/>
      <c r="M1067" s="3" t="n"/>
      <c r="N1067" s="3" t="n">
        <v>50.7</v>
      </c>
      <c r="O1067" s="3" t="n"/>
      <c r="P1067" s="3">
        <f>IF(L1067&lt;&gt;"",L1067/1.4,"")</f>
        <v/>
      </c>
      <c r="Q1067" s="3">
        <f>IF(L1067&lt;&gt;"",L1067/1.56,"")</f>
        <v/>
      </c>
      <c r="R1067" s="3">
        <f>IF(M1067&lt;&gt;"",M1067/1.4,"")</f>
        <v/>
      </c>
      <c r="S1067" s="3">
        <f>IF(M1067&lt;&gt;"",M1067/1.56,"")</f>
        <v/>
      </c>
      <c r="T1067" s="3">
        <f>IF(N1067&lt;&gt;"",N1067,IF(O1067&lt;&gt;"",O1067,IF(L1067&lt;&gt;"",L1067/1.56,IF(M1067&lt;&gt;"",M1067/1.56,""))))</f>
        <v/>
      </c>
      <c r="U1067" s="3" t="n">
        <v>235</v>
      </c>
      <c r="V1067" s="3" t="n"/>
      <c r="W1067" s="3" t="n"/>
      <c r="X1067" s="4" t="n"/>
      <c r="Y1067" s="5" t="n">
        <v>0.43</v>
      </c>
      <c r="Z1067" s="4">
        <f>IF(L1067&lt;&gt;"",SQRT(3)*G1067*L1067/1000,"")</f>
        <v/>
      </c>
      <c r="AA1067" t="inlineStr">
        <is>
          <t>Source=Copeland 2D/3D/4D/4R/6D/8D/9R compressors (pdf) p48</t>
        </is>
      </c>
      <c r="AB1067" t="inlineStr">
        <is>
          <t>Copeland_RLA_230_460_3ph_60Hz.xlsx</t>
        </is>
      </c>
      <c r="AC1067" t="inlineStr">
        <is>
          <t>Recip_2D-9R</t>
        </is>
      </c>
    </row>
    <row r="1068">
      <c r="A1068" t="inlineStr">
        <is>
          <t>COPELAND</t>
        </is>
      </c>
      <c r="B1068" t="inlineStr">
        <is>
          <t>4RJ2-300A-TSK</t>
        </is>
      </c>
      <c r="D1068" t="inlineStr">
        <is>
          <t>Reciprocating Semi-hermetic</t>
        </is>
      </c>
      <c r="E1068" s="2" t="n">
        <v>3</v>
      </c>
      <c r="F1068" s="2" t="n">
        <v>60</v>
      </c>
      <c r="G1068" s="2" t="n">
        <v>230</v>
      </c>
      <c r="H1068" t="inlineStr">
        <is>
          <t>208/230</t>
        </is>
      </c>
      <c r="I1068" s="2" t="n">
        <v>208</v>
      </c>
      <c r="J1068" s="2" t="n">
        <v>230</v>
      </c>
      <c r="L1068" s="3" t="n"/>
      <c r="M1068" s="3" t="n"/>
      <c r="N1068" s="3" t="n">
        <v>96.40000000000001</v>
      </c>
      <c r="O1068" s="3" t="n"/>
      <c r="P1068" s="3">
        <f>IF(L1068&lt;&gt;"",L1068/1.4,"")</f>
        <v/>
      </c>
      <c r="Q1068" s="3">
        <f>IF(L1068&lt;&gt;"",L1068/1.56,"")</f>
        <v/>
      </c>
      <c r="R1068" s="3">
        <f>IF(M1068&lt;&gt;"",M1068/1.4,"")</f>
        <v/>
      </c>
      <c r="S1068" s="3">
        <f>IF(M1068&lt;&gt;"",M1068/1.56,"")</f>
        <v/>
      </c>
      <c r="T1068" s="3">
        <f>IF(N1068&lt;&gt;"",N1068,IF(O1068&lt;&gt;"",O1068,IF(L1068&lt;&gt;"",L1068/1.56,IF(M1068&lt;&gt;"",M1068/1.56,""))))</f>
        <v/>
      </c>
      <c r="U1068" s="3" t="n">
        <v>470</v>
      </c>
      <c r="V1068" s="3" t="n">
        <v>292</v>
      </c>
      <c r="W1068" s="3" t="n"/>
      <c r="X1068" s="4" t="n"/>
      <c r="Y1068" s="5" t="n">
        <v>0.108</v>
      </c>
      <c r="Z1068" s="4">
        <f>IF(L1068&lt;&gt;"",SQRT(3)*G1068*L1068/1000,"")</f>
        <v/>
      </c>
      <c r="AA1068" t="inlineStr">
        <is>
          <t>Source=Copeland 2D/3D/4D/4R/6D/8D/9R compressors (pdf) p48; PWS_RLA=51.0</t>
        </is>
      </c>
      <c r="AB1068" t="inlineStr">
        <is>
          <t>Copeland_RLA_230_460_3ph_60Hz.xlsx</t>
        </is>
      </c>
      <c r="AC1068" t="inlineStr">
        <is>
          <t>Recip_2D-9R</t>
        </is>
      </c>
    </row>
    <row r="1069">
      <c r="A1069" t="inlineStr">
        <is>
          <t>COPELAND</t>
        </is>
      </c>
      <c r="B1069" t="inlineStr">
        <is>
          <t>4RJ2-300A-TSK</t>
        </is>
      </c>
      <c r="D1069" t="inlineStr">
        <is>
          <t>Reciprocating Semi-hermetic</t>
        </is>
      </c>
      <c r="E1069" s="2" t="n">
        <v>3</v>
      </c>
      <c r="F1069" s="2" t="n">
        <v>60</v>
      </c>
      <c r="G1069" s="2" t="n">
        <v>460</v>
      </c>
      <c r="H1069" t="inlineStr">
        <is>
          <t>460</t>
        </is>
      </c>
      <c r="I1069" s="2" t="n">
        <v>460</v>
      </c>
      <c r="J1069" s="2" t="n">
        <v>460</v>
      </c>
      <c r="L1069" s="3" t="n"/>
      <c r="M1069" s="3" t="n"/>
      <c r="N1069" s="3" t="n">
        <v>50.7</v>
      </c>
      <c r="O1069" s="3" t="n"/>
      <c r="P1069" s="3">
        <f>IF(L1069&lt;&gt;"",L1069/1.4,"")</f>
        <v/>
      </c>
      <c r="Q1069" s="3">
        <f>IF(L1069&lt;&gt;"",L1069/1.56,"")</f>
        <v/>
      </c>
      <c r="R1069" s="3">
        <f>IF(M1069&lt;&gt;"",M1069/1.4,"")</f>
        <v/>
      </c>
      <c r="S1069" s="3">
        <f>IF(M1069&lt;&gt;"",M1069/1.56,"")</f>
        <v/>
      </c>
      <c r="T1069" s="3">
        <f>IF(N1069&lt;&gt;"",N1069,IF(O1069&lt;&gt;"",O1069,IF(L1069&lt;&gt;"",L1069/1.56,IF(M1069&lt;&gt;"",M1069/1.56,""))))</f>
        <v/>
      </c>
      <c r="U1069" s="3" t="n">
        <v>235</v>
      </c>
      <c r="V1069" s="3" t="n"/>
      <c r="W1069" s="3" t="n"/>
      <c r="X1069" s="4" t="n"/>
      <c r="Y1069" s="5" t="n">
        <v>0.43</v>
      </c>
      <c r="Z1069" s="4">
        <f>IF(L1069&lt;&gt;"",SQRT(3)*G1069*L1069/1000,"")</f>
        <v/>
      </c>
      <c r="AA1069" t="inlineStr">
        <is>
          <t>Source=Copeland 2D/3D/4D/4R/6D/8D/9R compressors (pdf) p48</t>
        </is>
      </c>
      <c r="AB1069" t="inlineStr">
        <is>
          <t>Copeland_RLA_230_460_3ph_60Hz.xlsx</t>
        </is>
      </c>
      <c r="AC1069" t="inlineStr">
        <is>
          <t>Recip_2D-9R</t>
        </is>
      </c>
    </row>
    <row r="1070">
      <c r="A1070" t="inlineStr">
        <is>
          <t>COPELAND</t>
        </is>
      </c>
      <c r="B1070" t="inlineStr">
        <is>
          <t>4RK2-1500-TSK</t>
        </is>
      </c>
      <c r="D1070" t="inlineStr">
        <is>
          <t>Reciprocating Semi-hermetic</t>
        </is>
      </c>
      <c r="E1070" s="2" t="n">
        <v>3</v>
      </c>
      <c r="F1070" s="2" t="n">
        <v>60</v>
      </c>
      <c r="G1070" s="2" t="n">
        <v>230</v>
      </c>
      <c r="H1070" t="inlineStr">
        <is>
          <t>208/230</t>
        </is>
      </c>
      <c r="I1070" s="2" t="n">
        <v>208</v>
      </c>
      <c r="J1070" s="2" t="n">
        <v>230</v>
      </c>
      <c r="L1070" s="3" t="n"/>
      <c r="M1070" s="3" t="n"/>
      <c r="N1070" s="3" t="n">
        <v>63</v>
      </c>
      <c r="O1070" s="3" t="n"/>
      <c r="P1070" s="3">
        <f>IF(L1070&lt;&gt;"",L1070/1.4,"")</f>
        <v/>
      </c>
      <c r="Q1070" s="3">
        <f>IF(L1070&lt;&gt;"",L1070/1.56,"")</f>
        <v/>
      </c>
      <c r="R1070" s="3">
        <f>IF(M1070&lt;&gt;"",M1070/1.4,"")</f>
        <v/>
      </c>
      <c r="S1070" s="3">
        <f>IF(M1070&lt;&gt;"",M1070/1.56,"")</f>
        <v/>
      </c>
      <c r="T1070" s="3">
        <f>IF(N1070&lt;&gt;"",N1070,IF(O1070&lt;&gt;"",O1070,IF(L1070&lt;&gt;"",L1070/1.56,IF(M1070&lt;&gt;"",M1070/1.56,""))))</f>
        <v/>
      </c>
      <c r="U1070" s="3" t="n">
        <v>278</v>
      </c>
      <c r="V1070" s="3" t="n">
        <v>170</v>
      </c>
      <c r="W1070" s="3" t="n"/>
      <c r="X1070" s="4" t="n"/>
      <c r="Y1070" s="5" t="n">
        <v>0.208</v>
      </c>
      <c r="Z1070" s="4">
        <f>IF(L1070&lt;&gt;"",SQRT(3)*G1070*L1070/1000,"")</f>
        <v/>
      </c>
      <c r="AA1070" t="inlineStr">
        <is>
          <t>Source=Copeland 2D/3D/4D/4R/6D/8D/9R compressors (pdf) p48; PWS_RLA=31.5</t>
        </is>
      </c>
      <c r="AB1070" t="inlineStr">
        <is>
          <t>Copeland_RLA_230_460_3ph_60Hz.xlsx</t>
        </is>
      </c>
      <c r="AC1070" t="inlineStr">
        <is>
          <t>Recip_2D-9R</t>
        </is>
      </c>
    </row>
    <row r="1071">
      <c r="A1071" t="inlineStr">
        <is>
          <t>COPELAND</t>
        </is>
      </c>
      <c r="B1071" t="inlineStr">
        <is>
          <t>4RK2-1500-TSK</t>
        </is>
      </c>
      <c r="D1071" t="inlineStr">
        <is>
          <t>Reciprocating Semi-hermetic</t>
        </is>
      </c>
      <c r="E1071" s="2" t="n">
        <v>3</v>
      </c>
      <c r="F1071" s="2" t="n">
        <v>60</v>
      </c>
      <c r="G1071" s="2" t="n">
        <v>460</v>
      </c>
      <c r="H1071" t="inlineStr">
        <is>
          <t>460</t>
        </is>
      </c>
      <c r="I1071" s="2" t="n">
        <v>460</v>
      </c>
      <c r="J1071" s="2" t="n">
        <v>460</v>
      </c>
      <c r="L1071" s="3" t="n"/>
      <c r="M1071" s="3" t="n"/>
      <c r="N1071" s="3" t="n">
        <v>31.5</v>
      </c>
      <c r="O1071" s="3" t="n"/>
      <c r="P1071" s="3">
        <f>IF(L1071&lt;&gt;"",L1071/1.4,"")</f>
        <v/>
      </c>
      <c r="Q1071" s="3">
        <f>IF(L1071&lt;&gt;"",L1071/1.56,"")</f>
        <v/>
      </c>
      <c r="R1071" s="3">
        <f>IF(M1071&lt;&gt;"",M1071/1.4,"")</f>
        <v/>
      </c>
      <c r="S1071" s="3">
        <f>IF(M1071&lt;&gt;"",M1071/1.56,"")</f>
        <v/>
      </c>
      <c r="T1071" s="3">
        <f>IF(N1071&lt;&gt;"",N1071,IF(O1071&lt;&gt;"",O1071,IF(L1071&lt;&gt;"",L1071/1.56,IF(M1071&lt;&gt;"",M1071/1.56,""))))</f>
        <v/>
      </c>
      <c r="U1071" s="3" t="n">
        <v>139</v>
      </c>
      <c r="V1071" s="3" t="n"/>
      <c r="W1071" s="3" t="n"/>
      <c r="X1071" s="4" t="n"/>
      <c r="Y1071" s="5" t="n">
        <v>0.832</v>
      </c>
      <c r="Z1071" s="4">
        <f>IF(L1071&lt;&gt;"",SQRT(3)*G1071*L1071/1000,"")</f>
        <v/>
      </c>
      <c r="AA1071" t="inlineStr">
        <is>
          <t>Source=Copeland 2D/3D/4D/4R/6D/8D/9R compressors (pdf) p48</t>
        </is>
      </c>
      <c r="AB1071" t="inlineStr">
        <is>
          <t>Copeland_RLA_230_460_3ph_60Hz.xlsx</t>
        </is>
      </c>
      <c r="AC1071" t="inlineStr">
        <is>
          <t>Recip_2D-9R</t>
        </is>
      </c>
    </row>
    <row r="1072">
      <c r="A1072" t="inlineStr">
        <is>
          <t>COPELAND</t>
        </is>
      </c>
      <c r="B1072" t="inlineStr">
        <is>
          <t>4RK2-2500-FSD</t>
        </is>
      </c>
      <c r="D1072" t="inlineStr">
        <is>
          <t>Reciprocating Semi-hermetic</t>
        </is>
      </c>
      <c r="E1072" s="2" t="n">
        <v>3</v>
      </c>
      <c r="F1072" s="2" t="n">
        <v>60</v>
      </c>
      <c r="G1072" s="2" t="n">
        <v>460</v>
      </c>
      <c r="H1072" t="inlineStr">
        <is>
          <t>460</t>
        </is>
      </c>
      <c r="I1072" s="2" t="n">
        <v>460</v>
      </c>
      <c r="J1072" s="2" t="n">
        <v>460</v>
      </c>
      <c r="L1072" s="3" t="n"/>
      <c r="M1072" s="3" t="n"/>
      <c r="N1072" s="3" t="n">
        <v>45</v>
      </c>
      <c r="O1072" s="3" t="n"/>
      <c r="P1072" s="3">
        <f>IF(L1072&lt;&gt;"",L1072/1.4,"")</f>
        <v/>
      </c>
      <c r="Q1072" s="3">
        <f>IF(L1072&lt;&gt;"",L1072/1.56,"")</f>
        <v/>
      </c>
      <c r="R1072" s="3">
        <f>IF(M1072&lt;&gt;"",M1072/1.4,"")</f>
        <v/>
      </c>
      <c r="S1072" s="3">
        <f>IF(M1072&lt;&gt;"",M1072/1.56,"")</f>
        <v/>
      </c>
      <c r="T1072" s="3">
        <f>IF(N1072&lt;&gt;"",N1072,IF(O1072&lt;&gt;"",O1072,IF(L1072&lt;&gt;"",L1072/1.56,IF(M1072&lt;&gt;"",M1072/1.56,""))))</f>
        <v/>
      </c>
      <c r="U1072" s="3" t="n">
        <v>165</v>
      </c>
      <c r="V1072" s="3" t="n">
        <v>100</v>
      </c>
      <c r="W1072" s="3" t="n"/>
      <c r="X1072" s="4" t="n"/>
      <c r="Y1072" s="5" t="n">
        <v>0.575</v>
      </c>
      <c r="Z1072" s="4">
        <f>IF(L1072&lt;&gt;"",SQRT(3)*G1072*L1072/1000,"")</f>
        <v/>
      </c>
      <c r="AA1072" t="inlineStr">
        <is>
          <t>Source=Copeland 2D/3D/4D/4R/6D/8D/9R compressors (pdf) p48; PWS_RLA=22.5</t>
        </is>
      </c>
      <c r="AB1072" t="inlineStr">
        <is>
          <t>Copeland_RLA_230_460_3ph_60Hz.xlsx</t>
        </is>
      </c>
      <c r="AC1072" t="inlineStr">
        <is>
          <t>Recip_2D-9R</t>
        </is>
      </c>
    </row>
    <row r="1073">
      <c r="A1073" t="inlineStr">
        <is>
          <t>COPELAND</t>
        </is>
      </c>
      <c r="B1073" t="inlineStr">
        <is>
          <t>4RK2-2500-TSK</t>
        </is>
      </c>
      <c r="D1073" t="inlineStr">
        <is>
          <t>Reciprocating Semi-hermetic</t>
        </is>
      </c>
      <c r="E1073" s="2" t="n">
        <v>3</v>
      </c>
      <c r="F1073" s="2" t="n">
        <v>60</v>
      </c>
      <c r="G1073" s="2" t="n">
        <v>230</v>
      </c>
      <c r="H1073" t="inlineStr">
        <is>
          <t>208/230</t>
        </is>
      </c>
      <c r="I1073" s="2" t="n">
        <v>208</v>
      </c>
      <c r="J1073" s="2" t="n">
        <v>230</v>
      </c>
      <c r="L1073" s="3" t="n"/>
      <c r="M1073" s="3" t="n"/>
      <c r="N1073" s="3" t="n">
        <v>88.59999999999999</v>
      </c>
      <c r="O1073" s="3" t="n"/>
      <c r="P1073" s="3">
        <f>IF(L1073&lt;&gt;"",L1073/1.4,"")</f>
        <v/>
      </c>
      <c r="Q1073" s="3">
        <f>IF(L1073&lt;&gt;"",L1073/1.56,"")</f>
        <v/>
      </c>
      <c r="R1073" s="3">
        <f>IF(M1073&lt;&gt;"",M1073/1.4,"")</f>
        <v/>
      </c>
      <c r="S1073" s="3">
        <f>IF(M1073&lt;&gt;"",M1073/1.56,"")</f>
        <v/>
      </c>
      <c r="T1073" s="3">
        <f>IF(N1073&lt;&gt;"",N1073,IF(O1073&lt;&gt;"",O1073,IF(L1073&lt;&gt;"",L1073/1.56,IF(M1073&lt;&gt;"",M1073/1.56,""))))</f>
        <v/>
      </c>
      <c r="U1073" s="3" t="n">
        <v>428</v>
      </c>
      <c r="V1073" s="3" t="n">
        <v>250</v>
      </c>
      <c r="W1073" s="3" t="n"/>
      <c r="X1073" s="4" t="n"/>
      <c r="Y1073" s="5" t="n">
        <v>0.132</v>
      </c>
      <c r="Z1073" s="4">
        <f>IF(L1073&lt;&gt;"",SQRT(3)*G1073*L1073/1000,"")</f>
        <v/>
      </c>
      <c r="AA1073" t="inlineStr">
        <is>
          <t>Source=Copeland 2D/3D/4D/4R/6D/8D/9R compressors (pdf) p48; PWS_RLA=44.3</t>
        </is>
      </c>
      <c r="AB1073" t="inlineStr">
        <is>
          <t>Copeland_RLA_230_460_3ph_60Hz.xlsx</t>
        </is>
      </c>
      <c r="AC1073" t="inlineStr">
        <is>
          <t>Recip_2D-9R</t>
        </is>
      </c>
    </row>
    <row r="1074">
      <c r="A1074" t="inlineStr">
        <is>
          <t>COPELAND</t>
        </is>
      </c>
      <c r="B1074" t="inlineStr">
        <is>
          <t>4RK2-2500-TSK</t>
        </is>
      </c>
      <c r="D1074" t="inlineStr">
        <is>
          <t>Reciprocating Semi-hermetic</t>
        </is>
      </c>
      <c r="E1074" s="2" t="n">
        <v>3</v>
      </c>
      <c r="F1074" s="2" t="n">
        <v>60</v>
      </c>
      <c r="G1074" s="2" t="n">
        <v>460</v>
      </c>
      <c r="H1074" t="inlineStr">
        <is>
          <t>460</t>
        </is>
      </c>
      <c r="I1074" s="2" t="n">
        <v>460</v>
      </c>
      <c r="J1074" s="2" t="n">
        <v>460</v>
      </c>
      <c r="L1074" s="3" t="n"/>
      <c r="M1074" s="3" t="n"/>
      <c r="N1074" s="3" t="n">
        <v>44.3</v>
      </c>
      <c r="O1074" s="3" t="n"/>
      <c r="P1074" s="3">
        <f>IF(L1074&lt;&gt;"",L1074/1.4,"")</f>
        <v/>
      </c>
      <c r="Q1074" s="3">
        <f>IF(L1074&lt;&gt;"",L1074/1.56,"")</f>
        <v/>
      </c>
      <c r="R1074" s="3">
        <f>IF(M1074&lt;&gt;"",M1074/1.4,"")</f>
        <v/>
      </c>
      <c r="S1074" s="3">
        <f>IF(M1074&lt;&gt;"",M1074/1.56,"")</f>
        <v/>
      </c>
      <c r="T1074" s="3">
        <f>IF(N1074&lt;&gt;"",N1074,IF(O1074&lt;&gt;"",O1074,IF(L1074&lt;&gt;"",L1074/1.56,IF(M1074&lt;&gt;"",M1074/1.56,""))))</f>
        <v/>
      </c>
      <c r="U1074" s="3" t="n">
        <v>214</v>
      </c>
      <c r="V1074" s="3" t="n"/>
      <c r="W1074" s="3" t="n"/>
      <c r="X1074" s="4" t="n"/>
      <c r="Y1074" s="5" t="n">
        <v>0.528</v>
      </c>
      <c r="Z1074" s="4">
        <f>IF(L1074&lt;&gt;"",SQRT(3)*G1074*L1074/1000,"")</f>
        <v/>
      </c>
      <c r="AA1074" t="inlineStr">
        <is>
          <t>Source=Copeland 2D/3D/4D/4R/6D/8D/9R compressors (pdf) p48</t>
        </is>
      </c>
      <c r="AB1074" t="inlineStr">
        <is>
          <t>Copeland_RLA_230_460_3ph_60Hz.xlsx</t>
        </is>
      </c>
      <c r="AC1074" t="inlineStr">
        <is>
          <t>Recip_2D-9R</t>
        </is>
      </c>
    </row>
    <row r="1075">
      <c r="A1075" t="inlineStr">
        <is>
          <t>COPELAND</t>
        </is>
      </c>
      <c r="B1075" t="inlineStr">
        <is>
          <t>4RK2-250A-FSD</t>
        </is>
      </c>
      <c r="D1075" t="inlineStr">
        <is>
          <t>Reciprocating Semi-hermetic</t>
        </is>
      </c>
      <c r="E1075" s="2" t="n">
        <v>3</v>
      </c>
      <c r="F1075" s="2" t="n">
        <v>60</v>
      </c>
      <c r="G1075" s="2" t="n">
        <v>460</v>
      </c>
      <c r="H1075" t="inlineStr">
        <is>
          <t>460</t>
        </is>
      </c>
      <c r="I1075" s="2" t="n">
        <v>460</v>
      </c>
      <c r="J1075" s="2" t="n">
        <v>460</v>
      </c>
      <c r="L1075" s="3" t="n"/>
      <c r="M1075" s="3" t="n"/>
      <c r="N1075" s="3" t="n">
        <v>45</v>
      </c>
      <c r="O1075" s="3" t="n"/>
      <c r="P1075" s="3">
        <f>IF(L1075&lt;&gt;"",L1075/1.4,"")</f>
        <v/>
      </c>
      <c r="Q1075" s="3">
        <f>IF(L1075&lt;&gt;"",L1075/1.56,"")</f>
        <v/>
      </c>
      <c r="R1075" s="3">
        <f>IF(M1075&lt;&gt;"",M1075/1.4,"")</f>
        <v/>
      </c>
      <c r="S1075" s="3">
        <f>IF(M1075&lt;&gt;"",M1075/1.56,"")</f>
        <v/>
      </c>
      <c r="T1075" s="3">
        <f>IF(N1075&lt;&gt;"",N1075,IF(O1075&lt;&gt;"",O1075,IF(L1075&lt;&gt;"",L1075/1.56,IF(M1075&lt;&gt;"",M1075/1.56,""))))</f>
        <v/>
      </c>
      <c r="U1075" s="3" t="n">
        <v>165</v>
      </c>
      <c r="V1075" s="3" t="n">
        <v>100</v>
      </c>
      <c r="W1075" s="3" t="n"/>
      <c r="X1075" s="4" t="n"/>
      <c r="Y1075" s="5" t="n">
        <v>0.575</v>
      </c>
      <c r="Z1075" s="4">
        <f>IF(L1075&lt;&gt;"",SQRT(3)*G1075*L1075/1000,"")</f>
        <v/>
      </c>
      <c r="AA1075" t="inlineStr">
        <is>
          <t>Source=Copeland 2D/3D/4D/4R/6D/8D/9R compressors (pdf) p48; PWS_RLA=22.5</t>
        </is>
      </c>
      <c r="AB1075" t="inlineStr">
        <is>
          <t>Copeland_RLA_230_460_3ph_60Hz.xlsx</t>
        </is>
      </c>
      <c r="AC1075" t="inlineStr">
        <is>
          <t>Recip_2D-9R</t>
        </is>
      </c>
    </row>
    <row r="1076">
      <c r="A1076" t="inlineStr">
        <is>
          <t>COPELAND</t>
        </is>
      </c>
      <c r="B1076" t="inlineStr">
        <is>
          <t>4RK2-250A-TSK</t>
        </is>
      </c>
      <c r="D1076" t="inlineStr">
        <is>
          <t>Reciprocating Semi-hermetic</t>
        </is>
      </c>
      <c r="E1076" s="2" t="n">
        <v>3</v>
      </c>
      <c r="F1076" s="2" t="n">
        <v>60</v>
      </c>
      <c r="G1076" s="2" t="n">
        <v>230</v>
      </c>
      <c r="H1076" t="inlineStr">
        <is>
          <t>208/230</t>
        </is>
      </c>
      <c r="I1076" s="2" t="n">
        <v>208</v>
      </c>
      <c r="J1076" s="2" t="n">
        <v>230</v>
      </c>
      <c r="L1076" s="3" t="n"/>
      <c r="M1076" s="3" t="n"/>
      <c r="N1076" s="3" t="n">
        <v>88.59999999999999</v>
      </c>
      <c r="O1076" s="3" t="n"/>
      <c r="P1076" s="3">
        <f>IF(L1076&lt;&gt;"",L1076/1.4,"")</f>
        <v/>
      </c>
      <c r="Q1076" s="3">
        <f>IF(L1076&lt;&gt;"",L1076/1.56,"")</f>
        <v/>
      </c>
      <c r="R1076" s="3">
        <f>IF(M1076&lt;&gt;"",M1076/1.4,"")</f>
        <v/>
      </c>
      <c r="S1076" s="3">
        <f>IF(M1076&lt;&gt;"",M1076/1.56,"")</f>
        <v/>
      </c>
      <c r="T1076" s="3">
        <f>IF(N1076&lt;&gt;"",N1076,IF(O1076&lt;&gt;"",O1076,IF(L1076&lt;&gt;"",L1076/1.56,IF(M1076&lt;&gt;"",M1076/1.56,""))))</f>
        <v/>
      </c>
      <c r="U1076" s="3" t="n">
        <v>428</v>
      </c>
      <c r="V1076" s="3" t="n">
        <v>250</v>
      </c>
      <c r="W1076" s="3" t="n"/>
      <c r="X1076" s="4" t="n"/>
      <c r="Y1076" s="5" t="n">
        <v>0.132</v>
      </c>
      <c r="Z1076" s="4">
        <f>IF(L1076&lt;&gt;"",SQRT(3)*G1076*L1076/1000,"")</f>
        <v/>
      </c>
      <c r="AA1076" t="inlineStr">
        <is>
          <t>Source=Copeland 2D/3D/4D/4R/6D/8D/9R compressors (pdf) p48; PWS_RLA=44.3</t>
        </is>
      </c>
      <c r="AB1076" t="inlineStr">
        <is>
          <t>Copeland_RLA_230_460_3ph_60Hz.xlsx</t>
        </is>
      </c>
      <c r="AC1076" t="inlineStr">
        <is>
          <t>Recip_2D-9R</t>
        </is>
      </c>
    </row>
    <row r="1077">
      <c r="A1077" t="inlineStr">
        <is>
          <t>COPELAND</t>
        </is>
      </c>
      <c r="B1077" t="inlineStr">
        <is>
          <t>4RK2-250A-TSK</t>
        </is>
      </c>
      <c r="D1077" t="inlineStr">
        <is>
          <t>Reciprocating Semi-hermetic</t>
        </is>
      </c>
      <c r="E1077" s="2" t="n">
        <v>3</v>
      </c>
      <c r="F1077" s="2" t="n">
        <v>60</v>
      </c>
      <c r="G1077" s="2" t="n">
        <v>460</v>
      </c>
      <c r="H1077" t="inlineStr">
        <is>
          <t>460</t>
        </is>
      </c>
      <c r="I1077" s="2" t="n">
        <v>460</v>
      </c>
      <c r="J1077" s="2" t="n">
        <v>460</v>
      </c>
      <c r="L1077" s="3" t="n"/>
      <c r="M1077" s="3" t="n"/>
      <c r="N1077" s="3" t="n">
        <v>44.3</v>
      </c>
      <c r="O1077" s="3" t="n"/>
      <c r="P1077" s="3">
        <f>IF(L1077&lt;&gt;"",L1077/1.4,"")</f>
        <v/>
      </c>
      <c r="Q1077" s="3">
        <f>IF(L1077&lt;&gt;"",L1077/1.56,"")</f>
        <v/>
      </c>
      <c r="R1077" s="3">
        <f>IF(M1077&lt;&gt;"",M1077/1.4,"")</f>
        <v/>
      </c>
      <c r="S1077" s="3">
        <f>IF(M1077&lt;&gt;"",M1077/1.56,"")</f>
        <v/>
      </c>
      <c r="T1077" s="3">
        <f>IF(N1077&lt;&gt;"",N1077,IF(O1077&lt;&gt;"",O1077,IF(L1077&lt;&gt;"",L1077/1.56,IF(M1077&lt;&gt;"",M1077/1.56,""))))</f>
        <v/>
      </c>
      <c r="U1077" s="3" t="n">
        <v>214</v>
      </c>
      <c r="V1077" s="3" t="n"/>
      <c r="W1077" s="3" t="n"/>
      <c r="X1077" s="4" t="n"/>
      <c r="Y1077" s="5" t="n">
        <v>0.528</v>
      </c>
      <c r="Z1077" s="4">
        <f>IF(L1077&lt;&gt;"",SQRT(3)*G1077*L1077/1000,"")</f>
        <v/>
      </c>
      <c r="AA1077" t="inlineStr">
        <is>
          <t>Source=Copeland 2D/3D/4D/4R/6D/8D/9R compressors (pdf) p48</t>
        </is>
      </c>
      <c r="AB1077" t="inlineStr">
        <is>
          <t>Copeland_RLA_230_460_3ph_60Hz.xlsx</t>
        </is>
      </c>
      <c r="AC1077" t="inlineStr">
        <is>
          <t>Recip_2D-9R</t>
        </is>
      </c>
    </row>
    <row r="1078">
      <c r="A1078" t="inlineStr">
        <is>
          <t>COPELAND</t>
        </is>
      </c>
      <c r="B1078" t="inlineStr">
        <is>
          <t>4RK5-2500-TSK</t>
        </is>
      </c>
      <c r="D1078" t="inlineStr">
        <is>
          <t>Reciprocating Semi-hermetic</t>
        </is>
      </c>
      <c r="E1078" s="2" t="n">
        <v>3</v>
      </c>
      <c r="F1078" s="2" t="n">
        <v>60</v>
      </c>
      <c r="G1078" s="2" t="n">
        <v>230</v>
      </c>
      <c r="H1078" t="inlineStr">
        <is>
          <t>208/230</t>
        </is>
      </c>
      <c r="I1078" s="2" t="n">
        <v>208</v>
      </c>
      <c r="J1078" s="2" t="n">
        <v>230</v>
      </c>
      <c r="L1078" s="3" t="n"/>
      <c r="M1078" s="3" t="n"/>
      <c r="N1078" s="3" t="n">
        <v>88.59999999999999</v>
      </c>
      <c r="O1078" s="3" t="n"/>
      <c r="P1078" s="3">
        <f>IF(L1078&lt;&gt;"",L1078/1.4,"")</f>
        <v/>
      </c>
      <c r="Q1078" s="3">
        <f>IF(L1078&lt;&gt;"",L1078/1.56,"")</f>
        <v/>
      </c>
      <c r="R1078" s="3">
        <f>IF(M1078&lt;&gt;"",M1078/1.4,"")</f>
        <v/>
      </c>
      <c r="S1078" s="3">
        <f>IF(M1078&lt;&gt;"",M1078/1.56,"")</f>
        <v/>
      </c>
      <c r="T1078" s="3">
        <f>IF(N1078&lt;&gt;"",N1078,IF(O1078&lt;&gt;"",O1078,IF(L1078&lt;&gt;"",L1078/1.56,IF(M1078&lt;&gt;"",M1078/1.56,""))))</f>
        <v/>
      </c>
      <c r="U1078" s="3" t="n">
        <v>428</v>
      </c>
      <c r="V1078" s="3" t="n">
        <v>250</v>
      </c>
      <c r="W1078" s="3" t="n"/>
      <c r="X1078" s="4" t="n"/>
      <c r="Y1078" s="5" t="n">
        <v>0.132</v>
      </c>
      <c r="Z1078" s="4">
        <f>IF(L1078&lt;&gt;"",SQRT(3)*G1078*L1078/1000,"")</f>
        <v/>
      </c>
      <c r="AA1078" t="inlineStr">
        <is>
          <t>Source=Copeland 2D/3D/4D/4R/6D/8D/9R compressors (pdf) p48; PWS_RLA=44.3</t>
        </is>
      </c>
      <c r="AB1078" t="inlineStr">
        <is>
          <t>Copeland_RLA_230_460_3ph_60Hz.xlsx</t>
        </is>
      </c>
      <c r="AC1078" t="inlineStr">
        <is>
          <t>Recip_2D-9R</t>
        </is>
      </c>
    </row>
    <row r="1079">
      <c r="A1079" t="inlineStr">
        <is>
          <t>COPELAND</t>
        </is>
      </c>
      <c r="B1079" t="inlineStr">
        <is>
          <t>4RK5-2500-TSK</t>
        </is>
      </c>
      <c r="D1079" t="inlineStr">
        <is>
          <t>Reciprocating Semi-hermetic</t>
        </is>
      </c>
      <c r="E1079" s="2" t="n">
        <v>3</v>
      </c>
      <c r="F1079" s="2" t="n">
        <v>60</v>
      </c>
      <c r="G1079" s="2" t="n">
        <v>460</v>
      </c>
      <c r="H1079" t="inlineStr">
        <is>
          <t>460</t>
        </is>
      </c>
      <c r="I1079" s="2" t="n">
        <v>460</v>
      </c>
      <c r="J1079" s="2" t="n">
        <v>460</v>
      </c>
      <c r="L1079" s="3" t="n"/>
      <c r="M1079" s="3" t="n"/>
      <c r="N1079" s="3" t="n">
        <v>44.3</v>
      </c>
      <c r="O1079" s="3" t="n"/>
      <c r="P1079" s="3">
        <f>IF(L1079&lt;&gt;"",L1079/1.4,"")</f>
        <v/>
      </c>
      <c r="Q1079" s="3">
        <f>IF(L1079&lt;&gt;"",L1079/1.56,"")</f>
        <v/>
      </c>
      <c r="R1079" s="3">
        <f>IF(M1079&lt;&gt;"",M1079/1.4,"")</f>
        <v/>
      </c>
      <c r="S1079" s="3">
        <f>IF(M1079&lt;&gt;"",M1079/1.56,"")</f>
        <v/>
      </c>
      <c r="T1079" s="3">
        <f>IF(N1079&lt;&gt;"",N1079,IF(O1079&lt;&gt;"",O1079,IF(L1079&lt;&gt;"",L1079/1.56,IF(M1079&lt;&gt;"",M1079/1.56,""))))</f>
        <v/>
      </c>
      <c r="U1079" s="3" t="n">
        <v>214</v>
      </c>
      <c r="V1079" s="3" t="n"/>
      <c r="W1079" s="3" t="n"/>
      <c r="X1079" s="4" t="n"/>
      <c r="Y1079" s="5" t="n">
        <v>0.528</v>
      </c>
      <c r="Z1079" s="4">
        <f>IF(L1079&lt;&gt;"",SQRT(3)*G1079*L1079/1000,"")</f>
        <v/>
      </c>
      <c r="AA1079" t="inlineStr">
        <is>
          <t>Source=Copeland 2D/3D/4D/4R/6D/8D/9R compressors (pdf) p48</t>
        </is>
      </c>
      <c r="AB1079" t="inlineStr">
        <is>
          <t>Copeland_RLA_230_460_3ph_60Hz.xlsx</t>
        </is>
      </c>
      <c r="AC1079" t="inlineStr">
        <is>
          <t>Recip_2D-9R</t>
        </is>
      </c>
    </row>
    <row r="1080">
      <c r="A1080" t="inlineStr">
        <is>
          <t>COPELAND</t>
        </is>
      </c>
      <c r="B1080" t="inlineStr">
        <is>
          <t>4RL1-1500-TSK</t>
        </is>
      </c>
      <c r="D1080" t="inlineStr">
        <is>
          <t>Reciprocating Semi-hermetic</t>
        </is>
      </c>
      <c r="E1080" s="2" t="n">
        <v>3</v>
      </c>
      <c r="F1080" s="2" t="n">
        <v>60</v>
      </c>
      <c r="G1080" s="2" t="n">
        <v>230</v>
      </c>
      <c r="H1080" t="inlineStr">
        <is>
          <t>208/230</t>
        </is>
      </c>
      <c r="I1080" s="2" t="n">
        <v>208</v>
      </c>
      <c r="J1080" s="2" t="n">
        <v>230</v>
      </c>
      <c r="L1080" s="3" t="n"/>
      <c r="M1080" s="3" t="n"/>
      <c r="N1080" s="3" t="n">
        <v>62.6</v>
      </c>
      <c r="O1080" s="3" t="n"/>
      <c r="P1080" s="3">
        <f>IF(L1080&lt;&gt;"",L1080/1.4,"")</f>
        <v/>
      </c>
      <c r="Q1080" s="3">
        <f>IF(L1080&lt;&gt;"",L1080/1.56,"")</f>
        <v/>
      </c>
      <c r="R1080" s="3">
        <f>IF(M1080&lt;&gt;"",M1080/1.4,"")</f>
        <v/>
      </c>
      <c r="S1080" s="3">
        <f>IF(M1080&lt;&gt;"",M1080/1.56,"")</f>
        <v/>
      </c>
      <c r="T1080" s="3">
        <f>IF(N1080&lt;&gt;"",N1080,IF(O1080&lt;&gt;"",O1080,IF(L1080&lt;&gt;"",L1080/1.56,IF(M1080&lt;&gt;"",M1080/1.56,""))))</f>
        <v/>
      </c>
      <c r="U1080" s="3" t="n">
        <v>278</v>
      </c>
      <c r="V1080" s="3" t="n">
        <v>170</v>
      </c>
      <c r="W1080" s="3" t="n"/>
      <c r="X1080" s="4" t="n"/>
      <c r="Y1080" s="5" t="n">
        <v>0.208</v>
      </c>
      <c r="Z1080" s="4">
        <f>IF(L1080&lt;&gt;"",SQRT(3)*G1080*L1080/1000,"")</f>
        <v/>
      </c>
      <c r="AA1080" t="inlineStr">
        <is>
          <t>Source=Copeland 2D/3D/4D/4R/6D/8D/9R compressors (pdf) p48; PWS_RLA=31.3</t>
        </is>
      </c>
      <c r="AB1080" t="inlineStr">
        <is>
          <t>Copeland_RLA_230_460_3ph_60Hz.xlsx</t>
        </is>
      </c>
      <c r="AC1080" t="inlineStr">
        <is>
          <t>Recip_2D-9R</t>
        </is>
      </c>
    </row>
    <row r="1081">
      <c r="A1081" t="inlineStr">
        <is>
          <t>COPELAND</t>
        </is>
      </c>
      <c r="B1081" t="inlineStr">
        <is>
          <t>4RL1-1500-TSK</t>
        </is>
      </c>
      <c r="D1081" t="inlineStr">
        <is>
          <t>Reciprocating Semi-hermetic</t>
        </is>
      </c>
      <c r="E1081" s="2" t="n">
        <v>3</v>
      </c>
      <c r="F1081" s="2" t="n">
        <v>60</v>
      </c>
      <c r="G1081" s="2" t="n">
        <v>460</v>
      </c>
      <c r="H1081" t="inlineStr">
        <is>
          <t>460</t>
        </is>
      </c>
      <c r="I1081" s="2" t="n">
        <v>460</v>
      </c>
      <c r="J1081" s="2" t="n">
        <v>460</v>
      </c>
      <c r="L1081" s="3" t="n"/>
      <c r="M1081" s="3" t="n"/>
      <c r="N1081" s="3" t="n">
        <v>31.4</v>
      </c>
      <c r="O1081" s="3" t="n"/>
      <c r="P1081" s="3">
        <f>IF(L1081&lt;&gt;"",L1081/1.4,"")</f>
        <v/>
      </c>
      <c r="Q1081" s="3">
        <f>IF(L1081&lt;&gt;"",L1081/1.56,"")</f>
        <v/>
      </c>
      <c r="R1081" s="3">
        <f>IF(M1081&lt;&gt;"",M1081/1.4,"")</f>
        <v/>
      </c>
      <c r="S1081" s="3">
        <f>IF(M1081&lt;&gt;"",M1081/1.56,"")</f>
        <v/>
      </c>
      <c r="T1081" s="3">
        <f>IF(N1081&lt;&gt;"",N1081,IF(O1081&lt;&gt;"",O1081,IF(L1081&lt;&gt;"",L1081/1.56,IF(M1081&lt;&gt;"",M1081/1.56,""))))</f>
        <v/>
      </c>
      <c r="U1081" s="3" t="n">
        <v>139</v>
      </c>
      <c r="V1081" s="3" t="n"/>
      <c r="W1081" s="3" t="n"/>
      <c r="X1081" s="4" t="n"/>
      <c r="Y1081" s="5" t="n">
        <v>0.832</v>
      </c>
      <c r="Z1081" s="4">
        <f>IF(L1081&lt;&gt;"",SQRT(3)*G1081*L1081/1000,"")</f>
        <v/>
      </c>
      <c r="AA1081" t="inlineStr">
        <is>
          <t>Source=Copeland 2D/3D/4D/4R/6D/8D/9R compressors (pdf) p48</t>
        </is>
      </c>
      <c r="AB1081" t="inlineStr">
        <is>
          <t>Copeland_RLA_230_460_3ph_60Hz.xlsx</t>
        </is>
      </c>
      <c r="AC1081" t="inlineStr">
        <is>
          <t>Recip_2D-9R</t>
        </is>
      </c>
    </row>
    <row r="1082">
      <c r="A1082" t="inlineStr">
        <is>
          <t>COPELAND</t>
        </is>
      </c>
      <c r="B1082" t="inlineStr">
        <is>
          <t>4RL1-150A-TSK</t>
        </is>
      </c>
      <c r="D1082" t="inlineStr">
        <is>
          <t>Reciprocating Semi-hermetic</t>
        </is>
      </c>
      <c r="E1082" s="2" t="n">
        <v>3</v>
      </c>
      <c r="F1082" s="2" t="n">
        <v>60</v>
      </c>
      <c r="G1082" s="2" t="n">
        <v>230</v>
      </c>
      <c r="H1082" t="inlineStr">
        <is>
          <t>208/230</t>
        </is>
      </c>
      <c r="I1082" s="2" t="n">
        <v>208</v>
      </c>
      <c r="J1082" s="2" t="n">
        <v>230</v>
      </c>
      <c r="L1082" s="3" t="n"/>
      <c r="M1082" s="3" t="n"/>
      <c r="N1082" s="3" t="n">
        <v>62.6</v>
      </c>
      <c r="O1082" s="3" t="n"/>
      <c r="P1082" s="3">
        <f>IF(L1082&lt;&gt;"",L1082/1.4,"")</f>
        <v/>
      </c>
      <c r="Q1082" s="3">
        <f>IF(L1082&lt;&gt;"",L1082/1.56,"")</f>
        <v/>
      </c>
      <c r="R1082" s="3">
        <f>IF(M1082&lt;&gt;"",M1082/1.4,"")</f>
        <v/>
      </c>
      <c r="S1082" s="3">
        <f>IF(M1082&lt;&gt;"",M1082/1.56,"")</f>
        <v/>
      </c>
      <c r="T1082" s="3">
        <f>IF(N1082&lt;&gt;"",N1082,IF(O1082&lt;&gt;"",O1082,IF(L1082&lt;&gt;"",L1082/1.56,IF(M1082&lt;&gt;"",M1082/1.56,""))))</f>
        <v/>
      </c>
      <c r="U1082" s="3" t="n">
        <v>278</v>
      </c>
      <c r="V1082" s="3" t="n">
        <v>170</v>
      </c>
      <c r="W1082" s="3" t="n"/>
      <c r="X1082" s="4" t="n"/>
      <c r="Y1082" s="5" t="n">
        <v>0.208</v>
      </c>
      <c r="Z1082" s="4">
        <f>IF(L1082&lt;&gt;"",SQRT(3)*G1082*L1082/1000,"")</f>
        <v/>
      </c>
      <c r="AA1082" t="inlineStr">
        <is>
          <t>Source=Copeland 2D/3D/4D/4R/6D/8D/9R compressors (pdf) p48; PWS_RLA=31.3</t>
        </is>
      </c>
      <c r="AB1082" t="inlineStr">
        <is>
          <t>Copeland_RLA_230_460_3ph_60Hz.xlsx</t>
        </is>
      </c>
      <c r="AC1082" t="inlineStr">
        <is>
          <t>Recip_2D-9R</t>
        </is>
      </c>
    </row>
    <row r="1083">
      <c r="A1083" t="inlineStr">
        <is>
          <t>COPELAND</t>
        </is>
      </c>
      <c r="B1083" t="inlineStr">
        <is>
          <t>4RL1-150A-TSK</t>
        </is>
      </c>
      <c r="D1083" t="inlineStr">
        <is>
          <t>Reciprocating Semi-hermetic</t>
        </is>
      </c>
      <c r="E1083" s="2" t="n">
        <v>3</v>
      </c>
      <c r="F1083" s="2" t="n">
        <v>60</v>
      </c>
      <c r="G1083" s="2" t="n">
        <v>460</v>
      </c>
      <c r="H1083" t="inlineStr">
        <is>
          <t>460</t>
        </is>
      </c>
      <c r="I1083" s="2" t="n">
        <v>460</v>
      </c>
      <c r="J1083" s="2" t="n">
        <v>460</v>
      </c>
      <c r="L1083" s="3" t="n"/>
      <c r="M1083" s="3" t="n"/>
      <c r="N1083" s="3" t="n">
        <v>31.4</v>
      </c>
      <c r="O1083" s="3" t="n"/>
      <c r="P1083" s="3">
        <f>IF(L1083&lt;&gt;"",L1083/1.4,"")</f>
        <v/>
      </c>
      <c r="Q1083" s="3">
        <f>IF(L1083&lt;&gt;"",L1083/1.56,"")</f>
        <v/>
      </c>
      <c r="R1083" s="3">
        <f>IF(M1083&lt;&gt;"",M1083/1.4,"")</f>
        <v/>
      </c>
      <c r="S1083" s="3">
        <f>IF(M1083&lt;&gt;"",M1083/1.56,"")</f>
        <v/>
      </c>
      <c r="T1083" s="3">
        <f>IF(N1083&lt;&gt;"",N1083,IF(O1083&lt;&gt;"",O1083,IF(L1083&lt;&gt;"",L1083/1.56,IF(M1083&lt;&gt;"",M1083/1.56,""))))</f>
        <v/>
      </c>
      <c r="U1083" s="3" t="n">
        <v>139</v>
      </c>
      <c r="V1083" s="3" t="n"/>
      <c r="W1083" s="3" t="n"/>
      <c r="X1083" s="4" t="n"/>
      <c r="Y1083" s="5" t="n">
        <v>0.832</v>
      </c>
      <c r="Z1083" s="4">
        <f>IF(L1083&lt;&gt;"",SQRT(3)*G1083*L1083/1000,"")</f>
        <v/>
      </c>
      <c r="AA1083" t="inlineStr">
        <is>
          <t>Source=Copeland 2D/3D/4D/4R/6D/8D/9R compressors (pdf) p48</t>
        </is>
      </c>
      <c r="AB1083" t="inlineStr">
        <is>
          <t>Copeland_RLA_230_460_3ph_60Hz.xlsx</t>
        </is>
      </c>
      <c r="AC1083" t="inlineStr">
        <is>
          <t>Recip_2D-9R</t>
        </is>
      </c>
    </row>
    <row r="1084">
      <c r="A1084" t="inlineStr">
        <is>
          <t>COPELAND</t>
        </is>
      </c>
      <c r="B1084" t="inlineStr">
        <is>
          <t>4RL2-1500-TSK</t>
        </is>
      </c>
      <c r="D1084" t="inlineStr">
        <is>
          <t>Reciprocating Semi-hermetic</t>
        </is>
      </c>
      <c r="E1084" s="2" t="n">
        <v>3</v>
      </c>
      <c r="F1084" s="2" t="n">
        <v>60</v>
      </c>
      <c r="G1084" s="2" t="n">
        <v>230</v>
      </c>
      <c r="H1084" t="inlineStr">
        <is>
          <t>208/230</t>
        </is>
      </c>
      <c r="I1084" s="2" t="n">
        <v>208</v>
      </c>
      <c r="J1084" s="2" t="n">
        <v>230</v>
      </c>
      <c r="L1084" s="3" t="n"/>
      <c r="M1084" s="3" t="n"/>
      <c r="N1084" s="3" t="n">
        <v>62.6</v>
      </c>
      <c r="O1084" s="3" t="n"/>
      <c r="P1084" s="3">
        <f>IF(L1084&lt;&gt;"",L1084/1.4,"")</f>
        <v/>
      </c>
      <c r="Q1084" s="3">
        <f>IF(L1084&lt;&gt;"",L1084/1.56,"")</f>
        <v/>
      </c>
      <c r="R1084" s="3">
        <f>IF(M1084&lt;&gt;"",M1084/1.4,"")</f>
        <v/>
      </c>
      <c r="S1084" s="3">
        <f>IF(M1084&lt;&gt;"",M1084/1.56,"")</f>
        <v/>
      </c>
      <c r="T1084" s="3">
        <f>IF(N1084&lt;&gt;"",N1084,IF(O1084&lt;&gt;"",O1084,IF(L1084&lt;&gt;"",L1084/1.56,IF(M1084&lt;&gt;"",M1084/1.56,""))))</f>
        <v/>
      </c>
      <c r="U1084" s="3" t="n">
        <v>278</v>
      </c>
      <c r="V1084" s="3" t="n">
        <v>170</v>
      </c>
      <c r="W1084" s="3" t="n"/>
      <c r="X1084" s="4" t="n"/>
      <c r="Y1084" s="5" t="n">
        <v>0.208</v>
      </c>
      <c r="Z1084" s="4">
        <f>IF(L1084&lt;&gt;"",SQRT(3)*G1084*L1084/1000,"")</f>
        <v/>
      </c>
      <c r="AA1084" t="inlineStr">
        <is>
          <t>Source=Copeland 2D/3D/4D/4R/6D/8D/9R compressors (pdf) p49; PWS_RLA=31.3</t>
        </is>
      </c>
      <c r="AB1084" t="inlineStr">
        <is>
          <t>Copeland_RLA_230_460_3ph_60Hz.xlsx</t>
        </is>
      </c>
      <c r="AC1084" t="inlineStr">
        <is>
          <t>Recip_2D-9R</t>
        </is>
      </c>
    </row>
    <row r="1085">
      <c r="A1085" t="inlineStr">
        <is>
          <t>COPELAND</t>
        </is>
      </c>
      <c r="B1085" t="inlineStr">
        <is>
          <t>4RL2-1500-TSK</t>
        </is>
      </c>
      <c r="D1085" t="inlineStr">
        <is>
          <t>Reciprocating Semi-hermetic</t>
        </is>
      </c>
      <c r="E1085" s="2" t="n">
        <v>3</v>
      </c>
      <c r="F1085" s="2" t="n">
        <v>60</v>
      </c>
      <c r="G1085" s="2" t="n">
        <v>460</v>
      </c>
      <c r="H1085" t="inlineStr">
        <is>
          <t>460</t>
        </is>
      </c>
      <c r="I1085" s="2" t="n">
        <v>460</v>
      </c>
      <c r="J1085" s="2" t="n">
        <v>460</v>
      </c>
      <c r="L1085" s="3" t="n"/>
      <c r="M1085" s="3" t="n"/>
      <c r="N1085" s="3" t="n">
        <v>31.4</v>
      </c>
      <c r="O1085" s="3" t="n"/>
      <c r="P1085" s="3">
        <f>IF(L1085&lt;&gt;"",L1085/1.4,"")</f>
        <v/>
      </c>
      <c r="Q1085" s="3">
        <f>IF(L1085&lt;&gt;"",L1085/1.56,"")</f>
        <v/>
      </c>
      <c r="R1085" s="3">
        <f>IF(M1085&lt;&gt;"",M1085/1.4,"")</f>
        <v/>
      </c>
      <c r="S1085" s="3">
        <f>IF(M1085&lt;&gt;"",M1085/1.56,"")</f>
        <v/>
      </c>
      <c r="T1085" s="3">
        <f>IF(N1085&lt;&gt;"",N1085,IF(O1085&lt;&gt;"",O1085,IF(L1085&lt;&gt;"",L1085/1.56,IF(M1085&lt;&gt;"",M1085/1.56,""))))</f>
        <v/>
      </c>
      <c r="U1085" s="3" t="n">
        <v>139</v>
      </c>
      <c r="V1085" s="3" t="n"/>
      <c r="W1085" s="3" t="n"/>
      <c r="X1085" s="4" t="n"/>
      <c r="Y1085" s="5" t="n">
        <v>0.832</v>
      </c>
      <c r="Z1085" s="4">
        <f>IF(L1085&lt;&gt;"",SQRT(3)*G1085*L1085/1000,"")</f>
        <v/>
      </c>
      <c r="AA1085" t="inlineStr">
        <is>
          <t>Source=Copeland 2D/3D/4D/4R/6D/8D/9R compressors (pdf) p49</t>
        </is>
      </c>
      <c r="AB1085" t="inlineStr">
        <is>
          <t>Copeland_RLA_230_460_3ph_60Hz.xlsx</t>
        </is>
      </c>
      <c r="AC1085" t="inlineStr">
        <is>
          <t>Recip_2D-9R</t>
        </is>
      </c>
    </row>
    <row r="1086">
      <c r="A1086" t="inlineStr">
        <is>
          <t>COPELAND</t>
        </is>
      </c>
      <c r="B1086" t="inlineStr">
        <is>
          <t>4RL2-150A-TSK</t>
        </is>
      </c>
      <c r="D1086" t="inlineStr">
        <is>
          <t>Reciprocating Semi-hermetic</t>
        </is>
      </c>
      <c r="E1086" s="2" t="n">
        <v>3</v>
      </c>
      <c r="F1086" s="2" t="n">
        <v>60</v>
      </c>
      <c r="G1086" s="2" t="n">
        <v>230</v>
      </c>
      <c r="H1086" t="inlineStr">
        <is>
          <t>208/230</t>
        </is>
      </c>
      <c r="I1086" s="2" t="n">
        <v>208</v>
      </c>
      <c r="J1086" s="2" t="n">
        <v>230</v>
      </c>
      <c r="L1086" s="3" t="n"/>
      <c r="M1086" s="3" t="n"/>
      <c r="N1086" s="3" t="n">
        <v>62.6</v>
      </c>
      <c r="O1086" s="3" t="n"/>
      <c r="P1086" s="3">
        <f>IF(L1086&lt;&gt;"",L1086/1.4,"")</f>
        <v/>
      </c>
      <c r="Q1086" s="3">
        <f>IF(L1086&lt;&gt;"",L1086/1.56,"")</f>
        <v/>
      </c>
      <c r="R1086" s="3">
        <f>IF(M1086&lt;&gt;"",M1086/1.4,"")</f>
        <v/>
      </c>
      <c r="S1086" s="3">
        <f>IF(M1086&lt;&gt;"",M1086/1.56,"")</f>
        <v/>
      </c>
      <c r="T1086" s="3">
        <f>IF(N1086&lt;&gt;"",N1086,IF(O1086&lt;&gt;"",O1086,IF(L1086&lt;&gt;"",L1086/1.56,IF(M1086&lt;&gt;"",M1086/1.56,""))))</f>
        <v/>
      </c>
      <c r="U1086" s="3" t="n">
        <v>278</v>
      </c>
      <c r="V1086" s="3" t="n">
        <v>170</v>
      </c>
      <c r="W1086" s="3" t="n"/>
      <c r="X1086" s="4" t="n"/>
      <c r="Y1086" s="5" t="n">
        <v>0.208</v>
      </c>
      <c r="Z1086" s="4">
        <f>IF(L1086&lt;&gt;"",SQRT(3)*G1086*L1086/1000,"")</f>
        <v/>
      </c>
      <c r="AA1086" t="inlineStr">
        <is>
          <t>Source=Copeland 2D/3D/4D/4R/6D/8D/9R compressors (pdf) p49; PWS_RLA=31.3</t>
        </is>
      </c>
      <c r="AB1086" t="inlineStr">
        <is>
          <t>Copeland_RLA_230_460_3ph_60Hz.xlsx</t>
        </is>
      </c>
      <c r="AC1086" t="inlineStr">
        <is>
          <t>Recip_2D-9R</t>
        </is>
      </c>
    </row>
    <row r="1087">
      <c r="A1087" t="inlineStr">
        <is>
          <t>COPELAND</t>
        </is>
      </c>
      <c r="B1087" t="inlineStr">
        <is>
          <t>4RL2-150A-TSK</t>
        </is>
      </c>
      <c r="D1087" t="inlineStr">
        <is>
          <t>Reciprocating Semi-hermetic</t>
        </is>
      </c>
      <c r="E1087" s="2" t="n">
        <v>3</v>
      </c>
      <c r="F1087" s="2" t="n">
        <v>60</v>
      </c>
      <c r="G1087" s="2" t="n">
        <v>460</v>
      </c>
      <c r="H1087" t="inlineStr">
        <is>
          <t>460</t>
        </is>
      </c>
      <c r="I1087" s="2" t="n">
        <v>460</v>
      </c>
      <c r="J1087" s="2" t="n">
        <v>460</v>
      </c>
      <c r="L1087" s="3" t="n"/>
      <c r="M1087" s="3" t="n"/>
      <c r="N1087" s="3" t="n">
        <v>31.4</v>
      </c>
      <c r="O1087" s="3" t="n"/>
      <c r="P1087" s="3">
        <f>IF(L1087&lt;&gt;"",L1087/1.4,"")</f>
        <v/>
      </c>
      <c r="Q1087" s="3">
        <f>IF(L1087&lt;&gt;"",L1087/1.56,"")</f>
        <v/>
      </c>
      <c r="R1087" s="3">
        <f>IF(M1087&lt;&gt;"",M1087/1.4,"")</f>
        <v/>
      </c>
      <c r="S1087" s="3">
        <f>IF(M1087&lt;&gt;"",M1087/1.56,"")</f>
        <v/>
      </c>
      <c r="T1087" s="3">
        <f>IF(N1087&lt;&gt;"",N1087,IF(O1087&lt;&gt;"",O1087,IF(L1087&lt;&gt;"",L1087/1.56,IF(M1087&lt;&gt;"",M1087/1.56,""))))</f>
        <v/>
      </c>
      <c r="U1087" s="3" t="n">
        <v>139</v>
      </c>
      <c r="V1087" s="3" t="n"/>
      <c r="W1087" s="3" t="n"/>
      <c r="X1087" s="4" t="n"/>
      <c r="Y1087" s="5" t="n">
        <v>0.832</v>
      </c>
      <c r="Z1087" s="4">
        <f>IF(L1087&lt;&gt;"",SQRT(3)*G1087*L1087/1000,"")</f>
        <v/>
      </c>
      <c r="AA1087" t="inlineStr">
        <is>
          <t>Source=Copeland 2D/3D/4D/4R/6D/8D/9R compressors (pdf) p49</t>
        </is>
      </c>
      <c r="AB1087" t="inlineStr">
        <is>
          <t>Copeland_RLA_230_460_3ph_60Hz.xlsx</t>
        </is>
      </c>
      <c r="AC1087" t="inlineStr">
        <is>
          <t>Recip_2D-9R</t>
        </is>
      </c>
    </row>
    <row r="1088">
      <c r="A1088" t="inlineStr">
        <is>
          <t>COPELAND</t>
        </is>
      </c>
      <c r="B1088" t="inlineStr">
        <is>
          <t>4RR1-3000-FSD</t>
        </is>
      </c>
      <c r="D1088" t="inlineStr">
        <is>
          <t>Reciprocating Semi-hermetic</t>
        </is>
      </c>
      <c r="E1088" s="2" t="n">
        <v>3</v>
      </c>
      <c r="F1088" s="2" t="n">
        <v>60</v>
      </c>
      <c r="G1088" s="2" t="n">
        <v>460</v>
      </c>
      <c r="H1088" t="inlineStr">
        <is>
          <t>460</t>
        </is>
      </c>
      <c r="I1088" s="2" t="n">
        <v>460</v>
      </c>
      <c r="J1088" s="2" t="n">
        <v>460</v>
      </c>
      <c r="L1088" s="3" t="n"/>
      <c r="M1088" s="3" t="n"/>
      <c r="N1088" s="3" t="n">
        <v>59</v>
      </c>
      <c r="O1088" s="3" t="n"/>
      <c r="P1088" s="3">
        <f>IF(L1088&lt;&gt;"",L1088/1.4,"")</f>
        <v/>
      </c>
      <c r="Q1088" s="3">
        <f>IF(L1088&lt;&gt;"",L1088/1.56,"")</f>
        <v/>
      </c>
      <c r="R1088" s="3">
        <f>IF(M1088&lt;&gt;"",M1088/1.4,"")</f>
        <v/>
      </c>
      <c r="S1088" s="3">
        <f>IF(M1088&lt;&gt;"",M1088/1.56,"")</f>
        <v/>
      </c>
      <c r="T1088" s="3">
        <f>IF(N1088&lt;&gt;"",N1088,IF(O1088&lt;&gt;"",O1088,IF(L1088&lt;&gt;"",L1088/1.56,IF(M1088&lt;&gt;"",M1088/1.56,""))))</f>
        <v/>
      </c>
      <c r="U1088" s="3" t="n">
        <v>200</v>
      </c>
      <c r="V1088" s="3" t="n">
        <v>121</v>
      </c>
      <c r="W1088" s="3" t="n"/>
      <c r="X1088" s="4" t="n"/>
      <c r="Y1088" s="5" t="n">
        <v>0.475</v>
      </c>
      <c r="Z1088" s="4">
        <f>IF(L1088&lt;&gt;"",SQRT(3)*G1088*L1088/1000,"")</f>
        <v/>
      </c>
      <c r="AA1088" t="inlineStr">
        <is>
          <t>Source=Copeland 2D/3D/4D/4R/6D/8D/9R compressors (pdf) p49; PWS_RLA=29.5</t>
        </is>
      </c>
      <c r="AB1088" t="inlineStr">
        <is>
          <t>Copeland_RLA_230_460_3ph_60Hz.xlsx</t>
        </is>
      </c>
      <c r="AC1088" t="inlineStr">
        <is>
          <t>Recip_2D-9R</t>
        </is>
      </c>
    </row>
    <row r="1089">
      <c r="A1089" t="inlineStr">
        <is>
          <t>COPELAND</t>
        </is>
      </c>
      <c r="B1089" t="inlineStr">
        <is>
          <t>4RR1-3000-TSK</t>
        </is>
      </c>
      <c r="D1089" t="inlineStr">
        <is>
          <t>Reciprocating Semi-hermetic</t>
        </is>
      </c>
      <c r="E1089" s="2" t="n">
        <v>3</v>
      </c>
      <c r="F1089" s="2" t="n">
        <v>60</v>
      </c>
      <c r="G1089" s="2" t="n">
        <v>230</v>
      </c>
      <c r="H1089" t="inlineStr">
        <is>
          <t>208/230</t>
        </is>
      </c>
      <c r="I1089" s="2" t="n">
        <v>208</v>
      </c>
      <c r="J1089" s="2" t="n">
        <v>230</v>
      </c>
      <c r="L1089" s="3" t="n"/>
      <c r="M1089" s="3" t="n"/>
      <c r="N1089" s="3" t="n">
        <v>101.4</v>
      </c>
      <c r="O1089" s="3" t="n"/>
      <c r="P1089" s="3">
        <f>IF(L1089&lt;&gt;"",L1089/1.4,"")</f>
        <v/>
      </c>
      <c r="Q1089" s="3">
        <f>IF(L1089&lt;&gt;"",L1089/1.56,"")</f>
        <v/>
      </c>
      <c r="R1089" s="3">
        <f>IF(M1089&lt;&gt;"",M1089/1.4,"")</f>
        <v/>
      </c>
      <c r="S1089" s="3">
        <f>IF(M1089&lt;&gt;"",M1089/1.56,"")</f>
        <v/>
      </c>
      <c r="T1089" s="3">
        <f>IF(N1089&lt;&gt;"",N1089,IF(O1089&lt;&gt;"",O1089,IF(L1089&lt;&gt;"",L1089/1.56,IF(M1089&lt;&gt;"",M1089/1.56,""))))</f>
        <v/>
      </c>
      <c r="U1089" s="3" t="n">
        <v>470</v>
      </c>
      <c r="V1089" s="3" t="n">
        <v>292</v>
      </c>
      <c r="W1089" s="3" t="n"/>
      <c r="X1089" s="4" t="n"/>
      <c r="Y1089" s="5" t="n">
        <v>0.108</v>
      </c>
      <c r="Z1089" s="4">
        <f>IF(L1089&lt;&gt;"",SQRT(3)*G1089*L1089/1000,"")</f>
        <v/>
      </c>
      <c r="AA1089" t="inlineStr">
        <is>
          <t>Source=Copeland 2D/3D/4D/4R/6D/8D/9R compressors (pdf) p49; PWS_RLA=51.0</t>
        </is>
      </c>
      <c r="AB1089" t="inlineStr">
        <is>
          <t>Copeland_RLA_230_460_3ph_60Hz.xlsx</t>
        </is>
      </c>
      <c r="AC1089" t="inlineStr">
        <is>
          <t>Recip_2D-9R</t>
        </is>
      </c>
    </row>
    <row r="1090">
      <c r="A1090" t="inlineStr">
        <is>
          <t>COPELAND</t>
        </is>
      </c>
      <c r="B1090" t="inlineStr">
        <is>
          <t>4RR1-3000-TSK</t>
        </is>
      </c>
      <c r="D1090" t="inlineStr">
        <is>
          <t>Reciprocating Semi-hermetic</t>
        </is>
      </c>
      <c r="E1090" s="2" t="n">
        <v>3</v>
      </c>
      <c r="F1090" s="2" t="n">
        <v>60</v>
      </c>
      <c r="G1090" s="2" t="n">
        <v>460</v>
      </c>
      <c r="H1090" t="inlineStr">
        <is>
          <t>460</t>
        </is>
      </c>
      <c r="I1090" s="2" t="n">
        <v>460</v>
      </c>
      <c r="J1090" s="2" t="n">
        <v>460</v>
      </c>
      <c r="L1090" s="3" t="n"/>
      <c r="M1090" s="3" t="n"/>
      <c r="N1090" s="3" t="n">
        <v>50.7</v>
      </c>
      <c r="O1090" s="3" t="n"/>
      <c r="P1090" s="3">
        <f>IF(L1090&lt;&gt;"",L1090/1.4,"")</f>
        <v/>
      </c>
      <c r="Q1090" s="3">
        <f>IF(L1090&lt;&gt;"",L1090/1.56,"")</f>
        <v/>
      </c>
      <c r="R1090" s="3">
        <f>IF(M1090&lt;&gt;"",M1090/1.4,"")</f>
        <v/>
      </c>
      <c r="S1090" s="3">
        <f>IF(M1090&lt;&gt;"",M1090/1.56,"")</f>
        <v/>
      </c>
      <c r="T1090" s="3">
        <f>IF(N1090&lt;&gt;"",N1090,IF(O1090&lt;&gt;"",O1090,IF(L1090&lt;&gt;"",L1090/1.56,IF(M1090&lt;&gt;"",M1090/1.56,""))))</f>
        <v/>
      </c>
      <c r="U1090" s="3" t="n">
        <v>235</v>
      </c>
      <c r="V1090" s="3" t="n"/>
      <c r="W1090" s="3" t="n"/>
      <c r="X1090" s="4" t="n"/>
      <c r="Y1090" s="5" t="n">
        <v>0.43</v>
      </c>
      <c r="Z1090" s="4">
        <f>IF(L1090&lt;&gt;"",SQRT(3)*G1090*L1090/1000,"")</f>
        <v/>
      </c>
      <c r="AA1090" t="inlineStr">
        <is>
          <t>Source=Copeland 2D/3D/4D/4R/6D/8D/9R compressors (pdf) p49</t>
        </is>
      </c>
      <c r="AB1090" t="inlineStr">
        <is>
          <t>Copeland_RLA_230_460_3ph_60Hz.xlsx</t>
        </is>
      </c>
      <c r="AC1090" t="inlineStr">
        <is>
          <t>Recip_2D-9R</t>
        </is>
      </c>
    </row>
    <row r="1091">
      <c r="A1091" t="inlineStr">
        <is>
          <t>COPELAND</t>
        </is>
      </c>
      <c r="B1091" t="inlineStr">
        <is>
          <t>4RR1-300A-FSD</t>
        </is>
      </c>
      <c r="D1091" t="inlineStr">
        <is>
          <t>Reciprocating Semi-hermetic</t>
        </is>
      </c>
      <c r="E1091" s="2" t="n">
        <v>3</v>
      </c>
      <c r="F1091" s="2" t="n">
        <v>60</v>
      </c>
      <c r="G1091" s="2" t="n">
        <v>460</v>
      </c>
      <c r="H1091" t="inlineStr">
        <is>
          <t>460</t>
        </is>
      </c>
      <c r="I1091" s="2" t="n">
        <v>460</v>
      </c>
      <c r="J1091" s="2" t="n">
        <v>460</v>
      </c>
      <c r="L1091" s="3" t="n"/>
      <c r="M1091" s="3" t="n"/>
      <c r="N1091" s="3" t="n">
        <v>59</v>
      </c>
      <c r="O1091" s="3" t="n"/>
      <c r="P1091" s="3">
        <f>IF(L1091&lt;&gt;"",L1091/1.4,"")</f>
        <v/>
      </c>
      <c r="Q1091" s="3">
        <f>IF(L1091&lt;&gt;"",L1091/1.56,"")</f>
        <v/>
      </c>
      <c r="R1091" s="3">
        <f>IF(M1091&lt;&gt;"",M1091/1.4,"")</f>
        <v/>
      </c>
      <c r="S1091" s="3">
        <f>IF(M1091&lt;&gt;"",M1091/1.56,"")</f>
        <v/>
      </c>
      <c r="T1091" s="3">
        <f>IF(N1091&lt;&gt;"",N1091,IF(O1091&lt;&gt;"",O1091,IF(L1091&lt;&gt;"",L1091/1.56,IF(M1091&lt;&gt;"",M1091/1.56,""))))</f>
        <v/>
      </c>
      <c r="U1091" s="3" t="n">
        <v>200</v>
      </c>
      <c r="V1091" s="3" t="n">
        <v>121</v>
      </c>
      <c r="W1091" s="3" t="n"/>
      <c r="X1091" s="4" t="n"/>
      <c r="Y1091" s="5" t="n">
        <v>0.475</v>
      </c>
      <c r="Z1091" s="4">
        <f>IF(L1091&lt;&gt;"",SQRT(3)*G1091*L1091/1000,"")</f>
        <v/>
      </c>
      <c r="AA1091" t="inlineStr">
        <is>
          <t>Source=Copeland 2D/3D/4D/4R/6D/8D/9R compressors (pdf) p49; PWS_RLA=29.5</t>
        </is>
      </c>
      <c r="AB1091" t="inlineStr">
        <is>
          <t>Copeland_RLA_230_460_3ph_60Hz.xlsx</t>
        </is>
      </c>
      <c r="AC1091" t="inlineStr">
        <is>
          <t>Recip_2D-9R</t>
        </is>
      </c>
    </row>
    <row r="1092">
      <c r="A1092" t="inlineStr">
        <is>
          <t>COPELAND</t>
        </is>
      </c>
      <c r="B1092" t="inlineStr">
        <is>
          <t>4RR1-300A-TSK</t>
        </is>
      </c>
      <c r="D1092" t="inlineStr">
        <is>
          <t>Reciprocating Semi-hermetic</t>
        </is>
      </c>
      <c r="E1092" s="2" t="n">
        <v>3</v>
      </c>
      <c r="F1092" s="2" t="n">
        <v>60</v>
      </c>
      <c r="G1092" s="2" t="n">
        <v>230</v>
      </c>
      <c r="H1092" t="inlineStr">
        <is>
          <t>208/230</t>
        </is>
      </c>
      <c r="I1092" s="2" t="n">
        <v>208</v>
      </c>
      <c r="J1092" s="2" t="n">
        <v>230</v>
      </c>
      <c r="L1092" s="3" t="n"/>
      <c r="M1092" s="3" t="n"/>
      <c r="N1092" s="3" t="n">
        <v>101.4</v>
      </c>
      <c r="O1092" s="3" t="n"/>
      <c r="P1092" s="3">
        <f>IF(L1092&lt;&gt;"",L1092/1.4,"")</f>
        <v/>
      </c>
      <c r="Q1092" s="3">
        <f>IF(L1092&lt;&gt;"",L1092/1.56,"")</f>
        <v/>
      </c>
      <c r="R1092" s="3">
        <f>IF(M1092&lt;&gt;"",M1092/1.4,"")</f>
        <v/>
      </c>
      <c r="S1092" s="3">
        <f>IF(M1092&lt;&gt;"",M1092/1.56,"")</f>
        <v/>
      </c>
      <c r="T1092" s="3">
        <f>IF(N1092&lt;&gt;"",N1092,IF(O1092&lt;&gt;"",O1092,IF(L1092&lt;&gt;"",L1092/1.56,IF(M1092&lt;&gt;"",M1092/1.56,""))))</f>
        <v/>
      </c>
      <c r="U1092" s="3" t="n">
        <v>470</v>
      </c>
      <c r="V1092" s="3" t="n">
        <v>292</v>
      </c>
      <c r="W1092" s="3" t="n"/>
      <c r="X1092" s="4" t="n"/>
      <c r="Y1092" s="5" t="n">
        <v>0.108</v>
      </c>
      <c r="Z1092" s="4">
        <f>IF(L1092&lt;&gt;"",SQRT(3)*G1092*L1092/1000,"")</f>
        <v/>
      </c>
      <c r="AA1092" t="inlineStr">
        <is>
          <t>Source=Copeland 2D/3D/4D/4R/6D/8D/9R compressors (pdf) p49; PWS_RLA=51.0</t>
        </is>
      </c>
      <c r="AB1092" t="inlineStr">
        <is>
          <t>Copeland_RLA_230_460_3ph_60Hz.xlsx</t>
        </is>
      </c>
      <c r="AC1092" t="inlineStr">
        <is>
          <t>Recip_2D-9R</t>
        </is>
      </c>
    </row>
    <row r="1093">
      <c r="A1093" t="inlineStr">
        <is>
          <t>COPELAND</t>
        </is>
      </c>
      <c r="B1093" t="inlineStr">
        <is>
          <t>4RR1-300A-TSK</t>
        </is>
      </c>
      <c r="D1093" t="inlineStr">
        <is>
          <t>Reciprocating Semi-hermetic</t>
        </is>
      </c>
      <c r="E1093" s="2" t="n">
        <v>3</v>
      </c>
      <c r="F1093" s="2" t="n">
        <v>60</v>
      </c>
      <c r="G1093" s="2" t="n">
        <v>460</v>
      </c>
      <c r="H1093" t="inlineStr">
        <is>
          <t>460</t>
        </is>
      </c>
      <c r="I1093" s="2" t="n">
        <v>460</v>
      </c>
      <c r="J1093" s="2" t="n">
        <v>460</v>
      </c>
      <c r="L1093" s="3" t="n"/>
      <c r="M1093" s="3" t="n"/>
      <c r="N1093" s="3" t="n">
        <v>50.7</v>
      </c>
      <c r="O1093" s="3" t="n"/>
      <c r="P1093" s="3">
        <f>IF(L1093&lt;&gt;"",L1093/1.4,"")</f>
        <v/>
      </c>
      <c r="Q1093" s="3">
        <f>IF(L1093&lt;&gt;"",L1093/1.56,"")</f>
        <v/>
      </c>
      <c r="R1093" s="3">
        <f>IF(M1093&lt;&gt;"",M1093/1.4,"")</f>
        <v/>
      </c>
      <c r="S1093" s="3">
        <f>IF(M1093&lt;&gt;"",M1093/1.56,"")</f>
        <v/>
      </c>
      <c r="T1093" s="3">
        <f>IF(N1093&lt;&gt;"",N1093,IF(O1093&lt;&gt;"",O1093,IF(L1093&lt;&gt;"",L1093/1.56,IF(M1093&lt;&gt;"",M1093/1.56,""))))</f>
        <v/>
      </c>
      <c r="U1093" s="3" t="n">
        <v>235</v>
      </c>
      <c r="V1093" s="3" t="n"/>
      <c r="W1093" s="3" t="n"/>
      <c r="X1093" s="4" t="n"/>
      <c r="Y1093" s="5" t="n">
        <v>0.43</v>
      </c>
      <c r="Z1093" s="4">
        <f>IF(L1093&lt;&gt;"",SQRT(3)*G1093*L1093/1000,"")</f>
        <v/>
      </c>
      <c r="AA1093" t="inlineStr">
        <is>
          <t>Source=Copeland 2D/3D/4D/4R/6D/8D/9R compressors (pdf) p49</t>
        </is>
      </c>
      <c r="AB1093" t="inlineStr">
        <is>
          <t>Copeland_RLA_230_460_3ph_60Hz.xlsx</t>
        </is>
      </c>
      <c r="AC1093" t="inlineStr">
        <is>
          <t>Recip_2D-9R</t>
        </is>
      </c>
    </row>
    <row r="1094">
      <c r="A1094" t="inlineStr">
        <is>
          <t>COPELAND</t>
        </is>
      </c>
      <c r="B1094" t="inlineStr">
        <is>
          <t>4RR2-3000-FSD</t>
        </is>
      </c>
      <c r="D1094" t="inlineStr">
        <is>
          <t>Reciprocating Semi-hermetic</t>
        </is>
      </c>
      <c r="E1094" s="2" t="n">
        <v>3</v>
      </c>
      <c r="F1094" s="2" t="n">
        <v>60</v>
      </c>
      <c r="G1094" s="2" t="n">
        <v>460</v>
      </c>
      <c r="H1094" t="inlineStr">
        <is>
          <t>460</t>
        </is>
      </c>
      <c r="I1094" s="2" t="n">
        <v>460</v>
      </c>
      <c r="J1094" s="2" t="n">
        <v>460</v>
      </c>
      <c r="L1094" s="3" t="n"/>
      <c r="M1094" s="3" t="n"/>
      <c r="N1094" s="3" t="n">
        <v>59</v>
      </c>
      <c r="O1094" s="3" t="n"/>
      <c r="P1094" s="3">
        <f>IF(L1094&lt;&gt;"",L1094/1.4,"")</f>
        <v/>
      </c>
      <c r="Q1094" s="3">
        <f>IF(L1094&lt;&gt;"",L1094/1.56,"")</f>
        <v/>
      </c>
      <c r="R1094" s="3">
        <f>IF(M1094&lt;&gt;"",M1094/1.4,"")</f>
        <v/>
      </c>
      <c r="S1094" s="3">
        <f>IF(M1094&lt;&gt;"",M1094/1.56,"")</f>
        <v/>
      </c>
      <c r="T1094" s="3">
        <f>IF(N1094&lt;&gt;"",N1094,IF(O1094&lt;&gt;"",O1094,IF(L1094&lt;&gt;"",L1094/1.56,IF(M1094&lt;&gt;"",M1094/1.56,""))))</f>
        <v/>
      </c>
      <c r="U1094" s="3" t="n">
        <v>200</v>
      </c>
      <c r="V1094" s="3" t="n">
        <v>121</v>
      </c>
      <c r="W1094" s="3" t="n"/>
      <c r="X1094" s="4" t="n"/>
      <c r="Y1094" s="5" t="n">
        <v>0.475</v>
      </c>
      <c r="Z1094" s="4">
        <f>IF(L1094&lt;&gt;"",SQRT(3)*G1094*L1094/1000,"")</f>
        <v/>
      </c>
      <c r="AA1094" t="inlineStr">
        <is>
          <t>Source=Copeland 2D/3D/4D/4R/6D/8D/9R compressors (pdf) p49; PWS_RLA=29.5</t>
        </is>
      </c>
      <c r="AB1094" t="inlineStr">
        <is>
          <t>Copeland_RLA_230_460_3ph_60Hz.xlsx</t>
        </is>
      </c>
      <c r="AC1094" t="inlineStr">
        <is>
          <t>Recip_2D-9R</t>
        </is>
      </c>
    </row>
    <row r="1095">
      <c r="A1095" t="inlineStr">
        <is>
          <t>COPELAND</t>
        </is>
      </c>
      <c r="B1095" t="inlineStr">
        <is>
          <t>4RR2-3000-TSK</t>
        </is>
      </c>
      <c r="D1095" t="inlineStr">
        <is>
          <t>Reciprocating Semi-hermetic</t>
        </is>
      </c>
      <c r="E1095" s="2" t="n">
        <v>3</v>
      </c>
      <c r="F1095" s="2" t="n">
        <v>60</v>
      </c>
      <c r="G1095" s="2" t="n">
        <v>230</v>
      </c>
      <c r="H1095" t="inlineStr">
        <is>
          <t>208/230</t>
        </is>
      </c>
      <c r="I1095" s="2" t="n">
        <v>208</v>
      </c>
      <c r="J1095" s="2" t="n">
        <v>230</v>
      </c>
      <c r="L1095" s="3" t="n"/>
      <c r="M1095" s="3" t="n"/>
      <c r="N1095" s="3" t="n">
        <v>101.4</v>
      </c>
      <c r="O1095" s="3" t="n"/>
      <c r="P1095" s="3">
        <f>IF(L1095&lt;&gt;"",L1095/1.4,"")</f>
        <v/>
      </c>
      <c r="Q1095" s="3">
        <f>IF(L1095&lt;&gt;"",L1095/1.56,"")</f>
        <v/>
      </c>
      <c r="R1095" s="3">
        <f>IF(M1095&lt;&gt;"",M1095/1.4,"")</f>
        <v/>
      </c>
      <c r="S1095" s="3">
        <f>IF(M1095&lt;&gt;"",M1095/1.56,"")</f>
        <v/>
      </c>
      <c r="T1095" s="3">
        <f>IF(N1095&lt;&gt;"",N1095,IF(O1095&lt;&gt;"",O1095,IF(L1095&lt;&gt;"",L1095/1.56,IF(M1095&lt;&gt;"",M1095/1.56,""))))</f>
        <v/>
      </c>
      <c r="U1095" s="3" t="n">
        <v>470</v>
      </c>
      <c r="V1095" s="3" t="n">
        <v>292</v>
      </c>
      <c r="W1095" s="3" t="n"/>
      <c r="X1095" s="4" t="n"/>
      <c r="Y1095" s="5" t="n">
        <v>0.108</v>
      </c>
      <c r="Z1095" s="4">
        <f>IF(L1095&lt;&gt;"",SQRT(3)*G1095*L1095/1000,"")</f>
        <v/>
      </c>
      <c r="AA1095" t="inlineStr">
        <is>
          <t>Source=Copeland 2D/3D/4D/4R/6D/8D/9R compressors (pdf) p49; PWS_RLA=51.0</t>
        </is>
      </c>
      <c r="AB1095" t="inlineStr">
        <is>
          <t>Copeland_RLA_230_460_3ph_60Hz.xlsx</t>
        </is>
      </c>
      <c r="AC1095" t="inlineStr">
        <is>
          <t>Recip_2D-9R</t>
        </is>
      </c>
    </row>
    <row r="1096">
      <c r="A1096" t="inlineStr">
        <is>
          <t>COPELAND</t>
        </is>
      </c>
      <c r="B1096" t="inlineStr">
        <is>
          <t>4RR2-3000-TSK</t>
        </is>
      </c>
      <c r="D1096" t="inlineStr">
        <is>
          <t>Reciprocating Semi-hermetic</t>
        </is>
      </c>
      <c r="E1096" s="2" t="n">
        <v>3</v>
      </c>
      <c r="F1096" s="2" t="n">
        <v>60</v>
      </c>
      <c r="G1096" s="2" t="n">
        <v>460</v>
      </c>
      <c r="H1096" t="inlineStr">
        <is>
          <t>460</t>
        </is>
      </c>
      <c r="I1096" s="2" t="n">
        <v>460</v>
      </c>
      <c r="J1096" s="2" t="n">
        <v>460</v>
      </c>
      <c r="L1096" s="3" t="n"/>
      <c r="M1096" s="3" t="n"/>
      <c r="N1096" s="3" t="n">
        <v>50.7</v>
      </c>
      <c r="O1096" s="3" t="n"/>
      <c r="P1096" s="3">
        <f>IF(L1096&lt;&gt;"",L1096/1.4,"")</f>
        <v/>
      </c>
      <c r="Q1096" s="3">
        <f>IF(L1096&lt;&gt;"",L1096/1.56,"")</f>
        <v/>
      </c>
      <c r="R1096" s="3">
        <f>IF(M1096&lt;&gt;"",M1096/1.4,"")</f>
        <v/>
      </c>
      <c r="S1096" s="3">
        <f>IF(M1096&lt;&gt;"",M1096/1.56,"")</f>
        <v/>
      </c>
      <c r="T1096" s="3">
        <f>IF(N1096&lt;&gt;"",N1096,IF(O1096&lt;&gt;"",O1096,IF(L1096&lt;&gt;"",L1096/1.56,IF(M1096&lt;&gt;"",M1096/1.56,""))))</f>
        <v/>
      </c>
      <c r="U1096" s="3" t="n">
        <v>235</v>
      </c>
      <c r="V1096" s="3" t="n"/>
      <c r="W1096" s="3" t="n"/>
      <c r="X1096" s="4" t="n"/>
      <c r="Y1096" s="5" t="n">
        <v>0.43</v>
      </c>
      <c r="Z1096" s="4">
        <f>IF(L1096&lt;&gt;"",SQRT(3)*G1096*L1096/1000,"")</f>
        <v/>
      </c>
      <c r="AA1096" t="inlineStr">
        <is>
          <t>Source=Copeland 2D/3D/4D/4R/6D/8D/9R compressors (pdf) p49</t>
        </is>
      </c>
      <c r="AB1096" t="inlineStr">
        <is>
          <t>Copeland_RLA_230_460_3ph_60Hz.xlsx</t>
        </is>
      </c>
      <c r="AC1096" t="inlineStr">
        <is>
          <t>Recip_2D-9R</t>
        </is>
      </c>
    </row>
    <row r="1097">
      <c r="A1097" t="inlineStr">
        <is>
          <t>COPELAND</t>
        </is>
      </c>
      <c r="B1097" t="inlineStr">
        <is>
          <t>4RR2-300A-TSK</t>
        </is>
      </c>
      <c r="D1097" t="inlineStr">
        <is>
          <t>Reciprocating Semi-hermetic</t>
        </is>
      </c>
      <c r="E1097" s="2" t="n">
        <v>3</v>
      </c>
      <c r="F1097" s="2" t="n">
        <v>60</v>
      </c>
      <c r="G1097" s="2" t="n">
        <v>230</v>
      </c>
      <c r="H1097" t="inlineStr">
        <is>
          <t>208/230</t>
        </is>
      </c>
      <c r="I1097" s="2" t="n">
        <v>208</v>
      </c>
      <c r="J1097" s="2" t="n">
        <v>230</v>
      </c>
      <c r="L1097" s="3" t="n"/>
      <c r="M1097" s="3" t="n"/>
      <c r="N1097" s="3" t="n">
        <v>101.4</v>
      </c>
      <c r="O1097" s="3" t="n"/>
      <c r="P1097" s="3">
        <f>IF(L1097&lt;&gt;"",L1097/1.4,"")</f>
        <v/>
      </c>
      <c r="Q1097" s="3">
        <f>IF(L1097&lt;&gt;"",L1097/1.56,"")</f>
        <v/>
      </c>
      <c r="R1097" s="3">
        <f>IF(M1097&lt;&gt;"",M1097/1.4,"")</f>
        <v/>
      </c>
      <c r="S1097" s="3">
        <f>IF(M1097&lt;&gt;"",M1097/1.56,"")</f>
        <v/>
      </c>
      <c r="T1097" s="3">
        <f>IF(N1097&lt;&gt;"",N1097,IF(O1097&lt;&gt;"",O1097,IF(L1097&lt;&gt;"",L1097/1.56,IF(M1097&lt;&gt;"",M1097/1.56,""))))</f>
        <v/>
      </c>
      <c r="U1097" s="3" t="n">
        <v>470</v>
      </c>
      <c r="V1097" s="3" t="n">
        <v>292</v>
      </c>
      <c r="W1097" s="3" t="n"/>
      <c r="X1097" s="4" t="n"/>
      <c r="Y1097" s="5" t="n">
        <v>0.108</v>
      </c>
      <c r="Z1097" s="4">
        <f>IF(L1097&lt;&gt;"",SQRT(3)*G1097*L1097/1000,"")</f>
        <v/>
      </c>
      <c r="AA1097" t="inlineStr">
        <is>
          <t>Source=Copeland 2D/3D/4D/4R/6D/8D/9R compressors (pdf) p49; PWS_RLA=51.0</t>
        </is>
      </c>
      <c r="AB1097" t="inlineStr">
        <is>
          <t>Copeland_RLA_230_460_3ph_60Hz.xlsx</t>
        </is>
      </c>
      <c r="AC1097" t="inlineStr">
        <is>
          <t>Recip_2D-9R</t>
        </is>
      </c>
    </row>
    <row r="1098">
      <c r="A1098" t="inlineStr">
        <is>
          <t>COPELAND</t>
        </is>
      </c>
      <c r="B1098" t="inlineStr">
        <is>
          <t>4RR2-300A-TSK</t>
        </is>
      </c>
      <c r="D1098" t="inlineStr">
        <is>
          <t>Reciprocating Semi-hermetic</t>
        </is>
      </c>
      <c r="E1098" s="2" t="n">
        <v>3</v>
      </c>
      <c r="F1098" s="2" t="n">
        <v>60</v>
      </c>
      <c r="G1098" s="2" t="n">
        <v>460</v>
      </c>
      <c r="H1098" t="inlineStr">
        <is>
          <t>460</t>
        </is>
      </c>
      <c r="I1098" s="2" t="n">
        <v>460</v>
      </c>
      <c r="J1098" s="2" t="n">
        <v>460</v>
      </c>
      <c r="L1098" s="3" t="n"/>
      <c r="M1098" s="3" t="n"/>
      <c r="N1098" s="3" t="n">
        <v>50.7</v>
      </c>
      <c r="O1098" s="3" t="n"/>
      <c r="P1098" s="3">
        <f>IF(L1098&lt;&gt;"",L1098/1.4,"")</f>
        <v/>
      </c>
      <c r="Q1098" s="3">
        <f>IF(L1098&lt;&gt;"",L1098/1.56,"")</f>
        <v/>
      </c>
      <c r="R1098" s="3">
        <f>IF(M1098&lt;&gt;"",M1098/1.4,"")</f>
        <v/>
      </c>
      <c r="S1098" s="3">
        <f>IF(M1098&lt;&gt;"",M1098/1.56,"")</f>
        <v/>
      </c>
      <c r="T1098" s="3">
        <f>IF(N1098&lt;&gt;"",N1098,IF(O1098&lt;&gt;"",O1098,IF(L1098&lt;&gt;"",L1098/1.56,IF(M1098&lt;&gt;"",M1098/1.56,""))))</f>
        <v/>
      </c>
      <c r="U1098" s="3" t="n">
        <v>235</v>
      </c>
      <c r="V1098" s="3" t="n"/>
      <c r="W1098" s="3" t="n"/>
      <c r="X1098" s="4" t="n"/>
      <c r="Y1098" s="5" t="n">
        <v>0.43</v>
      </c>
      <c r="Z1098" s="4">
        <f>IF(L1098&lt;&gt;"",SQRT(3)*G1098*L1098/1000,"")</f>
        <v/>
      </c>
      <c r="AA1098" t="inlineStr">
        <is>
          <t>Source=Copeland 2D/3D/4D/4R/6D/8D/9R compressors (pdf) p49</t>
        </is>
      </c>
      <c r="AB1098" t="inlineStr">
        <is>
          <t>Copeland_RLA_230_460_3ph_60Hz.xlsx</t>
        </is>
      </c>
      <c r="AC1098" t="inlineStr">
        <is>
          <t>Recip_2D-9R</t>
        </is>
      </c>
    </row>
    <row r="1099">
      <c r="A1099" t="inlineStr">
        <is>
          <t>COPELAND</t>
        </is>
      </c>
      <c r="B1099" t="inlineStr">
        <is>
          <t>6DB3-3000-FSD</t>
        </is>
      </c>
      <c r="D1099" t="inlineStr">
        <is>
          <t>Reciprocating Semi-hermetic</t>
        </is>
      </c>
      <c r="E1099" s="2" t="n">
        <v>3</v>
      </c>
      <c r="F1099" s="2" t="n">
        <v>60</v>
      </c>
      <c r="G1099" s="2" t="n">
        <v>460</v>
      </c>
      <c r="H1099" t="inlineStr">
        <is>
          <t>460</t>
        </is>
      </c>
      <c r="I1099" s="2" t="n">
        <v>460</v>
      </c>
      <c r="J1099" s="2" t="n">
        <v>460</v>
      </c>
      <c r="L1099" s="3" t="n"/>
      <c r="M1099" s="3" t="n"/>
      <c r="N1099" s="3" t="n">
        <v>50</v>
      </c>
      <c r="O1099" s="3" t="n"/>
      <c r="P1099" s="3">
        <f>IF(L1099&lt;&gt;"",L1099/1.4,"")</f>
        <v/>
      </c>
      <c r="Q1099" s="3">
        <f>IF(L1099&lt;&gt;"",L1099/1.56,"")</f>
        <v/>
      </c>
      <c r="R1099" s="3">
        <f>IF(M1099&lt;&gt;"",M1099/1.4,"")</f>
        <v/>
      </c>
      <c r="S1099" s="3">
        <f>IF(M1099&lt;&gt;"",M1099/1.56,"")</f>
        <v/>
      </c>
      <c r="T1099" s="3">
        <f>IF(N1099&lt;&gt;"",N1099,IF(O1099&lt;&gt;"",O1099,IF(L1099&lt;&gt;"",L1099/1.56,IF(M1099&lt;&gt;"",M1099/1.56,""))))</f>
        <v/>
      </c>
      <c r="U1099" s="3" t="n">
        <v>260</v>
      </c>
      <c r="V1099" s="3" t="n">
        <v>156</v>
      </c>
      <c r="W1099" s="3" t="n"/>
      <c r="X1099" s="4" t="n"/>
      <c r="Y1099" s="5" t="n">
        <v>0.39</v>
      </c>
      <c r="Z1099" s="4">
        <f>IF(L1099&lt;&gt;"",SQRT(3)*G1099*L1099/1000,"")</f>
        <v/>
      </c>
      <c r="AA1099" t="inlineStr">
        <is>
          <t>Source=Copeland 2D/3D/4D/4R/6D/8D/9R compressors (pdf) p49; PWS_RLA=25.0</t>
        </is>
      </c>
      <c r="AB1099" t="inlineStr">
        <is>
          <t>Copeland_RLA_230_460_3ph_60Hz.xlsx</t>
        </is>
      </c>
      <c r="AC1099" t="inlineStr">
        <is>
          <t>Recip_2D-9R</t>
        </is>
      </c>
    </row>
    <row r="1100">
      <c r="A1100" t="inlineStr">
        <is>
          <t>COPELAND</t>
        </is>
      </c>
      <c r="B1100" t="inlineStr">
        <is>
          <t>6DB3-3000-TSK</t>
        </is>
      </c>
      <c r="D1100" t="inlineStr">
        <is>
          <t>Reciprocating Semi-hermetic</t>
        </is>
      </c>
      <c r="E1100" s="2" t="n">
        <v>3</v>
      </c>
      <c r="F1100" s="2" t="n">
        <v>60</v>
      </c>
      <c r="G1100" s="2" t="n">
        <v>230</v>
      </c>
      <c r="H1100" t="inlineStr">
        <is>
          <t>208/230</t>
        </is>
      </c>
      <c r="I1100" s="2" t="n">
        <v>208</v>
      </c>
      <c r="J1100" s="2" t="n">
        <v>230</v>
      </c>
      <c r="L1100" s="3" t="n"/>
      <c r="M1100" s="3" t="n"/>
      <c r="N1100" s="3" t="n">
        <v>105</v>
      </c>
      <c r="O1100" s="3" t="n"/>
      <c r="P1100" s="3">
        <f>IF(L1100&lt;&gt;"",L1100/1.4,"")</f>
        <v/>
      </c>
      <c r="Q1100" s="3">
        <f>IF(L1100&lt;&gt;"",L1100/1.56,"")</f>
        <v/>
      </c>
      <c r="R1100" s="3">
        <f>IF(M1100&lt;&gt;"",M1100/1.4,"")</f>
        <v/>
      </c>
      <c r="S1100" s="3">
        <f>IF(M1100&lt;&gt;"",M1100/1.56,"")</f>
        <v/>
      </c>
      <c r="T1100" s="3">
        <f>IF(N1100&lt;&gt;"",N1100,IF(O1100&lt;&gt;"",O1100,IF(L1100&lt;&gt;"",L1100/1.56,IF(M1100&lt;&gt;"",M1100/1.56,""))))</f>
        <v/>
      </c>
      <c r="U1100" s="3" t="n">
        <v>565</v>
      </c>
      <c r="V1100" s="3" t="n">
        <v>340</v>
      </c>
      <c r="W1100" s="3" t="n"/>
      <c r="X1100" s="4" t="n"/>
      <c r="Y1100" s="5" t="n">
        <v>0.08699999999999999</v>
      </c>
      <c r="Z1100" s="4">
        <f>IF(L1100&lt;&gt;"",SQRT(3)*G1100*L1100/1000,"")</f>
        <v/>
      </c>
      <c r="AA1100" t="inlineStr">
        <is>
          <t>Source=Copeland 2D/3D/4D/4R/6D/8D/9R compressors (pdf) p50; PWS_RLA=52.5</t>
        </is>
      </c>
      <c r="AB1100" t="inlineStr">
        <is>
          <t>Copeland_RLA_230_460_3ph_60Hz.xlsx</t>
        </is>
      </c>
      <c r="AC1100" t="inlineStr">
        <is>
          <t>Recip_2D-9R</t>
        </is>
      </c>
    </row>
    <row r="1101">
      <c r="A1101" t="inlineStr">
        <is>
          <t>COPELAND</t>
        </is>
      </c>
      <c r="B1101" t="inlineStr">
        <is>
          <t>6DB3-3000-TSK</t>
        </is>
      </c>
      <c r="D1101" t="inlineStr">
        <is>
          <t>Reciprocating Semi-hermetic</t>
        </is>
      </c>
      <c r="E1101" s="2" t="n">
        <v>3</v>
      </c>
      <c r="F1101" s="2" t="n">
        <v>60</v>
      </c>
      <c r="G1101" s="2" t="n">
        <v>460</v>
      </c>
      <c r="H1101" t="inlineStr">
        <is>
          <t>460</t>
        </is>
      </c>
      <c r="I1101" s="2" t="n">
        <v>460</v>
      </c>
      <c r="J1101" s="2" t="n">
        <v>460</v>
      </c>
      <c r="L1101" s="3" t="n"/>
      <c r="M1101" s="3" t="n"/>
      <c r="N1101" s="3" t="n">
        <v>52.5</v>
      </c>
      <c r="O1101" s="3" t="n"/>
      <c r="P1101" s="3">
        <f>IF(L1101&lt;&gt;"",L1101/1.4,"")</f>
        <v/>
      </c>
      <c r="Q1101" s="3">
        <f>IF(L1101&lt;&gt;"",L1101/1.56,"")</f>
        <v/>
      </c>
      <c r="R1101" s="3">
        <f>IF(M1101&lt;&gt;"",M1101/1.4,"")</f>
        <v/>
      </c>
      <c r="S1101" s="3">
        <f>IF(M1101&lt;&gt;"",M1101/1.56,"")</f>
        <v/>
      </c>
      <c r="T1101" s="3">
        <f>IF(N1101&lt;&gt;"",N1101,IF(O1101&lt;&gt;"",O1101,IF(L1101&lt;&gt;"",L1101/1.56,IF(M1101&lt;&gt;"",M1101/1.56,""))))</f>
        <v/>
      </c>
      <c r="U1101" s="3" t="n">
        <v>283</v>
      </c>
      <c r="V1101" s="3" t="n"/>
      <c r="W1101" s="3" t="n"/>
      <c r="X1101" s="4" t="n"/>
      <c r="Y1101" s="5" t="n">
        <v>0.348</v>
      </c>
      <c r="Z1101" s="4">
        <f>IF(L1101&lt;&gt;"",SQRT(3)*G1101*L1101/1000,"")</f>
        <v/>
      </c>
      <c r="AA1101" t="inlineStr">
        <is>
          <t>Source=Copeland 2D/3D/4D/4R/6D/8D/9R compressors (pdf) p50</t>
        </is>
      </c>
      <c r="AB1101" t="inlineStr">
        <is>
          <t>Copeland_RLA_230_460_3ph_60Hz.xlsx</t>
        </is>
      </c>
      <c r="AC1101" t="inlineStr">
        <is>
          <t>Recip_2D-9R</t>
        </is>
      </c>
    </row>
    <row r="1102">
      <c r="A1102" t="inlineStr">
        <is>
          <t>COPELAND</t>
        </is>
      </c>
      <c r="B1102" t="inlineStr">
        <is>
          <t>6DB3-300E-FSD</t>
        </is>
      </c>
      <c r="D1102" t="inlineStr">
        <is>
          <t>Reciprocating Semi-hermetic</t>
        </is>
      </c>
      <c r="E1102" s="2" t="n">
        <v>3</v>
      </c>
      <c r="F1102" s="2" t="n">
        <v>60</v>
      </c>
      <c r="G1102" s="2" t="n">
        <v>460</v>
      </c>
      <c r="H1102" t="inlineStr">
        <is>
          <t>460</t>
        </is>
      </c>
      <c r="I1102" s="2" t="n">
        <v>460</v>
      </c>
      <c r="J1102" s="2" t="n">
        <v>460</v>
      </c>
      <c r="L1102" s="3" t="n"/>
      <c r="M1102" s="3" t="n"/>
      <c r="N1102" s="3" t="n">
        <v>50</v>
      </c>
      <c r="O1102" s="3" t="n"/>
      <c r="P1102" s="3">
        <f>IF(L1102&lt;&gt;"",L1102/1.4,"")</f>
        <v/>
      </c>
      <c r="Q1102" s="3">
        <f>IF(L1102&lt;&gt;"",L1102/1.56,"")</f>
        <v/>
      </c>
      <c r="R1102" s="3">
        <f>IF(M1102&lt;&gt;"",M1102/1.4,"")</f>
        <v/>
      </c>
      <c r="S1102" s="3">
        <f>IF(M1102&lt;&gt;"",M1102/1.56,"")</f>
        <v/>
      </c>
      <c r="T1102" s="3">
        <f>IF(N1102&lt;&gt;"",N1102,IF(O1102&lt;&gt;"",O1102,IF(L1102&lt;&gt;"",L1102/1.56,IF(M1102&lt;&gt;"",M1102/1.56,""))))</f>
        <v/>
      </c>
      <c r="U1102" s="3" t="n">
        <v>260</v>
      </c>
      <c r="V1102" s="3" t="n">
        <v>156</v>
      </c>
      <c r="W1102" s="3" t="n"/>
      <c r="X1102" s="4" t="n"/>
      <c r="Y1102" s="5" t="n">
        <v>0.39</v>
      </c>
      <c r="Z1102" s="4">
        <f>IF(L1102&lt;&gt;"",SQRT(3)*G1102*L1102/1000,"")</f>
        <v/>
      </c>
      <c r="AA1102" t="inlineStr">
        <is>
          <t>Source=Copeland 2D/3D/4D/4R/6D/8D/9R compressors (pdf) p50; PWS_RLA=25.0</t>
        </is>
      </c>
      <c r="AB1102" t="inlineStr">
        <is>
          <t>Copeland_RLA_230_460_3ph_60Hz.xlsx</t>
        </is>
      </c>
      <c r="AC1102" t="inlineStr">
        <is>
          <t>Recip_2D-9R</t>
        </is>
      </c>
    </row>
    <row r="1103">
      <c r="A1103" t="inlineStr">
        <is>
          <t>COPELAND</t>
        </is>
      </c>
      <c r="B1103" t="inlineStr">
        <is>
          <t>6DB3-300E-TSK</t>
        </is>
      </c>
      <c r="D1103" t="inlineStr">
        <is>
          <t>Reciprocating Semi-hermetic</t>
        </is>
      </c>
      <c r="E1103" s="2" t="n">
        <v>3</v>
      </c>
      <c r="F1103" s="2" t="n">
        <v>60</v>
      </c>
      <c r="G1103" s="2" t="n">
        <v>230</v>
      </c>
      <c r="H1103" t="inlineStr">
        <is>
          <t>208/230</t>
        </is>
      </c>
      <c r="I1103" s="2" t="n">
        <v>208</v>
      </c>
      <c r="J1103" s="2" t="n">
        <v>230</v>
      </c>
      <c r="L1103" s="3" t="n"/>
      <c r="M1103" s="3" t="n"/>
      <c r="N1103" s="3" t="n">
        <v>105</v>
      </c>
      <c r="O1103" s="3" t="n"/>
      <c r="P1103" s="3">
        <f>IF(L1103&lt;&gt;"",L1103/1.4,"")</f>
        <v/>
      </c>
      <c r="Q1103" s="3">
        <f>IF(L1103&lt;&gt;"",L1103/1.56,"")</f>
        <v/>
      </c>
      <c r="R1103" s="3">
        <f>IF(M1103&lt;&gt;"",M1103/1.4,"")</f>
        <v/>
      </c>
      <c r="S1103" s="3">
        <f>IF(M1103&lt;&gt;"",M1103/1.56,"")</f>
        <v/>
      </c>
      <c r="T1103" s="3">
        <f>IF(N1103&lt;&gt;"",N1103,IF(O1103&lt;&gt;"",O1103,IF(L1103&lt;&gt;"",L1103/1.56,IF(M1103&lt;&gt;"",M1103/1.56,""))))</f>
        <v/>
      </c>
      <c r="U1103" s="3" t="n">
        <v>565</v>
      </c>
      <c r="V1103" s="3" t="n">
        <v>340</v>
      </c>
      <c r="W1103" s="3" t="n"/>
      <c r="X1103" s="4" t="n"/>
      <c r="Y1103" s="5" t="n">
        <v>0.08699999999999999</v>
      </c>
      <c r="Z1103" s="4">
        <f>IF(L1103&lt;&gt;"",SQRT(3)*G1103*L1103/1000,"")</f>
        <v/>
      </c>
      <c r="AA1103" t="inlineStr">
        <is>
          <t>Source=Copeland 2D/3D/4D/4R/6D/8D/9R compressors (pdf) p50; PWS_RLA=52.5</t>
        </is>
      </c>
      <c r="AB1103" t="inlineStr">
        <is>
          <t>Copeland_RLA_230_460_3ph_60Hz.xlsx</t>
        </is>
      </c>
      <c r="AC1103" t="inlineStr">
        <is>
          <t>Recip_2D-9R</t>
        </is>
      </c>
    </row>
    <row r="1104">
      <c r="A1104" t="inlineStr">
        <is>
          <t>COPELAND</t>
        </is>
      </c>
      <c r="B1104" t="inlineStr">
        <is>
          <t>6DB3-300E-TSK</t>
        </is>
      </c>
      <c r="D1104" t="inlineStr">
        <is>
          <t>Reciprocating Semi-hermetic</t>
        </is>
      </c>
      <c r="E1104" s="2" t="n">
        <v>3</v>
      </c>
      <c r="F1104" s="2" t="n">
        <v>60</v>
      </c>
      <c r="G1104" s="2" t="n">
        <v>460</v>
      </c>
      <c r="H1104" t="inlineStr">
        <is>
          <t>460</t>
        </is>
      </c>
      <c r="I1104" s="2" t="n">
        <v>460</v>
      </c>
      <c r="J1104" s="2" t="n">
        <v>460</v>
      </c>
      <c r="L1104" s="3" t="n"/>
      <c r="M1104" s="3" t="n"/>
      <c r="N1104" s="3" t="n">
        <v>52.5</v>
      </c>
      <c r="O1104" s="3" t="n"/>
      <c r="P1104" s="3">
        <f>IF(L1104&lt;&gt;"",L1104/1.4,"")</f>
        <v/>
      </c>
      <c r="Q1104" s="3">
        <f>IF(L1104&lt;&gt;"",L1104/1.56,"")</f>
        <v/>
      </c>
      <c r="R1104" s="3">
        <f>IF(M1104&lt;&gt;"",M1104/1.4,"")</f>
        <v/>
      </c>
      <c r="S1104" s="3">
        <f>IF(M1104&lt;&gt;"",M1104/1.56,"")</f>
        <v/>
      </c>
      <c r="T1104" s="3">
        <f>IF(N1104&lt;&gt;"",N1104,IF(O1104&lt;&gt;"",O1104,IF(L1104&lt;&gt;"",L1104/1.56,IF(M1104&lt;&gt;"",M1104/1.56,""))))</f>
        <v/>
      </c>
      <c r="U1104" s="3" t="n">
        <v>283</v>
      </c>
      <c r="V1104" s="3" t="n"/>
      <c r="W1104" s="3" t="n"/>
      <c r="X1104" s="4" t="n"/>
      <c r="Y1104" s="5" t="n">
        <v>0.348</v>
      </c>
      <c r="Z1104" s="4">
        <f>IF(L1104&lt;&gt;"",SQRT(3)*G1104*L1104/1000,"")</f>
        <v/>
      </c>
      <c r="AA1104" t="inlineStr">
        <is>
          <t>Source=Copeland 2D/3D/4D/4R/6D/8D/9R compressors (pdf) p50</t>
        </is>
      </c>
      <c r="AB1104" t="inlineStr">
        <is>
          <t>Copeland_RLA_230_460_3ph_60Hz.xlsx</t>
        </is>
      </c>
      <c r="AC1104" t="inlineStr">
        <is>
          <t>Recip_2D-9R</t>
        </is>
      </c>
    </row>
    <row r="1105">
      <c r="A1105" t="inlineStr">
        <is>
          <t>COPELAND</t>
        </is>
      </c>
      <c r="B1105" t="inlineStr">
        <is>
          <t>6DB3-300L-FSD</t>
        </is>
      </c>
      <c r="D1105" t="inlineStr">
        <is>
          <t>Reciprocating Semi-hermetic</t>
        </is>
      </c>
      <c r="E1105" s="2" t="n">
        <v>3</v>
      </c>
      <c r="F1105" s="2" t="n">
        <v>60</v>
      </c>
      <c r="G1105" s="2" t="n">
        <v>460</v>
      </c>
      <c r="H1105" t="inlineStr">
        <is>
          <t>460</t>
        </is>
      </c>
      <c r="I1105" s="2" t="n">
        <v>460</v>
      </c>
      <c r="J1105" s="2" t="n">
        <v>460</v>
      </c>
      <c r="L1105" s="3" t="n"/>
      <c r="M1105" s="3" t="n"/>
      <c r="N1105" s="3" t="n">
        <v>50</v>
      </c>
      <c r="O1105" s="3" t="n"/>
      <c r="P1105" s="3">
        <f>IF(L1105&lt;&gt;"",L1105/1.4,"")</f>
        <v/>
      </c>
      <c r="Q1105" s="3">
        <f>IF(L1105&lt;&gt;"",L1105/1.56,"")</f>
        <v/>
      </c>
      <c r="R1105" s="3">
        <f>IF(M1105&lt;&gt;"",M1105/1.4,"")</f>
        <v/>
      </c>
      <c r="S1105" s="3">
        <f>IF(M1105&lt;&gt;"",M1105/1.56,"")</f>
        <v/>
      </c>
      <c r="T1105" s="3">
        <f>IF(N1105&lt;&gt;"",N1105,IF(O1105&lt;&gt;"",O1105,IF(L1105&lt;&gt;"",L1105/1.56,IF(M1105&lt;&gt;"",M1105/1.56,""))))</f>
        <v/>
      </c>
      <c r="U1105" s="3" t="n">
        <v>260</v>
      </c>
      <c r="V1105" s="3" t="n">
        <v>156</v>
      </c>
      <c r="W1105" s="3" t="n"/>
      <c r="X1105" s="4" t="n"/>
      <c r="Y1105" s="5" t="n">
        <v>0.39</v>
      </c>
      <c r="Z1105" s="4">
        <f>IF(L1105&lt;&gt;"",SQRT(3)*G1105*L1105/1000,"")</f>
        <v/>
      </c>
      <c r="AA1105" t="inlineStr">
        <is>
          <t>Source=Copeland 2D/3D/4D/4R/6D/8D/9R compressors (pdf) p50; PWS_RLA=25.0</t>
        </is>
      </c>
      <c r="AB1105" t="inlineStr">
        <is>
          <t>Copeland_RLA_230_460_3ph_60Hz.xlsx</t>
        </is>
      </c>
      <c r="AC1105" t="inlineStr">
        <is>
          <t>Recip_2D-9R</t>
        </is>
      </c>
    </row>
    <row r="1106">
      <c r="A1106" t="inlineStr">
        <is>
          <t>COPELAND</t>
        </is>
      </c>
      <c r="B1106" t="inlineStr">
        <is>
          <t>6DB3-300L-TSK</t>
        </is>
      </c>
      <c r="D1106" t="inlineStr">
        <is>
          <t>Reciprocating Semi-hermetic</t>
        </is>
      </c>
      <c r="E1106" s="2" t="n">
        <v>3</v>
      </c>
      <c r="F1106" s="2" t="n">
        <v>60</v>
      </c>
      <c r="G1106" s="2" t="n">
        <v>230</v>
      </c>
      <c r="H1106" t="inlineStr">
        <is>
          <t>208/230</t>
        </is>
      </c>
      <c r="I1106" s="2" t="n">
        <v>208</v>
      </c>
      <c r="J1106" s="2" t="n">
        <v>230</v>
      </c>
      <c r="L1106" s="3" t="n"/>
      <c r="M1106" s="3" t="n"/>
      <c r="N1106" s="3" t="n">
        <v>105</v>
      </c>
      <c r="O1106" s="3" t="n"/>
      <c r="P1106" s="3">
        <f>IF(L1106&lt;&gt;"",L1106/1.4,"")</f>
        <v/>
      </c>
      <c r="Q1106" s="3">
        <f>IF(L1106&lt;&gt;"",L1106/1.56,"")</f>
        <v/>
      </c>
      <c r="R1106" s="3">
        <f>IF(M1106&lt;&gt;"",M1106/1.4,"")</f>
        <v/>
      </c>
      <c r="S1106" s="3">
        <f>IF(M1106&lt;&gt;"",M1106/1.56,"")</f>
        <v/>
      </c>
      <c r="T1106" s="3">
        <f>IF(N1106&lt;&gt;"",N1106,IF(O1106&lt;&gt;"",O1106,IF(L1106&lt;&gt;"",L1106/1.56,IF(M1106&lt;&gt;"",M1106/1.56,""))))</f>
        <v/>
      </c>
      <c r="U1106" s="3" t="n">
        <v>565</v>
      </c>
      <c r="V1106" s="3" t="n">
        <v>340</v>
      </c>
      <c r="W1106" s="3" t="n"/>
      <c r="X1106" s="4" t="n"/>
      <c r="Y1106" s="5" t="n">
        <v>0.08699999999999999</v>
      </c>
      <c r="Z1106" s="4">
        <f>IF(L1106&lt;&gt;"",SQRT(3)*G1106*L1106/1000,"")</f>
        <v/>
      </c>
      <c r="AA1106" t="inlineStr">
        <is>
          <t>Source=Copeland 2D/3D/4D/4R/6D/8D/9R compressors (pdf) p50; PWS_RLA=52.5</t>
        </is>
      </c>
      <c r="AB1106" t="inlineStr">
        <is>
          <t>Copeland_RLA_230_460_3ph_60Hz.xlsx</t>
        </is>
      </c>
      <c r="AC1106" t="inlineStr">
        <is>
          <t>Recip_2D-9R</t>
        </is>
      </c>
    </row>
    <row r="1107">
      <c r="A1107" t="inlineStr">
        <is>
          <t>COPELAND</t>
        </is>
      </c>
      <c r="B1107" t="inlineStr">
        <is>
          <t>6DB3-300L-TSK</t>
        </is>
      </c>
      <c r="D1107" t="inlineStr">
        <is>
          <t>Reciprocating Semi-hermetic</t>
        </is>
      </c>
      <c r="E1107" s="2" t="n">
        <v>3</v>
      </c>
      <c r="F1107" s="2" t="n">
        <v>60</v>
      </c>
      <c r="G1107" s="2" t="n">
        <v>460</v>
      </c>
      <c r="H1107" t="inlineStr">
        <is>
          <t>460</t>
        </is>
      </c>
      <c r="I1107" s="2" t="n">
        <v>460</v>
      </c>
      <c r="J1107" s="2" t="n">
        <v>460</v>
      </c>
      <c r="L1107" s="3" t="n"/>
      <c r="M1107" s="3" t="n"/>
      <c r="N1107" s="3" t="n">
        <v>52.5</v>
      </c>
      <c r="O1107" s="3" t="n"/>
      <c r="P1107" s="3">
        <f>IF(L1107&lt;&gt;"",L1107/1.4,"")</f>
        <v/>
      </c>
      <c r="Q1107" s="3">
        <f>IF(L1107&lt;&gt;"",L1107/1.56,"")</f>
        <v/>
      </c>
      <c r="R1107" s="3">
        <f>IF(M1107&lt;&gt;"",M1107/1.4,"")</f>
        <v/>
      </c>
      <c r="S1107" s="3">
        <f>IF(M1107&lt;&gt;"",M1107/1.56,"")</f>
        <v/>
      </c>
      <c r="T1107" s="3">
        <f>IF(N1107&lt;&gt;"",N1107,IF(O1107&lt;&gt;"",O1107,IF(L1107&lt;&gt;"",L1107/1.56,IF(M1107&lt;&gt;"",M1107/1.56,""))))</f>
        <v/>
      </c>
      <c r="U1107" s="3" t="n">
        <v>283</v>
      </c>
      <c r="V1107" s="3" t="n"/>
      <c r="W1107" s="3" t="n"/>
      <c r="X1107" s="4" t="n"/>
      <c r="Y1107" s="5" t="n">
        <v>0.348</v>
      </c>
      <c r="Z1107" s="4">
        <f>IF(L1107&lt;&gt;"",SQRT(3)*G1107*L1107/1000,"")</f>
        <v/>
      </c>
      <c r="AA1107" t="inlineStr">
        <is>
          <t>Source=Copeland 2D/3D/4D/4R/6D/8D/9R compressors (pdf) p50</t>
        </is>
      </c>
      <c r="AB1107" t="inlineStr">
        <is>
          <t>Copeland_RLA_230_460_3ph_60Hz.xlsx</t>
        </is>
      </c>
      <c r="AC1107" t="inlineStr">
        <is>
          <t>Recip_2D-9R</t>
        </is>
      </c>
    </row>
    <row r="1108">
      <c r="A1108" t="inlineStr">
        <is>
          <t>COPELAND</t>
        </is>
      </c>
      <c r="B1108" t="inlineStr">
        <is>
          <t>6DB3A3000-FSD</t>
        </is>
      </c>
      <c r="D1108" t="inlineStr">
        <is>
          <t>Reciprocating Semi-hermetic</t>
        </is>
      </c>
      <c r="E1108" s="2" t="n">
        <v>3</v>
      </c>
      <c r="F1108" s="2" t="n">
        <v>60</v>
      </c>
      <c r="G1108" s="2" t="n">
        <v>460</v>
      </c>
      <c r="H1108" t="inlineStr">
        <is>
          <t>460</t>
        </is>
      </c>
      <c r="I1108" s="2" t="n">
        <v>460</v>
      </c>
      <c r="J1108" s="2" t="n">
        <v>460</v>
      </c>
      <c r="L1108" s="3" t="n"/>
      <c r="M1108" s="3" t="n"/>
      <c r="N1108" s="3" t="n">
        <v>50</v>
      </c>
      <c r="O1108" s="3" t="n"/>
      <c r="P1108" s="3">
        <f>IF(L1108&lt;&gt;"",L1108/1.4,"")</f>
        <v/>
      </c>
      <c r="Q1108" s="3">
        <f>IF(L1108&lt;&gt;"",L1108/1.56,"")</f>
        <v/>
      </c>
      <c r="R1108" s="3">
        <f>IF(M1108&lt;&gt;"",M1108/1.4,"")</f>
        <v/>
      </c>
      <c r="S1108" s="3">
        <f>IF(M1108&lt;&gt;"",M1108/1.56,"")</f>
        <v/>
      </c>
      <c r="T1108" s="3">
        <f>IF(N1108&lt;&gt;"",N1108,IF(O1108&lt;&gt;"",O1108,IF(L1108&lt;&gt;"",L1108/1.56,IF(M1108&lt;&gt;"",M1108/1.56,""))))</f>
        <v/>
      </c>
      <c r="U1108" s="3" t="n">
        <v>260</v>
      </c>
      <c r="V1108" s="3" t="n">
        <v>156</v>
      </c>
      <c r="W1108" s="3" t="n"/>
      <c r="X1108" s="4" t="n"/>
      <c r="Y1108" s="5" t="n">
        <v>0.39</v>
      </c>
      <c r="Z1108" s="4">
        <f>IF(L1108&lt;&gt;"",SQRT(3)*G1108*L1108/1000,"")</f>
        <v/>
      </c>
      <c r="AA1108" t="inlineStr">
        <is>
          <t>Source=Copeland 2D/3D/4D/4R/6D/8D/9R compressors (pdf) p50; PWS_RLA=25.0</t>
        </is>
      </c>
      <c r="AB1108" t="inlineStr">
        <is>
          <t>Copeland_RLA_230_460_3ph_60Hz.xlsx</t>
        </is>
      </c>
      <c r="AC1108" t="inlineStr">
        <is>
          <t>Recip_2D-9R</t>
        </is>
      </c>
    </row>
    <row r="1109">
      <c r="A1109" t="inlineStr">
        <is>
          <t>COPELAND</t>
        </is>
      </c>
      <c r="B1109" t="inlineStr">
        <is>
          <t>6DB3A3000-TSK</t>
        </is>
      </c>
      <c r="D1109" t="inlineStr">
        <is>
          <t>Reciprocating Semi-hermetic</t>
        </is>
      </c>
      <c r="E1109" s="2" t="n">
        <v>3</v>
      </c>
      <c r="F1109" s="2" t="n">
        <v>60</v>
      </c>
      <c r="G1109" s="2" t="n">
        <v>230</v>
      </c>
      <c r="H1109" t="inlineStr">
        <is>
          <t>208/230</t>
        </is>
      </c>
      <c r="I1109" s="2" t="n">
        <v>208</v>
      </c>
      <c r="J1109" s="2" t="n">
        <v>230</v>
      </c>
      <c r="L1109" s="3" t="n"/>
      <c r="M1109" s="3" t="n"/>
      <c r="N1109" s="3" t="n">
        <v>105</v>
      </c>
      <c r="O1109" s="3" t="n"/>
      <c r="P1109" s="3">
        <f>IF(L1109&lt;&gt;"",L1109/1.4,"")</f>
        <v/>
      </c>
      <c r="Q1109" s="3">
        <f>IF(L1109&lt;&gt;"",L1109/1.56,"")</f>
        <v/>
      </c>
      <c r="R1109" s="3">
        <f>IF(M1109&lt;&gt;"",M1109/1.4,"")</f>
        <v/>
      </c>
      <c r="S1109" s="3">
        <f>IF(M1109&lt;&gt;"",M1109/1.56,"")</f>
        <v/>
      </c>
      <c r="T1109" s="3">
        <f>IF(N1109&lt;&gt;"",N1109,IF(O1109&lt;&gt;"",O1109,IF(L1109&lt;&gt;"",L1109/1.56,IF(M1109&lt;&gt;"",M1109/1.56,""))))</f>
        <v/>
      </c>
      <c r="U1109" s="3" t="n">
        <v>565</v>
      </c>
      <c r="V1109" s="3" t="n">
        <v>340</v>
      </c>
      <c r="W1109" s="3" t="n"/>
      <c r="X1109" s="4" t="n"/>
      <c r="Y1109" s="5" t="n">
        <v>0.08699999999999999</v>
      </c>
      <c r="Z1109" s="4">
        <f>IF(L1109&lt;&gt;"",SQRT(3)*G1109*L1109/1000,"")</f>
        <v/>
      </c>
      <c r="AA1109" t="inlineStr">
        <is>
          <t>Source=Copeland 2D/3D/4D/4R/6D/8D/9R compressors (pdf) p50; PWS_RLA=52.5</t>
        </is>
      </c>
      <c r="AB1109" t="inlineStr">
        <is>
          <t>Copeland_RLA_230_460_3ph_60Hz.xlsx</t>
        </is>
      </c>
      <c r="AC1109" t="inlineStr">
        <is>
          <t>Recip_2D-9R</t>
        </is>
      </c>
    </row>
    <row r="1110">
      <c r="A1110" t="inlineStr">
        <is>
          <t>COPELAND</t>
        </is>
      </c>
      <c r="B1110" t="inlineStr">
        <is>
          <t>6DB3A3000-TSK</t>
        </is>
      </c>
      <c r="D1110" t="inlineStr">
        <is>
          <t>Reciprocating Semi-hermetic</t>
        </is>
      </c>
      <c r="E1110" s="2" t="n">
        <v>3</v>
      </c>
      <c r="F1110" s="2" t="n">
        <v>60</v>
      </c>
      <c r="G1110" s="2" t="n">
        <v>460</v>
      </c>
      <c r="H1110" t="inlineStr">
        <is>
          <t>460</t>
        </is>
      </c>
      <c r="I1110" s="2" t="n">
        <v>460</v>
      </c>
      <c r="J1110" s="2" t="n">
        <v>460</v>
      </c>
      <c r="L1110" s="3" t="n"/>
      <c r="M1110" s="3" t="n"/>
      <c r="N1110" s="3" t="n">
        <v>52.5</v>
      </c>
      <c r="O1110" s="3" t="n"/>
      <c r="P1110" s="3">
        <f>IF(L1110&lt;&gt;"",L1110/1.4,"")</f>
        <v/>
      </c>
      <c r="Q1110" s="3">
        <f>IF(L1110&lt;&gt;"",L1110/1.56,"")</f>
        <v/>
      </c>
      <c r="R1110" s="3">
        <f>IF(M1110&lt;&gt;"",M1110/1.4,"")</f>
        <v/>
      </c>
      <c r="S1110" s="3">
        <f>IF(M1110&lt;&gt;"",M1110/1.56,"")</f>
        <v/>
      </c>
      <c r="T1110" s="3">
        <f>IF(N1110&lt;&gt;"",N1110,IF(O1110&lt;&gt;"",O1110,IF(L1110&lt;&gt;"",L1110/1.56,IF(M1110&lt;&gt;"",M1110/1.56,""))))</f>
        <v/>
      </c>
      <c r="U1110" s="3" t="n">
        <v>283</v>
      </c>
      <c r="V1110" s="3" t="n"/>
      <c r="W1110" s="3" t="n"/>
      <c r="X1110" s="4" t="n"/>
      <c r="Y1110" s="5" t="n">
        <v>0.348</v>
      </c>
      <c r="Z1110" s="4">
        <f>IF(L1110&lt;&gt;"",SQRT(3)*G1110*L1110/1000,"")</f>
        <v/>
      </c>
      <c r="AA1110" t="inlineStr">
        <is>
          <t>Source=Copeland 2D/3D/4D/4R/6D/8D/9R compressors (pdf) p50</t>
        </is>
      </c>
      <c r="AB1110" t="inlineStr">
        <is>
          <t>Copeland_RLA_230_460_3ph_60Hz.xlsx</t>
        </is>
      </c>
      <c r="AC1110" t="inlineStr">
        <is>
          <t>Recip_2D-9R</t>
        </is>
      </c>
    </row>
    <row r="1111">
      <c r="A1111" t="inlineStr">
        <is>
          <t>COPELAND</t>
        </is>
      </c>
      <c r="B1111" t="inlineStr">
        <is>
          <t>6DB3A300E-FSD</t>
        </is>
      </c>
      <c r="D1111" t="inlineStr">
        <is>
          <t>Reciprocating Semi-hermetic</t>
        </is>
      </c>
      <c r="E1111" s="2" t="n">
        <v>3</v>
      </c>
      <c r="F1111" s="2" t="n">
        <v>60</v>
      </c>
      <c r="G1111" s="2" t="n">
        <v>460</v>
      </c>
      <c r="H1111" t="inlineStr">
        <is>
          <t>460</t>
        </is>
      </c>
      <c r="I1111" s="2" t="n">
        <v>460</v>
      </c>
      <c r="J1111" s="2" t="n">
        <v>460</v>
      </c>
      <c r="L1111" s="3" t="n"/>
      <c r="M1111" s="3" t="n"/>
      <c r="N1111" s="3" t="n">
        <v>50</v>
      </c>
      <c r="O1111" s="3" t="n"/>
      <c r="P1111" s="3">
        <f>IF(L1111&lt;&gt;"",L1111/1.4,"")</f>
        <v/>
      </c>
      <c r="Q1111" s="3">
        <f>IF(L1111&lt;&gt;"",L1111/1.56,"")</f>
        <v/>
      </c>
      <c r="R1111" s="3">
        <f>IF(M1111&lt;&gt;"",M1111/1.4,"")</f>
        <v/>
      </c>
      <c r="S1111" s="3">
        <f>IF(M1111&lt;&gt;"",M1111/1.56,"")</f>
        <v/>
      </c>
      <c r="T1111" s="3">
        <f>IF(N1111&lt;&gt;"",N1111,IF(O1111&lt;&gt;"",O1111,IF(L1111&lt;&gt;"",L1111/1.56,IF(M1111&lt;&gt;"",M1111/1.56,""))))</f>
        <v/>
      </c>
      <c r="U1111" s="3" t="n">
        <v>260</v>
      </c>
      <c r="V1111" s="3" t="n">
        <v>156</v>
      </c>
      <c r="W1111" s="3" t="n"/>
      <c r="X1111" s="4" t="n"/>
      <c r="Y1111" s="5" t="n">
        <v>0.39</v>
      </c>
      <c r="Z1111" s="4">
        <f>IF(L1111&lt;&gt;"",SQRT(3)*G1111*L1111/1000,"")</f>
        <v/>
      </c>
      <c r="AA1111" t="inlineStr">
        <is>
          <t>Source=Copeland 2D/3D/4D/4R/6D/8D/9R compressors (pdf) p50; PWS_RLA=25.0</t>
        </is>
      </c>
      <c r="AB1111" t="inlineStr">
        <is>
          <t>Copeland_RLA_230_460_3ph_60Hz.xlsx</t>
        </is>
      </c>
      <c r="AC1111" t="inlineStr">
        <is>
          <t>Recip_2D-9R</t>
        </is>
      </c>
    </row>
    <row r="1112">
      <c r="A1112" t="inlineStr">
        <is>
          <t>COPELAND</t>
        </is>
      </c>
      <c r="B1112" t="inlineStr">
        <is>
          <t>6DB3A300E-TSK</t>
        </is>
      </c>
      <c r="D1112" t="inlineStr">
        <is>
          <t>Reciprocating Semi-hermetic</t>
        </is>
      </c>
      <c r="E1112" s="2" t="n">
        <v>3</v>
      </c>
      <c r="F1112" s="2" t="n">
        <v>60</v>
      </c>
      <c r="G1112" s="2" t="n">
        <v>230</v>
      </c>
      <c r="H1112" t="inlineStr">
        <is>
          <t>208/230</t>
        </is>
      </c>
      <c r="I1112" s="2" t="n">
        <v>208</v>
      </c>
      <c r="J1112" s="2" t="n">
        <v>230</v>
      </c>
      <c r="L1112" s="3" t="n"/>
      <c r="M1112" s="3" t="n"/>
      <c r="N1112" s="3" t="n">
        <v>134.3</v>
      </c>
      <c r="O1112" s="3" t="n"/>
      <c r="P1112" s="3">
        <f>IF(L1112&lt;&gt;"",L1112/1.4,"")</f>
        <v/>
      </c>
      <c r="Q1112" s="3">
        <f>IF(L1112&lt;&gt;"",L1112/1.56,"")</f>
        <v/>
      </c>
      <c r="R1112" s="3">
        <f>IF(M1112&lt;&gt;"",M1112/1.4,"")</f>
        <v/>
      </c>
      <c r="S1112" s="3">
        <f>IF(M1112&lt;&gt;"",M1112/1.56,"")</f>
        <v/>
      </c>
      <c r="T1112" s="3">
        <f>IF(N1112&lt;&gt;"",N1112,IF(O1112&lt;&gt;"",O1112,IF(L1112&lt;&gt;"",L1112/1.56,IF(M1112&lt;&gt;"",M1112/1.56,""))))</f>
        <v/>
      </c>
      <c r="U1112" s="3" t="n">
        <v>565</v>
      </c>
      <c r="V1112" s="3" t="n">
        <v>340</v>
      </c>
      <c r="W1112" s="3" t="n"/>
      <c r="X1112" s="4" t="n"/>
      <c r="Y1112" s="5" t="n">
        <v>0.08699999999999999</v>
      </c>
      <c r="Z1112" s="4">
        <f>IF(L1112&lt;&gt;"",SQRT(3)*G1112*L1112/1000,"")</f>
        <v/>
      </c>
      <c r="AA1112" t="inlineStr">
        <is>
          <t>Source=Copeland 2D/3D/4D/4R/6D/8D/9R compressors (pdf) p50; PWS_RLA=52.5</t>
        </is>
      </c>
      <c r="AB1112" t="inlineStr">
        <is>
          <t>Copeland_RLA_230_460_3ph_60Hz.xlsx</t>
        </is>
      </c>
      <c r="AC1112" t="inlineStr">
        <is>
          <t>Recip_2D-9R</t>
        </is>
      </c>
    </row>
    <row r="1113">
      <c r="A1113" t="inlineStr">
        <is>
          <t>COPELAND</t>
        </is>
      </c>
      <c r="B1113" t="inlineStr">
        <is>
          <t>6DB3A300E-TSK</t>
        </is>
      </c>
      <c r="D1113" t="inlineStr">
        <is>
          <t>Reciprocating Semi-hermetic</t>
        </is>
      </c>
      <c r="E1113" s="2" t="n">
        <v>3</v>
      </c>
      <c r="F1113" s="2" t="n">
        <v>60</v>
      </c>
      <c r="G1113" s="2" t="n">
        <v>460</v>
      </c>
      <c r="H1113" t="inlineStr">
        <is>
          <t>460</t>
        </is>
      </c>
      <c r="I1113" s="2" t="n">
        <v>460</v>
      </c>
      <c r="J1113" s="2" t="n">
        <v>460</v>
      </c>
      <c r="L1113" s="3" t="n"/>
      <c r="M1113" s="3" t="n"/>
      <c r="N1113" s="3" t="n">
        <v>67.09999999999999</v>
      </c>
      <c r="O1113" s="3" t="n"/>
      <c r="P1113" s="3">
        <f>IF(L1113&lt;&gt;"",L1113/1.4,"")</f>
        <v/>
      </c>
      <c r="Q1113" s="3">
        <f>IF(L1113&lt;&gt;"",L1113/1.56,"")</f>
        <v/>
      </c>
      <c r="R1113" s="3">
        <f>IF(M1113&lt;&gt;"",M1113/1.4,"")</f>
        <v/>
      </c>
      <c r="S1113" s="3">
        <f>IF(M1113&lt;&gt;"",M1113/1.56,"")</f>
        <v/>
      </c>
      <c r="T1113" s="3">
        <f>IF(N1113&lt;&gt;"",N1113,IF(O1113&lt;&gt;"",O1113,IF(L1113&lt;&gt;"",L1113/1.56,IF(M1113&lt;&gt;"",M1113/1.56,""))))</f>
        <v/>
      </c>
      <c r="U1113" s="3" t="n">
        <v>283</v>
      </c>
      <c r="V1113" s="3" t="n"/>
      <c r="W1113" s="3" t="n"/>
      <c r="X1113" s="4" t="n"/>
      <c r="Y1113" s="5" t="n">
        <v>0.348</v>
      </c>
      <c r="Z1113" s="4">
        <f>IF(L1113&lt;&gt;"",SQRT(3)*G1113*L1113/1000,"")</f>
        <v/>
      </c>
      <c r="AA1113" t="inlineStr">
        <is>
          <t>Source=Copeland 2D/3D/4D/4R/6D/8D/9R compressors (pdf) p50</t>
        </is>
      </c>
      <c r="AB1113" t="inlineStr">
        <is>
          <t>Copeland_RLA_230_460_3ph_60Hz.xlsx</t>
        </is>
      </c>
      <c r="AC1113" t="inlineStr">
        <is>
          <t>Recip_2D-9R</t>
        </is>
      </c>
    </row>
    <row r="1114">
      <c r="A1114" t="inlineStr">
        <is>
          <t>COPELAND</t>
        </is>
      </c>
      <c r="B1114" t="inlineStr">
        <is>
          <t>6DB3A300L-FSD</t>
        </is>
      </c>
      <c r="D1114" t="inlineStr">
        <is>
          <t>Reciprocating Semi-hermetic</t>
        </is>
      </c>
      <c r="E1114" s="2" t="n">
        <v>3</v>
      </c>
      <c r="F1114" s="2" t="n">
        <v>60</v>
      </c>
      <c r="G1114" s="2" t="n">
        <v>460</v>
      </c>
      <c r="H1114" t="inlineStr">
        <is>
          <t>460</t>
        </is>
      </c>
      <c r="I1114" s="2" t="n">
        <v>460</v>
      </c>
      <c r="J1114" s="2" t="n">
        <v>460</v>
      </c>
      <c r="L1114" s="3" t="n"/>
      <c r="M1114" s="3" t="n"/>
      <c r="N1114" s="3" t="n">
        <v>50</v>
      </c>
      <c r="O1114" s="3" t="n"/>
      <c r="P1114" s="3">
        <f>IF(L1114&lt;&gt;"",L1114/1.4,"")</f>
        <v/>
      </c>
      <c r="Q1114" s="3">
        <f>IF(L1114&lt;&gt;"",L1114/1.56,"")</f>
        <v/>
      </c>
      <c r="R1114" s="3">
        <f>IF(M1114&lt;&gt;"",M1114/1.4,"")</f>
        <v/>
      </c>
      <c r="S1114" s="3">
        <f>IF(M1114&lt;&gt;"",M1114/1.56,"")</f>
        <v/>
      </c>
      <c r="T1114" s="3">
        <f>IF(N1114&lt;&gt;"",N1114,IF(O1114&lt;&gt;"",O1114,IF(L1114&lt;&gt;"",L1114/1.56,IF(M1114&lt;&gt;"",M1114/1.56,""))))</f>
        <v/>
      </c>
      <c r="U1114" s="3" t="n">
        <v>260</v>
      </c>
      <c r="V1114" s="3" t="n">
        <v>156</v>
      </c>
      <c r="W1114" s="3" t="n"/>
      <c r="X1114" s="4" t="n"/>
      <c r="Y1114" s="5" t="n">
        <v>0.39</v>
      </c>
      <c r="Z1114" s="4">
        <f>IF(L1114&lt;&gt;"",SQRT(3)*G1114*L1114/1000,"")</f>
        <v/>
      </c>
      <c r="AA1114" t="inlineStr">
        <is>
          <t>Source=Copeland 2D/3D/4D/4R/6D/8D/9R compressors (pdf) p50; PWS_RLA=25.0</t>
        </is>
      </c>
      <c r="AB1114" t="inlineStr">
        <is>
          <t>Copeland_RLA_230_460_3ph_60Hz.xlsx</t>
        </is>
      </c>
      <c r="AC1114" t="inlineStr">
        <is>
          <t>Recip_2D-9R</t>
        </is>
      </c>
    </row>
    <row r="1115">
      <c r="A1115" t="inlineStr">
        <is>
          <t>COPELAND</t>
        </is>
      </c>
      <c r="B1115" t="inlineStr">
        <is>
          <t>6DB3A300L-TSK</t>
        </is>
      </c>
      <c r="D1115" t="inlineStr">
        <is>
          <t>Reciprocating Semi-hermetic</t>
        </is>
      </c>
      <c r="E1115" s="2" t="n">
        <v>3</v>
      </c>
      <c r="F1115" s="2" t="n">
        <v>60</v>
      </c>
      <c r="G1115" s="2" t="n">
        <v>230</v>
      </c>
      <c r="H1115" t="inlineStr">
        <is>
          <t>208/230</t>
        </is>
      </c>
      <c r="I1115" s="2" t="n">
        <v>208</v>
      </c>
      <c r="J1115" s="2" t="n">
        <v>230</v>
      </c>
      <c r="L1115" s="3" t="n"/>
      <c r="M1115" s="3" t="n"/>
      <c r="N1115" s="3" t="n">
        <v>134.3</v>
      </c>
      <c r="O1115" s="3" t="n"/>
      <c r="P1115" s="3">
        <f>IF(L1115&lt;&gt;"",L1115/1.4,"")</f>
        <v/>
      </c>
      <c r="Q1115" s="3">
        <f>IF(L1115&lt;&gt;"",L1115/1.56,"")</f>
        <v/>
      </c>
      <c r="R1115" s="3">
        <f>IF(M1115&lt;&gt;"",M1115/1.4,"")</f>
        <v/>
      </c>
      <c r="S1115" s="3">
        <f>IF(M1115&lt;&gt;"",M1115/1.56,"")</f>
        <v/>
      </c>
      <c r="T1115" s="3">
        <f>IF(N1115&lt;&gt;"",N1115,IF(O1115&lt;&gt;"",O1115,IF(L1115&lt;&gt;"",L1115/1.56,IF(M1115&lt;&gt;"",M1115/1.56,""))))</f>
        <v/>
      </c>
      <c r="U1115" s="3" t="n">
        <v>565</v>
      </c>
      <c r="V1115" s="3" t="n">
        <v>340</v>
      </c>
      <c r="W1115" s="3" t="n"/>
      <c r="X1115" s="4" t="n"/>
      <c r="Y1115" s="5" t="n">
        <v>0.08699999999999999</v>
      </c>
      <c r="Z1115" s="4">
        <f>IF(L1115&lt;&gt;"",SQRT(3)*G1115*L1115/1000,"")</f>
        <v/>
      </c>
      <c r="AA1115" t="inlineStr">
        <is>
          <t>Source=Copeland 2D/3D/4D/4R/6D/8D/9R compressors (pdf) p50; PWS_RLA=52.5</t>
        </is>
      </c>
      <c r="AB1115" t="inlineStr">
        <is>
          <t>Copeland_RLA_230_460_3ph_60Hz.xlsx</t>
        </is>
      </c>
      <c r="AC1115" t="inlineStr">
        <is>
          <t>Recip_2D-9R</t>
        </is>
      </c>
    </row>
    <row r="1116">
      <c r="A1116" t="inlineStr">
        <is>
          <t>COPELAND</t>
        </is>
      </c>
      <c r="B1116" t="inlineStr">
        <is>
          <t>6DB3A300L-TSK</t>
        </is>
      </c>
      <c r="D1116" t="inlineStr">
        <is>
          <t>Reciprocating Semi-hermetic</t>
        </is>
      </c>
      <c r="E1116" s="2" t="n">
        <v>3</v>
      </c>
      <c r="F1116" s="2" t="n">
        <v>60</v>
      </c>
      <c r="G1116" s="2" t="n">
        <v>460</v>
      </c>
      <c r="H1116" t="inlineStr">
        <is>
          <t>460</t>
        </is>
      </c>
      <c r="I1116" s="2" t="n">
        <v>460</v>
      </c>
      <c r="J1116" s="2" t="n">
        <v>460</v>
      </c>
      <c r="L1116" s="3" t="n"/>
      <c r="M1116" s="3" t="n"/>
      <c r="N1116" s="3" t="n">
        <v>67.09999999999999</v>
      </c>
      <c r="O1116" s="3" t="n"/>
      <c r="P1116" s="3">
        <f>IF(L1116&lt;&gt;"",L1116/1.4,"")</f>
        <v/>
      </c>
      <c r="Q1116" s="3">
        <f>IF(L1116&lt;&gt;"",L1116/1.56,"")</f>
        <v/>
      </c>
      <c r="R1116" s="3">
        <f>IF(M1116&lt;&gt;"",M1116/1.4,"")</f>
        <v/>
      </c>
      <c r="S1116" s="3">
        <f>IF(M1116&lt;&gt;"",M1116/1.56,"")</f>
        <v/>
      </c>
      <c r="T1116" s="3">
        <f>IF(N1116&lt;&gt;"",N1116,IF(O1116&lt;&gt;"",O1116,IF(L1116&lt;&gt;"",L1116/1.56,IF(M1116&lt;&gt;"",M1116/1.56,""))))</f>
        <v/>
      </c>
      <c r="U1116" s="3" t="n">
        <v>283</v>
      </c>
      <c r="V1116" s="3" t="n"/>
      <c r="W1116" s="3" t="n"/>
      <c r="X1116" s="4" t="n"/>
      <c r="Y1116" s="5" t="n">
        <v>0.348</v>
      </c>
      <c r="Z1116" s="4">
        <f>IF(L1116&lt;&gt;"",SQRT(3)*G1116*L1116/1000,"")</f>
        <v/>
      </c>
      <c r="AA1116" t="inlineStr">
        <is>
          <t>Source=Copeland 2D/3D/4D/4R/6D/8D/9R compressors (pdf) p50</t>
        </is>
      </c>
      <c r="AB1116" t="inlineStr">
        <is>
          <t>Copeland_RLA_230_460_3ph_60Hz.xlsx</t>
        </is>
      </c>
      <c r="AC1116" t="inlineStr">
        <is>
          <t>Recip_2D-9R</t>
        </is>
      </c>
    </row>
    <row r="1117">
      <c r="A1117" t="inlineStr">
        <is>
          <t>COPELAND</t>
        </is>
      </c>
      <c r="B1117" t="inlineStr">
        <is>
          <t>6DB3R32M0-FSD</t>
        </is>
      </c>
      <c r="D1117" t="inlineStr">
        <is>
          <t>Reciprocating Semi-hermetic</t>
        </is>
      </c>
      <c r="E1117" s="2" t="n">
        <v>3</v>
      </c>
      <c r="F1117" s="2" t="n">
        <v>60</v>
      </c>
      <c r="G1117" s="2" t="n">
        <v>460</v>
      </c>
      <c r="H1117" t="inlineStr">
        <is>
          <t>460</t>
        </is>
      </c>
      <c r="I1117" s="2" t="n">
        <v>460</v>
      </c>
      <c r="J1117" s="2" t="n">
        <v>460</v>
      </c>
      <c r="L1117" s="3" t="n"/>
      <c r="M1117" s="3" t="n"/>
      <c r="N1117" s="3" t="n">
        <v>50</v>
      </c>
      <c r="O1117" s="3" t="n"/>
      <c r="P1117" s="3">
        <f>IF(L1117&lt;&gt;"",L1117/1.4,"")</f>
        <v/>
      </c>
      <c r="Q1117" s="3">
        <f>IF(L1117&lt;&gt;"",L1117/1.56,"")</f>
        <v/>
      </c>
      <c r="R1117" s="3">
        <f>IF(M1117&lt;&gt;"",M1117/1.4,"")</f>
        <v/>
      </c>
      <c r="S1117" s="3">
        <f>IF(M1117&lt;&gt;"",M1117/1.56,"")</f>
        <v/>
      </c>
      <c r="T1117" s="3">
        <f>IF(N1117&lt;&gt;"",N1117,IF(O1117&lt;&gt;"",O1117,IF(L1117&lt;&gt;"",L1117/1.56,IF(M1117&lt;&gt;"",M1117/1.56,""))))</f>
        <v/>
      </c>
      <c r="U1117" s="3" t="n">
        <v>260</v>
      </c>
      <c r="V1117" s="3" t="n">
        <v>156</v>
      </c>
      <c r="W1117" s="3" t="n"/>
      <c r="X1117" s="4" t="n"/>
      <c r="Y1117" s="5" t="n">
        <v>0.39</v>
      </c>
      <c r="Z1117" s="4">
        <f>IF(L1117&lt;&gt;"",SQRT(3)*G1117*L1117/1000,"")</f>
        <v/>
      </c>
      <c r="AA1117" t="inlineStr">
        <is>
          <t>Source=Copeland 2D/3D/4D/4R/6D/8D/9R compressors (pdf) p50; PWS_RLA=25.0</t>
        </is>
      </c>
      <c r="AB1117" t="inlineStr">
        <is>
          <t>Copeland_RLA_230_460_3ph_60Hz.xlsx</t>
        </is>
      </c>
      <c r="AC1117" t="inlineStr">
        <is>
          <t>Recip_2D-9R</t>
        </is>
      </c>
    </row>
    <row r="1118">
      <c r="A1118" t="inlineStr">
        <is>
          <t>COPELAND</t>
        </is>
      </c>
      <c r="B1118" t="inlineStr">
        <is>
          <t>6DB3R32M0-TSK</t>
        </is>
      </c>
      <c r="D1118" t="inlineStr">
        <is>
          <t>Reciprocating Semi-hermetic</t>
        </is>
      </c>
      <c r="E1118" s="2" t="n">
        <v>3</v>
      </c>
      <c r="F1118" s="2" t="n">
        <v>60</v>
      </c>
      <c r="G1118" s="2" t="n">
        <v>230</v>
      </c>
      <c r="H1118" t="inlineStr">
        <is>
          <t>208/230</t>
        </is>
      </c>
      <c r="I1118" s="2" t="n">
        <v>208</v>
      </c>
      <c r="J1118" s="2" t="n">
        <v>230</v>
      </c>
      <c r="L1118" s="3" t="n"/>
      <c r="M1118" s="3" t="n"/>
      <c r="N1118" s="3" t="n">
        <v>105</v>
      </c>
      <c r="O1118" s="3" t="n"/>
      <c r="P1118" s="3">
        <f>IF(L1118&lt;&gt;"",L1118/1.4,"")</f>
        <v/>
      </c>
      <c r="Q1118" s="3">
        <f>IF(L1118&lt;&gt;"",L1118/1.56,"")</f>
        <v/>
      </c>
      <c r="R1118" s="3">
        <f>IF(M1118&lt;&gt;"",M1118/1.4,"")</f>
        <v/>
      </c>
      <c r="S1118" s="3">
        <f>IF(M1118&lt;&gt;"",M1118/1.56,"")</f>
        <v/>
      </c>
      <c r="T1118" s="3">
        <f>IF(N1118&lt;&gt;"",N1118,IF(O1118&lt;&gt;"",O1118,IF(L1118&lt;&gt;"",L1118/1.56,IF(M1118&lt;&gt;"",M1118/1.56,""))))</f>
        <v/>
      </c>
      <c r="U1118" s="3" t="n">
        <v>565</v>
      </c>
      <c r="V1118" s="3" t="n">
        <v>340</v>
      </c>
      <c r="W1118" s="3" t="n"/>
      <c r="X1118" s="4" t="n"/>
      <c r="Y1118" s="5" t="n">
        <v>0.08699999999999999</v>
      </c>
      <c r="Z1118" s="4">
        <f>IF(L1118&lt;&gt;"",SQRT(3)*G1118*L1118/1000,"")</f>
        <v/>
      </c>
      <c r="AA1118" t="inlineStr">
        <is>
          <t>Source=Copeland 2D/3D/4D/4R/6D/8D/9R compressors (pdf) p51; PWS_RLA=52.5</t>
        </is>
      </c>
      <c r="AB1118" t="inlineStr">
        <is>
          <t>Copeland_RLA_230_460_3ph_60Hz.xlsx</t>
        </is>
      </c>
      <c r="AC1118" t="inlineStr">
        <is>
          <t>Recip_2D-9R</t>
        </is>
      </c>
    </row>
    <row r="1119">
      <c r="A1119" t="inlineStr">
        <is>
          <t>COPELAND</t>
        </is>
      </c>
      <c r="B1119" t="inlineStr">
        <is>
          <t>6DB3R32M0-TSK</t>
        </is>
      </c>
      <c r="D1119" t="inlineStr">
        <is>
          <t>Reciprocating Semi-hermetic</t>
        </is>
      </c>
      <c r="E1119" s="2" t="n">
        <v>3</v>
      </c>
      <c r="F1119" s="2" t="n">
        <v>60</v>
      </c>
      <c r="G1119" s="2" t="n">
        <v>460</v>
      </c>
      <c r="H1119" t="inlineStr">
        <is>
          <t>460</t>
        </is>
      </c>
      <c r="I1119" s="2" t="n">
        <v>460</v>
      </c>
      <c r="J1119" s="2" t="n">
        <v>460</v>
      </c>
      <c r="L1119" s="3" t="n"/>
      <c r="M1119" s="3" t="n"/>
      <c r="N1119" s="3" t="n">
        <v>52.5</v>
      </c>
      <c r="O1119" s="3" t="n"/>
      <c r="P1119" s="3">
        <f>IF(L1119&lt;&gt;"",L1119/1.4,"")</f>
        <v/>
      </c>
      <c r="Q1119" s="3">
        <f>IF(L1119&lt;&gt;"",L1119/1.56,"")</f>
        <v/>
      </c>
      <c r="R1119" s="3">
        <f>IF(M1119&lt;&gt;"",M1119/1.4,"")</f>
        <v/>
      </c>
      <c r="S1119" s="3">
        <f>IF(M1119&lt;&gt;"",M1119/1.56,"")</f>
        <v/>
      </c>
      <c r="T1119" s="3">
        <f>IF(N1119&lt;&gt;"",N1119,IF(O1119&lt;&gt;"",O1119,IF(L1119&lt;&gt;"",L1119/1.56,IF(M1119&lt;&gt;"",M1119/1.56,""))))</f>
        <v/>
      </c>
      <c r="U1119" s="3" t="n">
        <v>283</v>
      </c>
      <c r="V1119" s="3" t="n"/>
      <c r="W1119" s="3" t="n"/>
      <c r="X1119" s="4" t="n"/>
      <c r="Y1119" s="5" t="n">
        <v>0.348</v>
      </c>
      <c r="Z1119" s="4">
        <f>IF(L1119&lt;&gt;"",SQRT(3)*G1119*L1119/1000,"")</f>
        <v/>
      </c>
      <c r="AA1119" t="inlineStr">
        <is>
          <t>Source=Copeland 2D/3D/4D/4R/6D/8D/9R compressors (pdf) p51</t>
        </is>
      </c>
      <c r="AB1119" t="inlineStr">
        <is>
          <t>Copeland_RLA_230_460_3ph_60Hz.xlsx</t>
        </is>
      </c>
      <c r="AC1119" t="inlineStr">
        <is>
          <t>Recip_2D-9R</t>
        </is>
      </c>
    </row>
    <row r="1120">
      <c r="A1120" t="inlineStr">
        <is>
          <t>COPELAND</t>
        </is>
      </c>
      <c r="B1120" t="inlineStr">
        <is>
          <t>6DB3R32ME-FSD</t>
        </is>
      </c>
      <c r="D1120" t="inlineStr">
        <is>
          <t>Reciprocating Semi-hermetic</t>
        </is>
      </c>
      <c r="E1120" s="2" t="n">
        <v>3</v>
      </c>
      <c r="F1120" s="2" t="n">
        <v>60</v>
      </c>
      <c r="G1120" s="2" t="n">
        <v>460</v>
      </c>
      <c r="H1120" t="inlineStr">
        <is>
          <t>460</t>
        </is>
      </c>
      <c r="I1120" s="2" t="n">
        <v>460</v>
      </c>
      <c r="J1120" s="2" t="n">
        <v>460</v>
      </c>
      <c r="L1120" s="3" t="n"/>
      <c r="M1120" s="3" t="n"/>
      <c r="N1120" s="3" t="n">
        <v>62.1</v>
      </c>
      <c r="O1120" s="3" t="n"/>
      <c r="P1120" s="3">
        <f>IF(L1120&lt;&gt;"",L1120/1.4,"")</f>
        <v/>
      </c>
      <c r="Q1120" s="3">
        <f>IF(L1120&lt;&gt;"",L1120/1.56,"")</f>
        <v/>
      </c>
      <c r="R1120" s="3">
        <f>IF(M1120&lt;&gt;"",M1120/1.4,"")</f>
        <v/>
      </c>
      <c r="S1120" s="3">
        <f>IF(M1120&lt;&gt;"",M1120/1.56,"")</f>
        <v/>
      </c>
      <c r="T1120" s="3">
        <f>IF(N1120&lt;&gt;"",N1120,IF(O1120&lt;&gt;"",O1120,IF(L1120&lt;&gt;"",L1120/1.56,IF(M1120&lt;&gt;"",M1120/1.56,""))))</f>
        <v/>
      </c>
      <c r="U1120" s="3" t="n">
        <v>260</v>
      </c>
      <c r="V1120" s="3" t="n">
        <v>156</v>
      </c>
      <c r="W1120" s="3" t="n"/>
      <c r="X1120" s="4" t="n"/>
      <c r="Y1120" s="5" t="n">
        <v>0.39</v>
      </c>
      <c r="Z1120" s="4">
        <f>IF(L1120&lt;&gt;"",SQRT(3)*G1120*L1120/1000,"")</f>
        <v/>
      </c>
      <c r="AA1120" t="inlineStr">
        <is>
          <t>Source=Copeland 2D/3D/4D/4R/6D/8D/9R compressors (pdf) p51; PWS_RLA=31.1</t>
        </is>
      </c>
      <c r="AB1120" t="inlineStr">
        <is>
          <t>Copeland_RLA_230_460_3ph_60Hz.xlsx</t>
        </is>
      </c>
      <c r="AC1120" t="inlineStr">
        <is>
          <t>Recip_2D-9R</t>
        </is>
      </c>
    </row>
    <row r="1121">
      <c r="A1121" t="inlineStr">
        <is>
          <t>COPELAND</t>
        </is>
      </c>
      <c r="B1121" t="inlineStr">
        <is>
          <t>6DB3R32ME-TSK</t>
        </is>
      </c>
      <c r="D1121" t="inlineStr">
        <is>
          <t>Reciprocating Semi-hermetic</t>
        </is>
      </c>
      <c r="E1121" s="2" t="n">
        <v>3</v>
      </c>
      <c r="F1121" s="2" t="n">
        <v>60</v>
      </c>
      <c r="G1121" s="2" t="n">
        <v>230</v>
      </c>
      <c r="H1121" t="inlineStr">
        <is>
          <t>208/230</t>
        </is>
      </c>
      <c r="I1121" s="2" t="n">
        <v>208</v>
      </c>
      <c r="J1121" s="2" t="n">
        <v>230</v>
      </c>
      <c r="L1121" s="3" t="n"/>
      <c r="M1121" s="3" t="n"/>
      <c r="N1121" s="3" t="n">
        <v>134.3</v>
      </c>
      <c r="O1121" s="3" t="n"/>
      <c r="P1121" s="3">
        <f>IF(L1121&lt;&gt;"",L1121/1.4,"")</f>
        <v/>
      </c>
      <c r="Q1121" s="3">
        <f>IF(L1121&lt;&gt;"",L1121/1.56,"")</f>
        <v/>
      </c>
      <c r="R1121" s="3">
        <f>IF(M1121&lt;&gt;"",M1121/1.4,"")</f>
        <v/>
      </c>
      <c r="S1121" s="3">
        <f>IF(M1121&lt;&gt;"",M1121/1.56,"")</f>
        <v/>
      </c>
      <c r="T1121" s="3">
        <f>IF(N1121&lt;&gt;"",N1121,IF(O1121&lt;&gt;"",O1121,IF(L1121&lt;&gt;"",L1121/1.56,IF(M1121&lt;&gt;"",M1121/1.56,""))))</f>
        <v/>
      </c>
      <c r="U1121" s="3" t="n">
        <v>565</v>
      </c>
      <c r="V1121" s="3" t="n">
        <v>340</v>
      </c>
      <c r="W1121" s="3" t="n"/>
      <c r="X1121" s="4" t="n"/>
      <c r="Y1121" s="5" t="n">
        <v>0.08699999999999999</v>
      </c>
      <c r="Z1121" s="4">
        <f>IF(L1121&lt;&gt;"",SQRT(3)*G1121*L1121/1000,"")</f>
        <v/>
      </c>
      <c r="AA1121" t="inlineStr">
        <is>
          <t>Source=Copeland 2D/3D/4D/4R/6D/8D/9R compressors (pdf) p51; PWS_RLA=67.1</t>
        </is>
      </c>
      <c r="AB1121" t="inlineStr">
        <is>
          <t>Copeland_RLA_230_460_3ph_60Hz.xlsx</t>
        </is>
      </c>
      <c r="AC1121" t="inlineStr">
        <is>
          <t>Recip_2D-9R</t>
        </is>
      </c>
    </row>
    <row r="1122">
      <c r="A1122" t="inlineStr">
        <is>
          <t>COPELAND</t>
        </is>
      </c>
      <c r="B1122" t="inlineStr">
        <is>
          <t>6DB3R32ME-TSK</t>
        </is>
      </c>
      <c r="D1122" t="inlineStr">
        <is>
          <t>Reciprocating Semi-hermetic</t>
        </is>
      </c>
      <c r="E1122" s="2" t="n">
        <v>3</v>
      </c>
      <c r="F1122" s="2" t="n">
        <v>60</v>
      </c>
      <c r="G1122" s="2" t="n">
        <v>460</v>
      </c>
      <c r="H1122" t="inlineStr">
        <is>
          <t>460</t>
        </is>
      </c>
      <c r="I1122" s="2" t="n">
        <v>460</v>
      </c>
      <c r="J1122" s="2" t="n">
        <v>460</v>
      </c>
      <c r="L1122" s="3" t="n"/>
      <c r="M1122" s="3" t="n"/>
      <c r="N1122" s="3" t="n">
        <v>67.09999999999999</v>
      </c>
      <c r="O1122" s="3" t="n"/>
      <c r="P1122" s="3">
        <f>IF(L1122&lt;&gt;"",L1122/1.4,"")</f>
        <v/>
      </c>
      <c r="Q1122" s="3">
        <f>IF(L1122&lt;&gt;"",L1122/1.56,"")</f>
        <v/>
      </c>
      <c r="R1122" s="3">
        <f>IF(M1122&lt;&gt;"",M1122/1.4,"")</f>
        <v/>
      </c>
      <c r="S1122" s="3">
        <f>IF(M1122&lt;&gt;"",M1122/1.56,"")</f>
        <v/>
      </c>
      <c r="T1122" s="3">
        <f>IF(N1122&lt;&gt;"",N1122,IF(O1122&lt;&gt;"",O1122,IF(L1122&lt;&gt;"",L1122/1.56,IF(M1122&lt;&gt;"",M1122/1.56,""))))</f>
        <v/>
      </c>
      <c r="U1122" s="3" t="n">
        <v>283</v>
      </c>
      <c r="V1122" s="3" t="n"/>
      <c r="W1122" s="3" t="n"/>
      <c r="X1122" s="4" t="n"/>
      <c r="Y1122" s="5" t="n">
        <v>0.348</v>
      </c>
      <c r="Z1122" s="4">
        <f>IF(L1122&lt;&gt;"",SQRT(3)*G1122*L1122/1000,"")</f>
        <v/>
      </c>
      <c r="AA1122" t="inlineStr">
        <is>
          <t>Source=Copeland 2D/3D/4D/4R/6D/8D/9R compressors (pdf) p51</t>
        </is>
      </c>
      <c r="AB1122" t="inlineStr">
        <is>
          <t>Copeland_RLA_230_460_3ph_60Hz.xlsx</t>
        </is>
      </c>
      <c r="AC1122" t="inlineStr">
        <is>
          <t>Recip_2D-9R</t>
        </is>
      </c>
    </row>
    <row r="1123">
      <c r="A1123" t="inlineStr">
        <is>
          <t>COPELAND</t>
        </is>
      </c>
      <c r="B1123" t="inlineStr">
        <is>
          <t>6DB3R32ML-FSD</t>
        </is>
      </c>
      <c r="D1123" t="inlineStr">
        <is>
          <t>Reciprocating Semi-hermetic</t>
        </is>
      </c>
      <c r="E1123" s="2" t="n">
        <v>3</v>
      </c>
      <c r="F1123" s="2" t="n">
        <v>60</v>
      </c>
      <c r="G1123" s="2" t="n">
        <v>460</v>
      </c>
      <c r="H1123" t="inlineStr">
        <is>
          <t>460</t>
        </is>
      </c>
      <c r="I1123" s="2" t="n">
        <v>460</v>
      </c>
      <c r="J1123" s="2" t="n">
        <v>460</v>
      </c>
      <c r="L1123" s="3" t="n"/>
      <c r="M1123" s="3" t="n"/>
      <c r="N1123" s="3" t="n">
        <v>62.1</v>
      </c>
      <c r="O1123" s="3" t="n"/>
      <c r="P1123" s="3">
        <f>IF(L1123&lt;&gt;"",L1123/1.4,"")</f>
        <v/>
      </c>
      <c r="Q1123" s="3">
        <f>IF(L1123&lt;&gt;"",L1123/1.56,"")</f>
        <v/>
      </c>
      <c r="R1123" s="3">
        <f>IF(M1123&lt;&gt;"",M1123/1.4,"")</f>
        <v/>
      </c>
      <c r="S1123" s="3">
        <f>IF(M1123&lt;&gt;"",M1123/1.56,"")</f>
        <v/>
      </c>
      <c r="T1123" s="3">
        <f>IF(N1123&lt;&gt;"",N1123,IF(O1123&lt;&gt;"",O1123,IF(L1123&lt;&gt;"",L1123/1.56,IF(M1123&lt;&gt;"",M1123/1.56,""))))</f>
        <v/>
      </c>
      <c r="U1123" s="3" t="n">
        <v>260</v>
      </c>
      <c r="V1123" s="3" t="n">
        <v>156</v>
      </c>
      <c r="W1123" s="3" t="n"/>
      <c r="X1123" s="4" t="n"/>
      <c r="Y1123" s="5" t="n">
        <v>0.39</v>
      </c>
      <c r="Z1123" s="4">
        <f>IF(L1123&lt;&gt;"",SQRT(3)*G1123*L1123/1000,"")</f>
        <v/>
      </c>
      <c r="AA1123" t="inlineStr">
        <is>
          <t>Source=Copeland 2D/3D/4D/4R/6D/8D/9R compressors (pdf) p51; PWS_RLA=31.1</t>
        </is>
      </c>
      <c r="AB1123" t="inlineStr">
        <is>
          <t>Copeland_RLA_230_460_3ph_60Hz.xlsx</t>
        </is>
      </c>
      <c r="AC1123" t="inlineStr">
        <is>
          <t>Recip_2D-9R</t>
        </is>
      </c>
    </row>
    <row r="1124">
      <c r="A1124" t="inlineStr">
        <is>
          <t>COPELAND</t>
        </is>
      </c>
      <c r="B1124" t="inlineStr">
        <is>
          <t>6DB3R32ML-TSK</t>
        </is>
      </c>
      <c r="D1124" t="inlineStr">
        <is>
          <t>Reciprocating Semi-hermetic</t>
        </is>
      </c>
      <c r="E1124" s="2" t="n">
        <v>3</v>
      </c>
      <c r="F1124" s="2" t="n">
        <v>60</v>
      </c>
      <c r="G1124" s="2" t="n">
        <v>230</v>
      </c>
      <c r="H1124" t="inlineStr">
        <is>
          <t>208/230</t>
        </is>
      </c>
      <c r="I1124" s="2" t="n">
        <v>208</v>
      </c>
      <c r="J1124" s="2" t="n">
        <v>230</v>
      </c>
      <c r="L1124" s="3" t="n"/>
      <c r="M1124" s="3" t="n"/>
      <c r="N1124" s="3" t="n">
        <v>134.3</v>
      </c>
      <c r="O1124" s="3" t="n"/>
      <c r="P1124" s="3">
        <f>IF(L1124&lt;&gt;"",L1124/1.4,"")</f>
        <v/>
      </c>
      <c r="Q1124" s="3">
        <f>IF(L1124&lt;&gt;"",L1124/1.56,"")</f>
        <v/>
      </c>
      <c r="R1124" s="3">
        <f>IF(M1124&lt;&gt;"",M1124/1.4,"")</f>
        <v/>
      </c>
      <c r="S1124" s="3">
        <f>IF(M1124&lt;&gt;"",M1124/1.56,"")</f>
        <v/>
      </c>
      <c r="T1124" s="3">
        <f>IF(N1124&lt;&gt;"",N1124,IF(O1124&lt;&gt;"",O1124,IF(L1124&lt;&gt;"",L1124/1.56,IF(M1124&lt;&gt;"",M1124/1.56,""))))</f>
        <v/>
      </c>
      <c r="U1124" s="3" t="n">
        <v>565</v>
      </c>
      <c r="V1124" s="3" t="n">
        <v>340</v>
      </c>
      <c r="W1124" s="3" t="n"/>
      <c r="X1124" s="4" t="n"/>
      <c r="Y1124" s="5" t="n">
        <v>0.08699999999999999</v>
      </c>
      <c r="Z1124" s="4">
        <f>IF(L1124&lt;&gt;"",SQRT(3)*G1124*L1124/1000,"")</f>
        <v/>
      </c>
      <c r="AA1124" t="inlineStr">
        <is>
          <t>Source=Copeland 2D/3D/4D/4R/6D/8D/9R compressors (pdf) p51; PWS_RLA=67.1</t>
        </is>
      </c>
      <c r="AB1124" t="inlineStr">
        <is>
          <t>Copeland_RLA_230_460_3ph_60Hz.xlsx</t>
        </is>
      </c>
      <c r="AC1124" t="inlineStr">
        <is>
          <t>Recip_2D-9R</t>
        </is>
      </c>
    </row>
    <row r="1125">
      <c r="A1125" t="inlineStr">
        <is>
          <t>COPELAND</t>
        </is>
      </c>
      <c r="B1125" t="inlineStr">
        <is>
          <t>6DB3R32ML-TSK</t>
        </is>
      </c>
      <c r="D1125" t="inlineStr">
        <is>
          <t>Reciprocating Semi-hermetic</t>
        </is>
      </c>
      <c r="E1125" s="2" t="n">
        <v>3</v>
      </c>
      <c r="F1125" s="2" t="n">
        <v>60</v>
      </c>
      <c r="G1125" s="2" t="n">
        <v>460</v>
      </c>
      <c r="H1125" t="inlineStr">
        <is>
          <t>460</t>
        </is>
      </c>
      <c r="I1125" s="2" t="n">
        <v>460</v>
      </c>
      <c r="J1125" s="2" t="n">
        <v>460</v>
      </c>
      <c r="L1125" s="3" t="n"/>
      <c r="M1125" s="3" t="n"/>
      <c r="N1125" s="3" t="n">
        <v>67.09999999999999</v>
      </c>
      <c r="O1125" s="3" t="n"/>
      <c r="P1125" s="3">
        <f>IF(L1125&lt;&gt;"",L1125/1.4,"")</f>
        <v/>
      </c>
      <c r="Q1125" s="3">
        <f>IF(L1125&lt;&gt;"",L1125/1.56,"")</f>
        <v/>
      </c>
      <c r="R1125" s="3">
        <f>IF(M1125&lt;&gt;"",M1125/1.4,"")</f>
        <v/>
      </c>
      <c r="S1125" s="3">
        <f>IF(M1125&lt;&gt;"",M1125/1.56,"")</f>
        <v/>
      </c>
      <c r="T1125" s="3">
        <f>IF(N1125&lt;&gt;"",N1125,IF(O1125&lt;&gt;"",O1125,IF(L1125&lt;&gt;"",L1125/1.56,IF(M1125&lt;&gt;"",M1125/1.56,""))))</f>
        <v/>
      </c>
      <c r="U1125" s="3" t="n">
        <v>283</v>
      </c>
      <c r="V1125" s="3" t="n"/>
      <c r="W1125" s="3" t="n"/>
      <c r="X1125" s="4" t="n"/>
      <c r="Y1125" s="5" t="n">
        <v>0.348</v>
      </c>
      <c r="Z1125" s="4">
        <f>IF(L1125&lt;&gt;"",SQRT(3)*G1125*L1125/1000,"")</f>
        <v/>
      </c>
      <c r="AA1125" t="inlineStr">
        <is>
          <t>Source=Copeland 2D/3D/4D/4R/6D/8D/9R compressors (pdf) p51</t>
        </is>
      </c>
      <c r="AB1125" t="inlineStr">
        <is>
          <t>Copeland_RLA_230_460_3ph_60Hz.xlsx</t>
        </is>
      </c>
      <c r="AC1125" t="inlineStr">
        <is>
          <t>Recip_2D-9R</t>
        </is>
      </c>
    </row>
    <row r="1126">
      <c r="A1126" t="inlineStr">
        <is>
          <t>COPELAND</t>
        </is>
      </c>
      <c r="B1126" t="inlineStr">
        <is>
          <t>6DBG-3000-FSD</t>
        </is>
      </c>
      <c r="D1126" t="inlineStr">
        <is>
          <t>Reciprocating Semi-hermetic</t>
        </is>
      </c>
      <c r="E1126" s="2" t="n">
        <v>3</v>
      </c>
      <c r="F1126" s="2" t="n">
        <v>60</v>
      </c>
      <c r="G1126" s="2" t="n">
        <v>460</v>
      </c>
      <c r="H1126" t="inlineStr">
        <is>
          <t>460</t>
        </is>
      </c>
      <c r="I1126" s="2" t="n">
        <v>460</v>
      </c>
      <c r="J1126" s="2" t="n">
        <v>460</v>
      </c>
      <c r="L1126" s="3" t="n"/>
      <c r="M1126" s="3" t="n"/>
      <c r="N1126" s="3" t="n">
        <v>50</v>
      </c>
      <c r="O1126" s="3" t="n"/>
      <c r="P1126" s="3">
        <f>IF(L1126&lt;&gt;"",L1126/1.4,"")</f>
        <v/>
      </c>
      <c r="Q1126" s="3">
        <f>IF(L1126&lt;&gt;"",L1126/1.56,"")</f>
        <v/>
      </c>
      <c r="R1126" s="3">
        <f>IF(M1126&lt;&gt;"",M1126/1.4,"")</f>
        <v/>
      </c>
      <c r="S1126" s="3">
        <f>IF(M1126&lt;&gt;"",M1126/1.56,"")</f>
        <v/>
      </c>
      <c r="T1126" s="3">
        <f>IF(N1126&lt;&gt;"",N1126,IF(O1126&lt;&gt;"",O1126,IF(L1126&lt;&gt;"",L1126/1.56,IF(M1126&lt;&gt;"",M1126/1.56,""))))</f>
        <v/>
      </c>
      <c r="U1126" s="3" t="n">
        <v>260</v>
      </c>
      <c r="V1126" s="3" t="n">
        <v>156</v>
      </c>
      <c r="W1126" s="3" t="n"/>
      <c r="X1126" s="4" t="n"/>
      <c r="Y1126" s="5" t="n">
        <v>0.39</v>
      </c>
      <c r="Z1126" s="4">
        <f>IF(L1126&lt;&gt;"",SQRT(3)*G1126*L1126/1000,"")</f>
        <v/>
      </c>
      <c r="AA1126" t="inlineStr">
        <is>
          <t>Source=Copeland 2D/3D/4D/4R/6D/8D/9R compressors (pdf) p51; PWS_RLA=25.0</t>
        </is>
      </c>
      <c r="AB1126" t="inlineStr">
        <is>
          <t>Copeland_RLA_230_460_3ph_60Hz.xlsx</t>
        </is>
      </c>
      <c r="AC1126" t="inlineStr">
        <is>
          <t>Recip_2D-9R</t>
        </is>
      </c>
    </row>
    <row r="1127">
      <c r="A1127" t="inlineStr">
        <is>
          <t>COPELAND</t>
        </is>
      </c>
      <c r="B1127" t="inlineStr">
        <is>
          <t>6DC1-2700-TSK</t>
        </is>
      </c>
      <c r="D1127" t="inlineStr">
        <is>
          <t>Reciprocating Semi-hermetic</t>
        </is>
      </c>
      <c r="E1127" s="2" t="n">
        <v>3</v>
      </c>
      <c r="F1127" s="2" t="n">
        <v>60</v>
      </c>
      <c r="G1127" s="2" t="n">
        <v>230</v>
      </c>
      <c r="H1127" t="inlineStr">
        <is>
          <t>208/230</t>
        </is>
      </c>
      <c r="I1127" s="2" t="n">
        <v>208</v>
      </c>
      <c r="J1127" s="2" t="n">
        <v>230</v>
      </c>
      <c r="L1127" s="3" t="n"/>
      <c r="M1127" s="3" t="n"/>
      <c r="N1127" s="3" t="n">
        <v>89.3</v>
      </c>
      <c r="O1127" s="3" t="n"/>
      <c r="P1127" s="3">
        <f>IF(L1127&lt;&gt;"",L1127/1.4,"")</f>
        <v/>
      </c>
      <c r="Q1127" s="3">
        <f>IF(L1127&lt;&gt;"",L1127/1.56,"")</f>
        <v/>
      </c>
      <c r="R1127" s="3">
        <f>IF(M1127&lt;&gt;"",M1127/1.4,"")</f>
        <v/>
      </c>
      <c r="S1127" s="3">
        <f>IF(M1127&lt;&gt;"",M1127/1.56,"")</f>
        <v/>
      </c>
      <c r="T1127" s="3">
        <f>IF(N1127&lt;&gt;"",N1127,IF(O1127&lt;&gt;"",O1127,IF(L1127&lt;&gt;"",L1127/1.56,IF(M1127&lt;&gt;"",M1127/1.56,""))))</f>
        <v/>
      </c>
      <c r="U1127" s="3" t="n">
        <v>450</v>
      </c>
      <c r="V1127" s="3" t="n">
        <v>263</v>
      </c>
      <c r="W1127" s="3" t="n"/>
      <c r="X1127" s="4" t="n"/>
      <c r="Y1127" s="5" t="n">
        <v>0.114</v>
      </c>
      <c r="Z1127" s="4">
        <f>IF(L1127&lt;&gt;"",SQRT(3)*G1127*L1127/1000,"")</f>
        <v/>
      </c>
      <c r="AA1127" t="inlineStr">
        <is>
          <t>Source=Copeland 2D/3D/4D/4R/6D/8D/9R compressors (pdf) p51; PWS_RLA=44.7</t>
        </is>
      </c>
      <c r="AB1127" t="inlineStr">
        <is>
          <t>Copeland_RLA_230_460_3ph_60Hz.xlsx</t>
        </is>
      </c>
      <c r="AC1127" t="inlineStr">
        <is>
          <t>Recip_2D-9R</t>
        </is>
      </c>
    </row>
    <row r="1128">
      <c r="A1128" t="inlineStr">
        <is>
          <t>COPELAND</t>
        </is>
      </c>
      <c r="B1128" t="inlineStr">
        <is>
          <t>6DC1-2700-TSK</t>
        </is>
      </c>
      <c r="D1128" t="inlineStr">
        <is>
          <t>Reciprocating Semi-hermetic</t>
        </is>
      </c>
      <c r="E1128" s="2" t="n">
        <v>3</v>
      </c>
      <c r="F1128" s="2" t="n">
        <v>60</v>
      </c>
      <c r="G1128" s="2" t="n">
        <v>460</v>
      </c>
      <c r="H1128" t="inlineStr">
        <is>
          <t>460</t>
        </is>
      </c>
      <c r="I1128" s="2" t="n">
        <v>460</v>
      </c>
      <c r="J1128" s="2" t="n">
        <v>460</v>
      </c>
      <c r="L1128" s="3" t="n"/>
      <c r="M1128" s="3" t="n"/>
      <c r="N1128" s="3" t="n">
        <v>44.6</v>
      </c>
      <c r="O1128" s="3" t="n"/>
      <c r="P1128" s="3">
        <f>IF(L1128&lt;&gt;"",L1128/1.4,"")</f>
        <v/>
      </c>
      <c r="Q1128" s="3">
        <f>IF(L1128&lt;&gt;"",L1128/1.56,"")</f>
        <v/>
      </c>
      <c r="R1128" s="3">
        <f>IF(M1128&lt;&gt;"",M1128/1.4,"")</f>
        <v/>
      </c>
      <c r="S1128" s="3">
        <f>IF(M1128&lt;&gt;"",M1128/1.56,"")</f>
        <v/>
      </c>
      <c r="T1128" s="3">
        <f>IF(N1128&lt;&gt;"",N1128,IF(O1128&lt;&gt;"",O1128,IF(L1128&lt;&gt;"",L1128/1.56,IF(M1128&lt;&gt;"",M1128/1.56,""))))</f>
        <v/>
      </c>
      <c r="U1128" s="3" t="n">
        <v>225</v>
      </c>
      <c r="V1128" s="3" t="n"/>
      <c r="W1128" s="3" t="n"/>
      <c r="X1128" s="4" t="n"/>
      <c r="Y1128" s="5" t="n">
        <v>0.456</v>
      </c>
      <c r="Z1128" s="4">
        <f>IF(L1128&lt;&gt;"",SQRT(3)*G1128*L1128/1000,"")</f>
        <v/>
      </c>
      <c r="AA1128" t="inlineStr">
        <is>
          <t>Source=Copeland 2D/3D/4D/4R/6D/8D/9R compressors (pdf) p51</t>
        </is>
      </c>
      <c r="AB1128" t="inlineStr">
        <is>
          <t>Copeland_RLA_230_460_3ph_60Hz.xlsx</t>
        </is>
      </c>
      <c r="AC1128" t="inlineStr">
        <is>
          <t>Recip_2D-9R</t>
        </is>
      </c>
    </row>
    <row r="1129">
      <c r="A1129" t="inlineStr">
        <is>
          <t>COPELAND</t>
        </is>
      </c>
      <c r="B1129" t="inlineStr">
        <is>
          <t>6DC1A2700-TSK</t>
        </is>
      </c>
      <c r="D1129" t="inlineStr">
        <is>
          <t>Reciprocating Semi-hermetic</t>
        </is>
      </c>
      <c r="E1129" s="2" t="n">
        <v>3</v>
      </c>
      <c r="F1129" s="2" t="n">
        <v>60</v>
      </c>
      <c r="G1129" s="2" t="n">
        <v>230</v>
      </c>
      <c r="H1129" t="inlineStr">
        <is>
          <t>208/230</t>
        </is>
      </c>
      <c r="I1129" s="2" t="n">
        <v>208</v>
      </c>
      <c r="J1129" s="2" t="n">
        <v>230</v>
      </c>
      <c r="L1129" s="3" t="n"/>
      <c r="M1129" s="3" t="n"/>
      <c r="N1129" s="3" t="n">
        <v>89.3</v>
      </c>
      <c r="O1129" s="3" t="n"/>
      <c r="P1129" s="3">
        <f>IF(L1129&lt;&gt;"",L1129/1.4,"")</f>
        <v/>
      </c>
      <c r="Q1129" s="3">
        <f>IF(L1129&lt;&gt;"",L1129/1.56,"")</f>
        <v/>
      </c>
      <c r="R1129" s="3">
        <f>IF(M1129&lt;&gt;"",M1129/1.4,"")</f>
        <v/>
      </c>
      <c r="S1129" s="3">
        <f>IF(M1129&lt;&gt;"",M1129/1.56,"")</f>
        <v/>
      </c>
      <c r="T1129" s="3">
        <f>IF(N1129&lt;&gt;"",N1129,IF(O1129&lt;&gt;"",O1129,IF(L1129&lt;&gt;"",L1129/1.56,IF(M1129&lt;&gt;"",M1129/1.56,""))))</f>
        <v/>
      </c>
      <c r="U1129" s="3" t="n">
        <v>450</v>
      </c>
      <c r="V1129" s="3" t="n">
        <v>263</v>
      </c>
      <c r="W1129" s="3" t="n"/>
      <c r="X1129" s="4" t="n"/>
      <c r="Y1129" s="5" t="n">
        <v>0.114</v>
      </c>
      <c r="Z1129" s="4">
        <f>IF(L1129&lt;&gt;"",SQRT(3)*G1129*L1129/1000,"")</f>
        <v/>
      </c>
      <c r="AA1129" t="inlineStr">
        <is>
          <t>Source=Copeland 2D/3D/4D/4R/6D/8D/9R compressors (pdf) p51; PWS_RLA=44.7</t>
        </is>
      </c>
      <c r="AB1129" t="inlineStr">
        <is>
          <t>Copeland_RLA_230_460_3ph_60Hz.xlsx</t>
        </is>
      </c>
      <c r="AC1129" t="inlineStr">
        <is>
          <t>Recip_2D-9R</t>
        </is>
      </c>
    </row>
    <row r="1130">
      <c r="A1130" t="inlineStr">
        <is>
          <t>COPELAND</t>
        </is>
      </c>
      <c r="B1130" t="inlineStr">
        <is>
          <t>6DC1A2700-TSK</t>
        </is>
      </c>
      <c r="D1130" t="inlineStr">
        <is>
          <t>Reciprocating Semi-hermetic</t>
        </is>
      </c>
      <c r="E1130" s="2" t="n">
        <v>3</v>
      </c>
      <c r="F1130" s="2" t="n">
        <v>60</v>
      </c>
      <c r="G1130" s="2" t="n">
        <v>460</v>
      </c>
      <c r="H1130" t="inlineStr">
        <is>
          <t>460</t>
        </is>
      </c>
      <c r="I1130" s="2" t="n">
        <v>460</v>
      </c>
      <c r="J1130" s="2" t="n">
        <v>460</v>
      </c>
      <c r="L1130" s="3" t="n"/>
      <c r="M1130" s="3" t="n"/>
      <c r="N1130" s="3" t="n">
        <v>44.6</v>
      </c>
      <c r="O1130" s="3" t="n"/>
      <c r="P1130" s="3">
        <f>IF(L1130&lt;&gt;"",L1130/1.4,"")</f>
        <v/>
      </c>
      <c r="Q1130" s="3">
        <f>IF(L1130&lt;&gt;"",L1130/1.56,"")</f>
        <v/>
      </c>
      <c r="R1130" s="3">
        <f>IF(M1130&lt;&gt;"",M1130/1.4,"")</f>
        <v/>
      </c>
      <c r="S1130" s="3">
        <f>IF(M1130&lt;&gt;"",M1130/1.56,"")</f>
        <v/>
      </c>
      <c r="T1130" s="3">
        <f>IF(N1130&lt;&gt;"",N1130,IF(O1130&lt;&gt;"",O1130,IF(L1130&lt;&gt;"",L1130/1.56,IF(M1130&lt;&gt;"",M1130/1.56,""))))</f>
        <v/>
      </c>
      <c r="U1130" s="3" t="n">
        <v>225</v>
      </c>
      <c r="V1130" s="3" t="n"/>
      <c r="W1130" s="3" t="n"/>
      <c r="X1130" s="4" t="n"/>
      <c r="Y1130" s="5" t="n">
        <v>0.456</v>
      </c>
      <c r="Z1130" s="4">
        <f>IF(L1130&lt;&gt;"",SQRT(3)*G1130*L1130/1000,"")</f>
        <v/>
      </c>
      <c r="AA1130" t="inlineStr">
        <is>
          <t>Source=Copeland 2D/3D/4D/4R/6D/8D/9R compressors (pdf) p51</t>
        </is>
      </c>
      <c r="AB1130" t="inlineStr">
        <is>
          <t>Copeland_RLA_230_460_3ph_60Hz.xlsx</t>
        </is>
      </c>
      <c r="AC1130" t="inlineStr">
        <is>
          <t>Recip_2D-9R</t>
        </is>
      </c>
    </row>
    <row r="1131">
      <c r="A1131" t="inlineStr">
        <is>
          <t>COPELAND</t>
        </is>
      </c>
      <c r="B1131" t="inlineStr">
        <is>
          <t>6DC3-2700-FSD</t>
        </is>
      </c>
      <c r="D1131" t="inlineStr">
        <is>
          <t>Reciprocating Semi-hermetic</t>
        </is>
      </c>
      <c r="E1131" s="2" t="n">
        <v>3</v>
      </c>
      <c r="F1131" s="2" t="n">
        <v>60</v>
      </c>
      <c r="G1131" s="2" t="n">
        <v>460</v>
      </c>
      <c r="H1131" t="inlineStr">
        <is>
          <t>460</t>
        </is>
      </c>
      <c r="I1131" s="2" t="n">
        <v>460</v>
      </c>
      <c r="J1131" s="2" t="n">
        <v>460</v>
      </c>
      <c r="L1131" s="3" t="n"/>
      <c r="M1131" s="3" t="n"/>
      <c r="N1131" s="3" t="n">
        <v>41.6</v>
      </c>
      <c r="O1131" s="3" t="n"/>
      <c r="P1131" s="3">
        <f>IF(L1131&lt;&gt;"",L1131/1.4,"")</f>
        <v/>
      </c>
      <c r="Q1131" s="3">
        <f>IF(L1131&lt;&gt;"",L1131/1.56,"")</f>
        <v/>
      </c>
      <c r="R1131" s="3">
        <f>IF(M1131&lt;&gt;"",M1131/1.4,"")</f>
        <v/>
      </c>
      <c r="S1131" s="3">
        <f>IF(M1131&lt;&gt;"",M1131/1.56,"")</f>
        <v/>
      </c>
      <c r="T1131" s="3">
        <f>IF(N1131&lt;&gt;"",N1131,IF(O1131&lt;&gt;"",O1131,IF(L1131&lt;&gt;"",L1131/1.56,IF(M1131&lt;&gt;"",M1131/1.56,""))))</f>
        <v/>
      </c>
      <c r="U1131" s="3" t="n">
        <v>218</v>
      </c>
      <c r="V1131" s="3" t="n">
        <v>131</v>
      </c>
      <c r="W1131" s="3" t="n"/>
      <c r="X1131" s="4" t="n"/>
      <c r="Y1131" s="5" t="n">
        <v>0.457</v>
      </c>
      <c r="Z1131" s="4">
        <f>IF(L1131&lt;&gt;"",SQRT(3)*G1131*L1131/1000,"")</f>
        <v/>
      </c>
      <c r="AA1131" t="inlineStr">
        <is>
          <t>Source=Copeland 2D/3D/4D/4R/6D/8D/9R compressors (pdf) p51; PWS_RLA=20.8</t>
        </is>
      </c>
      <c r="AB1131" t="inlineStr">
        <is>
          <t>Copeland_RLA_230_460_3ph_60Hz.xlsx</t>
        </is>
      </c>
      <c r="AC1131" t="inlineStr">
        <is>
          <t>Recip_2D-9R</t>
        </is>
      </c>
    </row>
    <row r="1132">
      <c r="A1132" t="inlineStr">
        <is>
          <t>COPELAND</t>
        </is>
      </c>
      <c r="B1132" t="inlineStr">
        <is>
          <t>6DC3-2700-TSK</t>
        </is>
      </c>
      <c r="D1132" t="inlineStr">
        <is>
          <t>Reciprocating Semi-hermetic</t>
        </is>
      </c>
      <c r="E1132" s="2" t="n">
        <v>3</v>
      </c>
      <c r="F1132" s="2" t="n">
        <v>60</v>
      </c>
      <c r="G1132" s="2" t="n">
        <v>230</v>
      </c>
      <c r="H1132" t="inlineStr">
        <is>
          <t>208/230</t>
        </is>
      </c>
      <c r="I1132" s="2" t="n">
        <v>208</v>
      </c>
      <c r="J1132" s="2" t="n">
        <v>230</v>
      </c>
      <c r="L1132" s="3" t="n"/>
      <c r="M1132" s="3" t="n"/>
      <c r="N1132" s="3" t="n">
        <v>80.7</v>
      </c>
      <c r="O1132" s="3" t="n"/>
      <c r="P1132" s="3">
        <f>IF(L1132&lt;&gt;"",L1132/1.4,"")</f>
        <v/>
      </c>
      <c r="Q1132" s="3">
        <f>IF(L1132&lt;&gt;"",L1132/1.56,"")</f>
        <v/>
      </c>
      <c r="R1132" s="3">
        <f>IF(M1132&lt;&gt;"",M1132/1.4,"")</f>
        <v/>
      </c>
      <c r="S1132" s="3">
        <f>IF(M1132&lt;&gt;"",M1132/1.56,"")</f>
        <v/>
      </c>
      <c r="T1132" s="3">
        <f>IF(N1132&lt;&gt;"",N1132,IF(O1132&lt;&gt;"",O1132,IF(L1132&lt;&gt;"",L1132/1.56,IF(M1132&lt;&gt;"",M1132/1.56,""))))</f>
        <v/>
      </c>
      <c r="U1132" s="3" t="n">
        <v>450</v>
      </c>
      <c r="V1132" s="3" t="n">
        <v>263</v>
      </c>
      <c r="W1132" s="3" t="n"/>
      <c r="X1132" s="4" t="n"/>
      <c r="Y1132" s="5" t="n">
        <v>0.114</v>
      </c>
      <c r="Z1132" s="4">
        <f>IF(L1132&lt;&gt;"",SQRT(3)*G1132*L1132/1000,"")</f>
        <v/>
      </c>
      <c r="AA1132" t="inlineStr">
        <is>
          <t>Source=Copeland 2D/3D/4D/4R/6D/8D/9R compressors (pdf) p51; PWS_RLA=40.4</t>
        </is>
      </c>
      <c r="AB1132" t="inlineStr">
        <is>
          <t>Copeland_RLA_230_460_3ph_60Hz.xlsx</t>
        </is>
      </c>
      <c r="AC1132" t="inlineStr">
        <is>
          <t>Recip_2D-9R</t>
        </is>
      </c>
    </row>
    <row r="1133">
      <c r="A1133" t="inlineStr">
        <is>
          <t>COPELAND</t>
        </is>
      </c>
      <c r="B1133" t="inlineStr">
        <is>
          <t>6DC3-2700-TSK</t>
        </is>
      </c>
      <c r="D1133" t="inlineStr">
        <is>
          <t>Reciprocating Semi-hermetic</t>
        </is>
      </c>
      <c r="E1133" s="2" t="n">
        <v>3</v>
      </c>
      <c r="F1133" s="2" t="n">
        <v>60</v>
      </c>
      <c r="G1133" s="2" t="n">
        <v>460</v>
      </c>
      <c r="H1133" t="inlineStr">
        <is>
          <t>460</t>
        </is>
      </c>
      <c r="I1133" s="2" t="n">
        <v>460</v>
      </c>
      <c r="J1133" s="2" t="n">
        <v>460</v>
      </c>
      <c r="L1133" s="3" t="n"/>
      <c r="M1133" s="3" t="n"/>
      <c r="N1133" s="3" t="n">
        <v>40.4</v>
      </c>
      <c r="O1133" s="3" t="n"/>
      <c r="P1133" s="3">
        <f>IF(L1133&lt;&gt;"",L1133/1.4,"")</f>
        <v/>
      </c>
      <c r="Q1133" s="3">
        <f>IF(L1133&lt;&gt;"",L1133/1.56,"")</f>
        <v/>
      </c>
      <c r="R1133" s="3">
        <f>IF(M1133&lt;&gt;"",M1133/1.4,"")</f>
        <v/>
      </c>
      <c r="S1133" s="3">
        <f>IF(M1133&lt;&gt;"",M1133/1.56,"")</f>
        <v/>
      </c>
      <c r="T1133" s="3">
        <f>IF(N1133&lt;&gt;"",N1133,IF(O1133&lt;&gt;"",O1133,IF(L1133&lt;&gt;"",L1133/1.56,IF(M1133&lt;&gt;"",M1133/1.56,""))))</f>
        <v/>
      </c>
      <c r="U1133" s="3" t="n">
        <v>225</v>
      </c>
      <c r="V1133" s="3" t="n"/>
      <c r="W1133" s="3" t="n"/>
      <c r="X1133" s="4" t="n"/>
      <c r="Y1133" s="5" t="n">
        <v>0.456</v>
      </c>
      <c r="Z1133" s="4">
        <f>IF(L1133&lt;&gt;"",SQRT(3)*G1133*L1133/1000,"")</f>
        <v/>
      </c>
      <c r="AA1133" t="inlineStr">
        <is>
          <t>Source=Copeland 2D/3D/4D/4R/6D/8D/9R compressors (pdf) p51</t>
        </is>
      </c>
      <c r="AB1133" t="inlineStr">
        <is>
          <t>Copeland_RLA_230_460_3ph_60Hz.xlsx</t>
        </is>
      </c>
      <c r="AC1133" t="inlineStr">
        <is>
          <t>Recip_2D-9R</t>
        </is>
      </c>
    </row>
    <row r="1134">
      <c r="A1134" t="inlineStr">
        <is>
          <t>COPELAND</t>
        </is>
      </c>
      <c r="B1134" t="inlineStr">
        <is>
          <t>6DC3-270E-FSD</t>
        </is>
      </c>
      <c r="D1134" t="inlineStr">
        <is>
          <t>Reciprocating Semi-hermetic</t>
        </is>
      </c>
      <c r="E1134" s="2" t="n">
        <v>3</v>
      </c>
      <c r="F1134" s="2" t="n">
        <v>60</v>
      </c>
      <c r="G1134" s="2" t="n">
        <v>460</v>
      </c>
      <c r="H1134" t="inlineStr">
        <is>
          <t>460</t>
        </is>
      </c>
      <c r="I1134" s="2" t="n">
        <v>460</v>
      </c>
      <c r="J1134" s="2" t="n">
        <v>460</v>
      </c>
      <c r="L1134" s="3" t="n"/>
      <c r="M1134" s="3" t="n"/>
      <c r="N1134" s="3" t="n">
        <v>41.6</v>
      </c>
      <c r="O1134" s="3" t="n"/>
      <c r="P1134" s="3">
        <f>IF(L1134&lt;&gt;"",L1134/1.4,"")</f>
        <v/>
      </c>
      <c r="Q1134" s="3">
        <f>IF(L1134&lt;&gt;"",L1134/1.56,"")</f>
        <v/>
      </c>
      <c r="R1134" s="3">
        <f>IF(M1134&lt;&gt;"",M1134/1.4,"")</f>
        <v/>
      </c>
      <c r="S1134" s="3">
        <f>IF(M1134&lt;&gt;"",M1134/1.56,"")</f>
        <v/>
      </c>
      <c r="T1134" s="3">
        <f>IF(N1134&lt;&gt;"",N1134,IF(O1134&lt;&gt;"",O1134,IF(L1134&lt;&gt;"",L1134/1.56,IF(M1134&lt;&gt;"",M1134/1.56,""))))</f>
        <v/>
      </c>
      <c r="U1134" s="3" t="n">
        <v>218</v>
      </c>
      <c r="V1134" s="3" t="n">
        <v>131</v>
      </c>
      <c r="W1134" s="3" t="n"/>
      <c r="X1134" s="4" t="n"/>
      <c r="Y1134" s="5" t="n">
        <v>0.457</v>
      </c>
      <c r="Z1134" s="4">
        <f>IF(L1134&lt;&gt;"",SQRT(3)*G1134*L1134/1000,"")</f>
        <v/>
      </c>
      <c r="AA1134" t="inlineStr">
        <is>
          <t>Source=Copeland 2D/3D/4D/4R/6D/8D/9R compressors (pdf) p52; PWS_RLA=20.8</t>
        </is>
      </c>
      <c r="AB1134" t="inlineStr">
        <is>
          <t>Copeland_RLA_230_460_3ph_60Hz.xlsx</t>
        </is>
      </c>
      <c r="AC1134" t="inlineStr">
        <is>
          <t>Recip_2D-9R</t>
        </is>
      </c>
    </row>
    <row r="1135">
      <c r="A1135" t="inlineStr">
        <is>
          <t>COPELAND</t>
        </is>
      </c>
      <c r="B1135" t="inlineStr">
        <is>
          <t>6DC3-270E-TSK</t>
        </is>
      </c>
      <c r="D1135" t="inlineStr">
        <is>
          <t>Reciprocating Semi-hermetic</t>
        </is>
      </c>
      <c r="E1135" s="2" t="n">
        <v>3</v>
      </c>
      <c r="F1135" s="2" t="n">
        <v>60</v>
      </c>
      <c r="G1135" s="2" t="n">
        <v>230</v>
      </c>
      <c r="H1135" t="inlineStr">
        <is>
          <t>208/230</t>
        </is>
      </c>
      <c r="I1135" s="2" t="n">
        <v>208</v>
      </c>
      <c r="J1135" s="2" t="n">
        <v>230</v>
      </c>
      <c r="L1135" s="3" t="n"/>
      <c r="M1135" s="3" t="n"/>
      <c r="N1135" s="3" t="n">
        <v>80.7</v>
      </c>
      <c r="O1135" s="3" t="n"/>
      <c r="P1135" s="3">
        <f>IF(L1135&lt;&gt;"",L1135/1.4,"")</f>
        <v/>
      </c>
      <c r="Q1135" s="3">
        <f>IF(L1135&lt;&gt;"",L1135/1.56,"")</f>
        <v/>
      </c>
      <c r="R1135" s="3">
        <f>IF(M1135&lt;&gt;"",M1135/1.4,"")</f>
        <v/>
      </c>
      <c r="S1135" s="3">
        <f>IF(M1135&lt;&gt;"",M1135/1.56,"")</f>
        <v/>
      </c>
      <c r="T1135" s="3">
        <f>IF(N1135&lt;&gt;"",N1135,IF(O1135&lt;&gt;"",O1135,IF(L1135&lt;&gt;"",L1135/1.56,IF(M1135&lt;&gt;"",M1135/1.56,""))))</f>
        <v/>
      </c>
      <c r="U1135" s="3" t="n">
        <v>450</v>
      </c>
      <c r="V1135" s="3" t="n">
        <v>263</v>
      </c>
      <c r="W1135" s="3" t="n"/>
      <c r="X1135" s="4" t="n"/>
      <c r="Y1135" s="5" t="n">
        <v>0.114</v>
      </c>
      <c r="Z1135" s="4">
        <f>IF(L1135&lt;&gt;"",SQRT(3)*G1135*L1135/1000,"")</f>
        <v/>
      </c>
      <c r="AA1135" t="inlineStr">
        <is>
          <t>Source=Copeland 2D/3D/4D/4R/6D/8D/9R compressors (pdf) p52; PWS_RLA=40.4</t>
        </is>
      </c>
      <c r="AB1135" t="inlineStr">
        <is>
          <t>Copeland_RLA_230_460_3ph_60Hz.xlsx</t>
        </is>
      </c>
      <c r="AC1135" t="inlineStr">
        <is>
          <t>Recip_2D-9R</t>
        </is>
      </c>
    </row>
    <row r="1136">
      <c r="A1136" t="inlineStr">
        <is>
          <t>COPELAND</t>
        </is>
      </c>
      <c r="B1136" t="inlineStr">
        <is>
          <t>6DC3-270E-TSK</t>
        </is>
      </c>
      <c r="D1136" t="inlineStr">
        <is>
          <t>Reciprocating Semi-hermetic</t>
        </is>
      </c>
      <c r="E1136" s="2" t="n">
        <v>3</v>
      </c>
      <c r="F1136" s="2" t="n">
        <v>60</v>
      </c>
      <c r="G1136" s="2" t="n">
        <v>460</v>
      </c>
      <c r="H1136" t="inlineStr">
        <is>
          <t>460</t>
        </is>
      </c>
      <c r="I1136" s="2" t="n">
        <v>460</v>
      </c>
      <c r="J1136" s="2" t="n">
        <v>460</v>
      </c>
      <c r="L1136" s="3" t="n"/>
      <c r="M1136" s="3" t="n"/>
      <c r="N1136" s="3" t="n">
        <v>40.4</v>
      </c>
      <c r="O1136" s="3" t="n"/>
      <c r="P1136" s="3">
        <f>IF(L1136&lt;&gt;"",L1136/1.4,"")</f>
        <v/>
      </c>
      <c r="Q1136" s="3">
        <f>IF(L1136&lt;&gt;"",L1136/1.56,"")</f>
        <v/>
      </c>
      <c r="R1136" s="3">
        <f>IF(M1136&lt;&gt;"",M1136/1.4,"")</f>
        <v/>
      </c>
      <c r="S1136" s="3">
        <f>IF(M1136&lt;&gt;"",M1136/1.56,"")</f>
        <v/>
      </c>
      <c r="T1136" s="3">
        <f>IF(N1136&lt;&gt;"",N1136,IF(O1136&lt;&gt;"",O1136,IF(L1136&lt;&gt;"",L1136/1.56,IF(M1136&lt;&gt;"",M1136/1.56,""))))</f>
        <v/>
      </c>
      <c r="U1136" s="3" t="n">
        <v>225</v>
      </c>
      <c r="V1136" s="3" t="n"/>
      <c r="W1136" s="3" t="n"/>
      <c r="X1136" s="4" t="n"/>
      <c r="Y1136" s="5" t="n">
        <v>0.456</v>
      </c>
      <c r="Z1136" s="4">
        <f>IF(L1136&lt;&gt;"",SQRT(3)*G1136*L1136/1000,"")</f>
        <v/>
      </c>
      <c r="AA1136" t="inlineStr">
        <is>
          <t>Source=Copeland 2D/3D/4D/4R/6D/8D/9R compressors (pdf) p52</t>
        </is>
      </c>
      <c r="AB1136" t="inlineStr">
        <is>
          <t>Copeland_RLA_230_460_3ph_60Hz.xlsx</t>
        </is>
      </c>
      <c r="AC1136" t="inlineStr">
        <is>
          <t>Recip_2D-9R</t>
        </is>
      </c>
    </row>
    <row r="1137">
      <c r="A1137" t="inlineStr">
        <is>
          <t>COPELAND</t>
        </is>
      </c>
      <c r="B1137" t="inlineStr">
        <is>
          <t>6DC3-270L-FSD</t>
        </is>
      </c>
      <c r="D1137" t="inlineStr">
        <is>
          <t>Reciprocating Semi-hermetic</t>
        </is>
      </c>
      <c r="E1137" s="2" t="n">
        <v>3</v>
      </c>
      <c r="F1137" s="2" t="n">
        <v>60</v>
      </c>
      <c r="G1137" s="2" t="n">
        <v>460</v>
      </c>
      <c r="H1137" t="inlineStr">
        <is>
          <t>460</t>
        </is>
      </c>
      <c r="I1137" s="2" t="n">
        <v>460</v>
      </c>
      <c r="J1137" s="2" t="n">
        <v>460</v>
      </c>
      <c r="L1137" s="3" t="n"/>
      <c r="M1137" s="3" t="n"/>
      <c r="N1137" s="3" t="n">
        <v>41.6</v>
      </c>
      <c r="O1137" s="3" t="n"/>
      <c r="P1137" s="3">
        <f>IF(L1137&lt;&gt;"",L1137/1.4,"")</f>
        <v/>
      </c>
      <c r="Q1137" s="3">
        <f>IF(L1137&lt;&gt;"",L1137/1.56,"")</f>
        <v/>
      </c>
      <c r="R1137" s="3">
        <f>IF(M1137&lt;&gt;"",M1137/1.4,"")</f>
        <v/>
      </c>
      <c r="S1137" s="3">
        <f>IF(M1137&lt;&gt;"",M1137/1.56,"")</f>
        <v/>
      </c>
      <c r="T1137" s="3">
        <f>IF(N1137&lt;&gt;"",N1137,IF(O1137&lt;&gt;"",O1137,IF(L1137&lt;&gt;"",L1137/1.56,IF(M1137&lt;&gt;"",M1137/1.56,""))))</f>
        <v/>
      </c>
      <c r="U1137" s="3" t="n">
        <v>218</v>
      </c>
      <c r="V1137" s="3" t="n">
        <v>131</v>
      </c>
      <c r="W1137" s="3" t="n"/>
      <c r="X1137" s="4" t="n"/>
      <c r="Y1137" s="5" t="n">
        <v>0.457</v>
      </c>
      <c r="Z1137" s="4">
        <f>IF(L1137&lt;&gt;"",SQRT(3)*G1137*L1137/1000,"")</f>
        <v/>
      </c>
      <c r="AA1137" t="inlineStr">
        <is>
          <t>Source=Copeland 2D/3D/4D/4R/6D/8D/9R compressors (pdf) p52; PWS_RLA=20.8</t>
        </is>
      </c>
      <c r="AB1137" t="inlineStr">
        <is>
          <t>Copeland_RLA_230_460_3ph_60Hz.xlsx</t>
        </is>
      </c>
      <c r="AC1137" t="inlineStr">
        <is>
          <t>Recip_2D-9R</t>
        </is>
      </c>
    </row>
    <row r="1138">
      <c r="A1138" t="inlineStr">
        <is>
          <t>COPELAND</t>
        </is>
      </c>
      <c r="B1138" t="inlineStr">
        <is>
          <t>6DC3-270L-TSK</t>
        </is>
      </c>
      <c r="D1138" t="inlineStr">
        <is>
          <t>Reciprocating Semi-hermetic</t>
        </is>
      </c>
      <c r="E1138" s="2" t="n">
        <v>3</v>
      </c>
      <c r="F1138" s="2" t="n">
        <v>60</v>
      </c>
      <c r="G1138" s="2" t="n">
        <v>230</v>
      </c>
      <c r="H1138" t="inlineStr">
        <is>
          <t>208/230</t>
        </is>
      </c>
      <c r="I1138" s="2" t="n">
        <v>208</v>
      </c>
      <c r="J1138" s="2" t="n">
        <v>230</v>
      </c>
      <c r="L1138" s="3" t="n"/>
      <c r="M1138" s="3" t="n"/>
      <c r="N1138" s="3" t="n">
        <v>80.7</v>
      </c>
      <c r="O1138" s="3" t="n"/>
      <c r="P1138" s="3">
        <f>IF(L1138&lt;&gt;"",L1138/1.4,"")</f>
        <v/>
      </c>
      <c r="Q1138" s="3">
        <f>IF(L1138&lt;&gt;"",L1138/1.56,"")</f>
        <v/>
      </c>
      <c r="R1138" s="3">
        <f>IF(M1138&lt;&gt;"",M1138/1.4,"")</f>
        <v/>
      </c>
      <c r="S1138" s="3">
        <f>IF(M1138&lt;&gt;"",M1138/1.56,"")</f>
        <v/>
      </c>
      <c r="T1138" s="3">
        <f>IF(N1138&lt;&gt;"",N1138,IF(O1138&lt;&gt;"",O1138,IF(L1138&lt;&gt;"",L1138/1.56,IF(M1138&lt;&gt;"",M1138/1.56,""))))</f>
        <v/>
      </c>
      <c r="U1138" s="3" t="n">
        <v>450</v>
      </c>
      <c r="V1138" s="3" t="n">
        <v>263</v>
      </c>
      <c r="W1138" s="3" t="n"/>
      <c r="X1138" s="4" t="n"/>
      <c r="Y1138" s="5" t="n">
        <v>0.114</v>
      </c>
      <c r="Z1138" s="4">
        <f>IF(L1138&lt;&gt;"",SQRT(3)*G1138*L1138/1000,"")</f>
        <v/>
      </c>
      <c r="AA1138" t="inlineStr">
        <is>
          <t>Source=Copeland 2D/3D/4D/4R/6D/8D/9R compressors (pdf) p52; PWS_RLA=40.4</t>
        </is>
      </c>
      <c r="AB1138" t="inlineStr">
        <is>
          <t>Copeland_RLA_230_460_3ph_60Hz.xlsx</t>
        </is>
      </c>
      <c r="AC1138" t="inlineStr">
        <is>
          <t>Recip_2D-9R</t>
        </is>
      </c>
    </row>
    <row r="1139">
      <c r="A1139" t="inlineStr">
        <is>
          <t>COPELAND</t>
        </is>
      </c>
      <c r="B1139" t="inlineStr">
        <is>
          <t>6DC3-270L-TSK</t>
        </is>
      </c>
      <c r="D1139" t="inlineStr">
        <is>
          <t>Reciprocating Semi-hermetic</t>
        </is>
      </c>
      <c r="E1139" s="2" t="n">
        <v>3</v>
      </c>
      <c r="F1139" s="2" t="n">
        <v>60</v>
      </c>
      <c r="G1139" s="2" t="n">
        <v>460</v>
      </c>
      <c r="H1139" t="inlineStr">
        <is>
          <t>460</t>
        </is>
      </c>
      <c r="I1139" s="2" t="n">
        <v>460</v>
      </c>
      <c r="J1139" s="2" t="n">
        <v>460</v>
      </c>
      <c r="L1139" s="3" t="n"/>
      <c r="M1139" s="3" t="n"/>
      <c r="N1139" s="3" t="n">
        <v>40.4</v>
      </c>
      <c r="O1139" s="3" t="n"/>
      <c r="P1139" s="3">
        <f>IF(L1139&lt;&gt;"",L1139/1.4,"")</f>
        <v/>
      </c>
      <c r="Q1139" s="3">
        <f>IF(L1139&lt;&gt;"",L1139/1.56,"")</f>
        <v/>
      </c>
      <c r="R1139" s="3">
        <f>IF(M1139&lt;&gt;"",M1139/1.4,"")</f>
        <v/>
      </c>
      <c r="S1139" s="3">
        <f>IF(M1139&lt;&gt;"",M1139/1.56,"")</f>
        <v/>
      </c>
      <c r="T1139" s="3">
        <f>IF(N1139&lt;&gt;"",N1139,IF(O1139&lt;&gt;"",O1139,IF(L1139&lt;&gt;"",L1139/1.56,IF(M1139&lt;&gt;"",M1139/1.56,""))))</f>
        <v/>
      </c>
      <c r="U1139" s="3" t="n">
        <v>225</v>
      </c>
      <c r="V1139" s="3" t="n"/>
      <c r="W1139" s="3" t="n"/>
      <c r="X1139" s="4" t="n"/>
      <c r="Y1139" s="5" t="n">
        <v>0.456</v>
      </c>
      <c r="Z1139" s="4">
        <f>IF(L1139&lt;&gt;"",SQRT(3)*G1139*L1139/1000,"")</f>
        <v/>
      </c>
      <c r="AA1139" t="inlineStr">
        <is>
          <t>Source=Copeland 2D/3D/4D/4R/6D/8D/9R compressors (pdf) p52</t>
        </is>
      </c>
      <c r="AB1139" t="inlineStr">
        <is>
          <t>Copeland_RLA_230_460_3ph_60Hz.xlsx</t>
        </is>
      </c>
      <c r="AC1139" t="inlineStr">
        <is>
          <t>Recip_2D-9R</t>
        </is>
      </c>
    </row>
    <row r="1140">
      <c r="A1140" t="inlineStr">
        <is>
          <t>COPELAND</t>
        </is>
      </c>
      <c r="B1140" t="inlineStr">
        <is>
          <t>6DC3A2700-FSD</t>
        </is>
      </c>
      <c r="D1140" t="inlineStr">
        <is>
          <t>Reciprocating Semi-hermetic</t>
        </is>
      </c>
      <c r="E1140" s="2" t="n">
        <v>3</v>
      </c>
      <c r="F1140" s="2" t="n">
        <v>60</v>
      </c>
      <c r="G1140" s="2" t="n">
        <v>460</v>
      </c>
      <c r="H1140" t="inlineStr">
        <is>
          <t>460</t>
        </is>
      </c>
      <c r="I1140" s="2" t="n">
        <v>460</v>
      </c>
      <c r="J1140" s="2" t="n">
        <v>460</v>
      </c>
      <c r="L1140" s="3" t="n"/>
      <c r="M1140" s="3" t="n"/>
      <c r="N1140" s="3" t="n">
        <v>41.6</v>
      </c>
      <c r="O1140" s="3" t="n"/>
      <c r="P1140" s="3">
        <f>IF(L1140&lt;&gt;"",L1140/1.4,"")</f>
        <v/>
      </c>
      <c r="Q1140" s="3">
        <f>IF(L1140&lt;&gt;"",L1140/1.56,"")</f>
        <v/>
      </c>
      <c r="R1140" s="3">
        <f>IF(M1140&lt;&gt;"",M1140/1.4,"")</f>
        <v/>
      </c>
      <c r="S1140" s="3">
        <f>IF(M1140&lt;&gt;"",M1140/1.56,"")</f>
        <v/>
      </c>
      <c r="T1140" s="3">
        <f>IF(N1140&lt;&gt;"",N1140,IF(O1140&lt;&gt;"",O1140,IF(L1140&lt;&gt;"",L1140/1.56,IF(M1140&lt;&gt;"",M1140/1.56,""))))</f>
        <v/>
      </c>
      <c r="U1140" s="3" t="n">
        <v>218</v>
      </c>
      <c r="V1140" s="3" t="n">
        <v>131</v>
      </c>
      <c r="W1140" s="3" t="n"/>
      <c r="X1140" s="4" t="n"/>
      <c r="Y1140" s="5" t="n">
        <v>0.457</v>
      </c>
      <c r="Z1140" s="4">
        <f>IF(L1140&lt;&gt;"",SQRT(3)*G1140*L1140/1000,"")</f>
        <v/>
      </c>
      <c r="AA1140" t="inlineStr">
        <is>
          <t>Source=Copeland 2D/3D/4D/4R/6D/8D/9R compressors (pdf) p52; PWS_RLA=20.8</t>
        </is>
      </c>
      <c r="AB1140" t="inlineStr">
        <is>
          <t>Copeland_RLA_230_460_3ph_60Hz.xlsx</t>
        </is>
      </c>
      <c r="AC1140" t="inlineStr">
        <is>
          <t>Recip_2D-9R</t>
        </is>
      </c>
    </row>
    <row r="1141">
      <c r="A1141" t="inlineStr">
        <is>
          <t>COPELAND</t>
        </is>
      </c>
      <c r="B1141" t="inlineStr">
        <is>
          <t>6DC3A2700-TSK</t>
        </is>
      </c>
      <c r="D1141" t="inlineStr">
        <is>
          <t>Reciprocating Semi-hermetic</t>
        </is>
      </c>
      <c r="E1141" s="2" t="n">
        <v>3</v>
      </c>
      <c r="F1141" s="2" t="n">
        <v>60</v>
      </c>
      <c r="G1141" s="2" t="n">
        <v>230</v>
      </c>
      <c r="H1141" t="inlineStr">
        <is>
          <t>208/230</t>
        </is>
      </c>
      <c r="I1141" s="2" t="n">
        <v>208</v>
      </c>
      <c r="J1141" s="2" t="n">
        <v>230</v>
      </c>
      <c r="L1141" s="3" t="n"/>
      <c r="M1141" s="3" t="n"/>
      <c r="N1141" s="3" t="n">
        <v>80.7</v>
      </c>
      <c r="O1141" s="3" t="n"/>
      <c r="P1141" s="3">
        <f>IF(L1141&lt;&gt;"",L1141/1.4,"")</f>
        <v/>
      </c>
      <c r="Q1141" s="3">
        <f>IF(L1141&lt;&gt;"",L1141/1.56,"")</f>
        <v/>
      </c>
      <c r="R1141" s="3">
        <f>IF(M1141&lt;&gt;"",M1141/1.4,"")</f>
        <v/>
      </c>
      <c r="S1141" s="3">
        <f>IF(M1141&lt;&gt;"",M1141/1.56,"")</f>
        <v/>
      </c>
      <c r="T1141" s="3">
        <f>IF(N1141&lt;&gt;"",N1141,IF(O1141&lt;&gt;"",O1141,IF(L1141&lt;&gt;"",L1141/1.56,IF(M1141&lt;&gt;"",M1141/1.56,""))))</f>
        <v/>
      </c>
      <c r="U1141" s="3" t="n">
        <v>450</v>
      </c>
      <c r="V1141" s="3" t="n">
        <v>263</v>
      </c>
      <c r="W1141" s="3" t="n"/>
      <c r="X1141" s="4" t="n"/>
      <c r="Y1141" s="5" t="n">
        <v>0.114</v>
      </c>
      <c r="Z1141" s="4">
        <f>IF(L1141&lt;&gt;"",SQRT(3)*G1141*L1141/1000,"")</f>
        <v/>
      </c>
      <c r="AA1141" t="inlineStr">
        <is>
          <t>Source=Copeland 2D/3D/4D/4R/6D/8D/9R compressors (pdf) p52; PWS_RLA=40.4</t>
        </is>
      </c>
      <c r="AB1141" t="inlineStr">
        <is>
          <t>Copeland_RLA_230_460_3ph_60Hz.xlsx</t>
        </is>
      </c>
      <c r="AC1141" t="inlineStr">
        <is>
          <t>Recip_2D-9R</t>
        </is>
      </c>
    </row>
    <row r="1142">
      <c r="A1142" t="inlineStr">
        <is>
          <t>COPELAND</t>
        </is>
      </c>
      <c r="B1142" t="inlineStr">
        <is>
          <t>6DC3A2700-TSK</t>
        </is>
      </c>
      <c r="D1142" t="inlineStr">
        <is>
          <t>Reciprocating Semi-hermetic</t>
        </is>
      </c>
      <c r="E1142" s="2" t="n">
        <v>3</v>
      </c>
      <c r="F1142" s="2" t="n">
        <v>60</v>
      </c>
      <c r="G1142" s="2" t="n">
        <v>460</v>
      </c>
      <c r="H1142" t="inlineStr">
        <is>
          <t>460</t>
        </is>
      </c>
      <c r="I1142" s="2" t="n">
        <v>460</v>
      </c>
      <c r="J1142" s="2" t="n">
        <v>460</v>
      </c>
      <c r="L1142" s="3" t="n"/>
      <c r="M1142" s="3" t="n"/>
      <c r="N1142" s="3" t="n">
        <v>40.4</v>
      </c>
      <c r="O1142" s="3" t="n"/>
      <c r="P1142" s="3">
        <f>IF(L1142&lt;&gt;"",L1142/1.4,"")</f>
        <v/>
      </c>
      <c r="Q1142" s="3">
        <f>IF(L1142&lt;&gt;"",L1142/1.56,"")</f>
        <v/>
      </c>
      <c r="R1142" s="3">
        <f>IF(M1142&lt;&gt;"",M1142/1.4,"")</f>
        <v/>
      </c>
      <c r="S1142" s="3">
        <f>IF(M1142&lt;&gt;"",M1142/1.56,"")</f>
        <v/>
      </c>
      <c r="T1142" s="3">
        <f>IF(N1142&lt;&gt;"",N1142,IF(O1142&lt;&gt;"",O1142,IF(L1142&lt;&gt;"",L1142/1.56,IF(M1142&lt;&gt;"",M1142/1.56,""))))</f>
        <v/>
      </c>
      <c r="U1142" s="3" t="n">
        <v>225</v>
      </c>
      <c r="V1142" s="3" t="n"/>
      <c r="W1142" s="3" t="n"/>
      <c r="X1142" s="4" t="n"/>
      <c r="Y1142" s="5" t="n">
        <v>0.456</v>
      </c>
      <c r="Z1142" s="4">
        <f>IF(L1142&lt;&gt;"",SQRT(3)*G1142*L1142/1000,"")</f>
        <v/>
      </c>
      <c r="AA1142" t="inlineStr">
        <is>
          <t>Source=Copeland 2D/3D/4D/4R/6D/8D/9R compressors (pdf) p52</t>
        </is>
      </c>
      <c r="AB1142" t="inlineStr">
        <is>
          <t>Copeland_RLA_230_460_3ph_60Hz.xlsx</t>
        </is>
      </c>
      <c r="AC1142" t="inlineStr">
        <is>
          <t>Recip_2D-9R</t>
        </is>
      </c>
    </row>
    <row r="1143">
      <c r="A1143" t="inlineStr">
        <is>
          <t>COPELAND</t>
        </is>
      </c>
      <c r="B1143" t="inlineStr">
        <is>
          <t>6DC3A270E-FSD</t>
        </is>
      </c>
      <c r="D1143" t="inlineStr">
        <is>
          <t>Reciprocating Semi-hermetic</t>
        </is>
      </c>
      <c r="E1143" s="2" t="n">
        <v>3</v>
      </c>
      <c r="F1143" s="2" t="n">
        <v>60</v>
      </c>
      <c r="G1143" s="2" t="n">
        <v>460</v>
      </c>
      <c r="H1143" t="inlineStr">
        <is>
          <t>460</t>
        </is>
      </c>
      <c r="I1143" s="2" t="n">
        <v>460</v>
      </c>
      <c r="J1143" s="2" t="n">
        <v>460</v>
      </c>
      <c r="L1143" s="3" t="n"/>
      <c r="M1143" s="3" t="n"/>
      <c r="N1143" s="3" t="n">
        <v>41.6</v>
      </c>
      <c r="O1143" s="3" t="n"/>
      <c r="P1143" s="3">
        <f>IF(L1143&lt;&gt;"",L1143/1.4,"")</f>
        <v/>
      </c>
      <c r="Q1143" s="3">
        <f>IF(L1143&lt;&gt;"",L1143/1.56,"")</f>
        <v/>
      </c>
      <c r="R1143" s="3">
        <f>IF(M1143&lt;&gt;"",M1143/1.4,"")</f>
        <v/>
      </c>
      <c r="S1143" s="3">
        <f>IF(M1143&lt;&gt;"",M1143/1.56,"")</f>
        <v/>
      </c>
      <c r="T1143" s="3">
        <f>IF(N1143&lt;&gt;"",N1143,IF(O1143&lt;&gt;"",O1143,IF(L1143&lt;&gt;"",L1143/1.56,IF(M1143&lt;&gt;"",M1143/1.56,""))))</f>
        <v/>
      </c>
      <c r="U1143" s="3" t="n">
        <v>218</v>
      </c>
      <c r="V1143" s="3" t="n">
        <v>131</v>
      </c>
      <c r="W1143" s="3" t="n"/>
      <c r="X1143" s="4" t="n"/>
      <c r="Y1143" s="5" t="n">
        <v>0.457</v>
      </c>
      <c r="Z1143" s="4">
        <f>IF(L1143&lt;&gt;"",SQRT(3)*G1143*L1143/1000,"")</f>
        <v/>
      </c>
      <c r="AA1143" t="inlineStr">
        <is>
          <t>Source=Copeland 2D/3D/4D/4R/6D/8D/9R compressors (pdf) p52; PWS_RLA=20.8</t>
        </is>
      </c>
      <c r="AB1143" t="inlineStr">
        <is>
          <t>Copeland_RLA_230_460_3ph_60Hz.xlsx</t>
        </is>
      </c>
      <c r="AC1143" t="inlineStr">
        <is>
          <t>Recip_2D-9R</t>
        </is>
      </c>
    </row>
    <row r="1144">
      <c r="A1144" t="inlineStr">
        <is>
          <t>COPELAND</t>
        </is>
      </c>
      <c r="B1144" t="inlineStr">
        <is>
          <t>6DC3A270E-TSK</t>
        </is>
      </c>
      <c r="D1144" t="inlineStr">
        <is>
          <t>Reciprocating Semi-hermetic</t>
        </is>
      </c>
      <c r="E1144" s="2" t="n">
        <v>3</v>
      </c>
      <c r="F1144" s="2" t="n">
        <v>60</v>
      </c>
      <c r="G1144" s="2" t="n">
        <v>230</v>
      </c>
      <c r="H1144" t="inlineStr">
        <is>
          <t>208/230</t>
        </is>
      </c>
      <c r="I1144" s="2" t="n">
        <v>208</v>
      </c>
      <c r="J1144" s="2" t="n">
        <v>230</v>
      </c>
      <c r="L1144" s="3" t="n"/>
      <c r="M1144" s="3" t="n"/>
      <c r="N1144" s="3" t="n">
        <v>80.7</v>
      </c>
      <c r="O1144" s="3" t="n"/>
      <c r="P1144" s="3">
        <f>IF(L1144&lt;&gt;"",L1144/1.4,"")</f>
        <v/>
      </c>
      <c r="Q1144" s="3">
        <f>IF(L1144&lt;&gt;"",L1144/1.56,"")</f>
        <v/>
      </c>
      <c r="R1144" s="3">
        <f>IF(M1144&lt;&gt;"",M1144/1.4,"")</f>
        <v/>
      </c>
      <c r="S1144" s="3">
        <f>IF(M1144&lt;&gt;"",M1144/1.56,"")</f>
        <v/>
      </c>
      <c r="T1144" s="3">
        <f>IF(N1144&lt;&gt;"",N1144,IF(O1144&lt;&gt;"",O1144,IF(L1144&lt;&gt;"",L1144/1.56,IF(M1144&lt;&gt;"",M1144/1.56,""))))</f>
        <v/>
      </c>
      <c r="U1144" s="3" t="n">
        <v>450</v>
      </c>
      <c r="V1144" s="3" t="n">
        <v>263</v>
      </c>
      <c r="W1144" s="3" t="n"/>
      <c r="X1144" s="4" t="n"/>
      <c r="Y1144" s="5" t="n">
        <v>0.114</v>
      </c>
      <c r="Z1144" s="4">
        <f>IF(L1144&lt;&gt;"",SQRT(3)*G1144*L1144/1000,"")</f>
        <v/>
      </c>
      <c r="AA1144" t="inlineStr">
        <is>
          <t>Source=Copeland 2D/3D/4D/4R/6D/8D/9R compressors (pdf) p52; PWS_RLA=40.4</t>
        </is>
      </c>
      <c r="AB1144" t="inlineStr">
        <is>
          <t>Copeland_RLA_230_460_3ph_60Hz.xlsx</t>
        </is>
      </c>
      <c r="AC1144" t="inlineStr">
        <is>
          <t>Recip_2D-9R</t>
        </is>
      </c>
    </row>
    <row r="1145">
      <c r="A1145" t="inlineStr">
        <is>
          <t>COPELAND</t>
        </is>
      </c>
      <c r="B1145" t="inlineStr">
        <is>
          <t>6DC3A270E-TSK</t>
        </is>
      </c>
      <c r="D1145" t="inlineStr">
        <is>
          <t>Reciprocating Semi-hermetic</t>
        </is>
      </c>
      <c r="E1145" s="2" t="n">
        <v>3</v>
      </c>
      <c r="F1145" s="2" t="n">
        <v>60</v>
      </c>
      <c r="G1145" s="2" t="n">
        <v>460</v>
      </c>
      <c r="H1145" t="inlineStr">
        <is>
          <t>460</t>
        </is>
      </c>
      <c r="I1145" s="2" t="n">
        <v>460</v>
      </c>
      <c r="J1145" s="2" t="n">
        <v>460</v>
      </c>
      <c r="L1145" s="3" t="n"/>
      <c r="M1145" s="3" t="n"/>
      <c r="N1145" s="3" t="n">
        <v>40.4</v>
      </c>
      <c r="O1145" s="3" t="n"/>
      <c r="P1145" s="3">
        <f>IF(L1145&lt;&gt;"",L1145/1.4,"")</f>
        <v/>
      </c>
      <c r="Q1145" s="3">
        <f>IF(L1145&lt;&gt;"",L1145/1.56,"")</f>
        <v/>
      </c>
      <c r="R1145" s="3">
        <f>IF(M1145&lt;&gt;"",M1145/1.4,"")</f>
        <v/>
      </c>
      <c r="S1145" s="3">
        <f>IF(M1145&lt;&gt;"",M1145/1.56,"")</f>
        <v/>
      </c>
      <c r="T1145" s="3">
        <f>IF(N1145&lt;&gt;"",N1145,IF(O1145&lt;&gt;"",O1145,IF(L1145&lt;&gt;"",L1145/1.56,IF(M1145&lt;&gt;"",M1145/1.56,""))))</f>
        <v/>
      </c>
      <c r="U1145" s="3" t="n">
        <v>225</v>
      </c>
      <c r="V1145" s="3" t="n"/>
      <c r="W1145" s="3" t="n"/>
      <c r="X1145" s="4" t="n"/>
      <c r="Y1145" s="5" t="n">
        <v>0.456</v>
      </c>
      <c r="Z1145" s="4">
        <f>IF(L1145&lt;&gt;"",SQRT(3)*G1145*L1145/1000,"")</f>
        <v/>
      </c>
      <c r="AA1145" t="inlineStr">
        <is>
          <t>Source=Copeland 2D/3D/4D/4R/6D/8D/9R compressors (pdf) p52</t>
        </is>
      </c>
      <c r="AB1145" t="inlineStr">
        <is>
          <t>Copeland_RLA_230_460_3ph_60Hz.xlsx</t>
        </is>
      </c>
      <c r="AC1145" t="inlineStr">
        <is>
          <t>Recip_2D-9R</t>
        </is>
      </c>
    </row>
    <row r="1146">
      <c r="A1146" t="inlineStr">
        <is>
          <t>COPELAND</t>
        </is>
      </c>
      <c r="B1146" t="inlineStr">
        <is>
          <t>6DC3A270L-FSD</t>
        </is>
      </c>
      <c r="D1146" t="inlineStr">
        <is>
          <t>Reciprocating Semi-hermetic</t>
        </is>
      </c>
      <c r="E1146" s="2" t="n">
        <v>3</v>
      </c>
      <c r="F1146" s="2" t="n">
        <v>60</v>
      </c>
      <c r="G1146" s="2" t="n">
        <v>460</v>
      </c>
      <c r="H1146" t="inlineStr">
        <is>
          <t>460</t>
        </is>
      </c>
      <c r="I1146" s="2" t="n">
        <v>460</v>
      </c>
      <c r="J1146" s="2" t="n">
        <v>460</v>
      </c>
      <c r="L1146" s="3" t="n"/>
      <c r="M1146" s="3" t="n"/>
      <c r="N1146" s="3" t="n">
        <v>41.6</v>
      </c>
      <c r="O1146" s="3" t="n"/>
      <c r="P1146" s="3">
        <f>IF(L1146&lt;&gt;"",L1146/1.4,"")</f>
        <v/>
      </c>
      <c r="Q1146" s="3">
        <f>IF(L1146&lt;&gt;"",L1146/1.56,"")</f>
        <v/>
      </c>
      <c r="R1146" s="3">
        <f>IF(M1146&lt;&gt;"",M1146/1.4,"")</f>
        <v/>
      </c>
      <c r="S1146" s="3">
        <f>IF(M1146&lt;&gt;"",M1146/1.56,"")</f>
        <v/>
      </c>
      <c r="T1146" s="3">
        <f>IF(N1146&lt;&gt;"",N1146,IF(O1146&lt;&gt;"",O1146,IF(L1146&lt;&gt;"",L1146/1.56,IF(M1146&lt;&gt;"",M1146/1.56,""))))</f>
        <v/>
      </c>
      <c r="U1146" s="3" t="n">
        <v>218</v>
      </c>
      <c r="V1146" s="3" t="n">
        <v>131</v>
      </c>
      <c r="W1146" s="3" t="n"/>
      <c r="X1146" s="4" t="n"/>
      <c r="Y1146" s="5" t="n">
        <v>0.457</v>
      </c>
      <c r="Z1146" s="4">
        <f>IF(L1146&lt;&gt;"",SQRT(3)*G1146*L1146/1000,"")</f>
        <v/>
      </c>
      <c r="AA1146" t="inlineStr">
        <is>
          <t>Source=Copeland 2D/3D/4D/4R/6D/8D/9R compressors (pdf) p52; PWS_RLA=20.8</t>
        </is>
      </c>
      <c r="AB1146" t="inlineStr">
        <is>
          <t>Copeland_RLA_230_460_3ph_60Hz.xlsx</t>
        </is>
      </c>
      <c r="AC1146" t="inlineStr">
        <is>
          <t>Recip_2D-9R</t>
        </is>
      </c>
    </row>
    <row r="1147">
      <c r="A1147" t="inlineStr">
        <is>
          <t>COPELAND</t>
        </is>
      </c>
      <c r="B1147" t="inlineStr">
        <is>
          <t>6DC3A270L-TSK</t>
        </is>
      </c>
      <c r="D1147" t="inlineStr">
        <is>
          <t>Reciprocating Semi-hermetic</t>
        </is>
      </c>
      <c r="E1147" s="2" t="n">
        <v>3</v>
      </c>
      <c r="F1147" s="2" t="n">
        <v>60</v>
      </c>
      <c r="G1147" s="2" t="n">
        <v>230</v>
      </c>
      <c r="H1147" t="inlineStr">
        <is>
          <t>208/230</t>
        </is>
      </c>
      <c r="I1147" s="2" t="n">
        <v>208</v>
      </c>
      <c r="J1147" s="2" t="n">
        <v>230</v>
      </c>
      <c r="L1147" s="3" t="n"/>
      <c r="M1147" s="3" t="n"/>
      <c r="N1147" s="3" t="n">
        <v>80.7</v>
      </c>
      <c r="O1147" s="3" t="n"/>
      <c r="P1147" s="3">
        <f>IF(L1147&lt;&gt;"",L1147/1.4,"")</f>
        <v/>
      </c>
      <c r="Q1147" s="3">
        <f>IF(L1147&lt;&gt;"",L1147/1.56,"")</f>
        <v/>
      </c>
      <c r="R1147" s="3">
        <f>IF(M1147&lt;&gt;"",M1147/1.4,"")</f>
        <v/>
      </c>
      <c r="S1147" s="3">
        <f>IF(M1147&lt;&gt;"",M1147/1.56,"")</f>
        <v/>
      </c>
      <c r="T1147" s="3">
        <f>IF(N1147&lt;&gt;"",N1147,IF(O1147&lt;&gt;"",O1147,IF(L1147&lt;&gt;"",L1147/1.56,IF(M1147&lt;&gt;"",M1147/1.56,""))))</f>
        <v/>
      </c>
      <c r="U1147" s="3" t="n">
        <v>450</v>
      </c>
      <c r="V1147" s="3" t="n">
        <v>263</v>
      </c>
      <c r="W1147" s="3" t="n"/>
      <c r="X1147" s="4" t="n"/>
      <c r="Y1147" s="5" t="n">
        <v>0.114</v>
      </c>
      <c r="Z1147" s="4">
        <f>IF(L1147&lt;&gt;"",SQRT(3)*G1147*L1147/1000,"")</f>
        <v/>
      </c>
      <c r="AA1147" t="inlineStr">
        <is>
          <t>Source=Copeland 2D/3D/4D/4R/6D/8D/9R compressors (pdf) p52; PWS_RLA=40.4</t>
        </is>
      </c>
      <c r="AB1147" t="inlineStr">
        <is>
          <t>Copeland_RLA_230_460_3ph_60Hz.xlsx</t>
        </is>
      </c>
      <c r="AC1147" t="inlineStr">
        <is>
          <t>Recip_2D-9R</t>
        </is>
      </c>
    </row>
    <row r="1148">
      <c r="A1148" t="inlineStr">
        <is>
          <t>COPELAND</t>
        </is>
      </c>
      <c r="B1148" t="inlineStr">
        <is>
          <t>6DC3A270L-TSK</t>
        </is>
      </c>
      <c r="D1148" t="inlineStr">
        <is>
          <t>Reciprocating Semi-hermetic</t>
        </is>
      </c>
      <c r="E1148" s="2" t="n">
        <v>3</v>
      </c>
      <c r="F1148" s="2" t="n">
        <v>60</v>
      </c>
      <c r="G1148" s="2" t="n">
        <v>460</v>
      </c>
      <c r="H1148" t="inlineStr">
        <is>
          <t>460</t>
        </is>
      </c>
      <c r="I1148" s="2" t="n">
        <v>460</v>
      </c>
      <c r="J1148" s="2" t="n">
        <v>460</v>
      </c>
      <c r="L1148" s="3" t="n"/>
      <c r="M1148" s="3" t="n"/>
      <c r="N1148" s="3" t="n">
        <v>40.4</v>
      </c>
      <c r="O1148" s="3" t="n"/>
      <c r="P1148" s="3">
        <f>IF(L1148&lt;&gt;"",L1148/1.4,"")</f>
        <v/>
      </c>
      <c r="Q1148" s="3">
        <f>IF(L1148&lt;&gt;"",L1148/1.56,"")</f>
        <v/>
      </c>
      <c r="R1148" s="3">
        <f>IF(M1148&lt;&gt;"",M1148/1.4,"")</f>
        <v/>
      </c>
      <c r="S1148" s="3">
        <f>IF(M1148&lt;&gt;"",M1148/1.56,"")</f>
        <v/>
      </c>
      <c r="T1148" s="3">
        <f>IF(N1148&lt;&gt;"",N1148,IF(O1148&lt;&gt;"",O1148,IF(L1148&lt;&gt;"",L1148/1.56,IF(M1148&lt;&gt;"",M1148/1.56,""))))</f>
        <v/>
      </c>
      <c r="U1148" s="3" t="n">
        <v>225</v>
      </c>
      <c r="V1148" s="3" t="n"/>
      <c r="W1148" s="3" t="n"/>
      <c r="X1148" s="4" t="n"/>
      <c r="Y1148" s="5" t="n">
        <v>0.456</v>
      </c>
      <c r="Z1148" s="4">
        <f>IF(L1148&lt;&gt;"",SQRT(3)*G1148*L1148/1000,"")</f>
        <v/>
      </c>
      <c r="AA1148" t="inlineStr">
        <is>
          <t>Source=Copeland 2D/3D/4D/4R/6D/8D/9R compressors (pdf) p52</t>
        </is>
      </c>
      <c r="AB1148" t="inlineStr">
        <is>
          <t>Copeland_RLA_230_460_3ph_60Hz.xlsx</t>
        </is>
      </c>
      <c r="AC1148" t="inlineStr">
        <is>
          <t>Recip_2D-9R</t>
        </is>
      </c>
    </row>
    <row r="1149">
      <c r="A1149" t="inlineStr">
        <is>
          <t>COPELAND</t>
        </is>
      </c>
      <c r="B1149" t="inlineStr">
        <is>
          <t>6DC3F93K0-FSD</t>
        </is>
      </c>
      <c r="D1149" t="inlineStr">
        <is>
          <t>Reciprocating Semi-hermetic</t>
        </is>
      </c>
      <c r="E1149" s="2" t="n">
        <v>3</v>
      </c>
      <c r="F1149" s="2" t="n">
        <v>60</v>
      </c>
      <c r="G1149" s="2" t="n">
        <v>460</v>
      </c>
      <c r="H1149" t="inlineStr">
        <is>
          <t>460</t>
        </is>
      </c>
      <c r="I1149" s="2" t="n">
        <v>460</v>
      </c>
      <c r="J1149" s="2" t="n">
        <v>460</v>
      </c>
      <c r="L1149" s="3" t="n"/>
      <c r="M1149" s="3" t="n"/>
      <c r="N1149" s="3" t="n">
        <v>41.6</v>
      </c>
      <c r="O1149" s="3" t="n"/>
      <c r="P1149" s="3">
        <f>IF(L1149&lt;&gt;"",L1149/1.4,"")</f>
        <v/>
      </c>
      <c r="Q1149" s="3">
        <f>IF(L1149&lt;&gt;"",L1149/1.56,"")</f>
        <v/>
      </c>
      <c r="R1149" s="3">
        <f>IF(M1149&lt;&gt;"",M1149/1.4,"")</f>
        <v/>
      </c>
      <c r="S1149" s="3">
        <f>IF(M1149&lt;&gt;"",M1149/1.56,"")</f>
        <v/>
      </c>
      <c r="T1149" s="3">
        <f>IF(N1149&lt;&gt;"",N1149,IF(O1149&lt;&gt;"",O1149,IF(L1149&lt;&gt;"",L1149/1.56,IF(M1149&lt;&gt;"",M1149/1.56,""))))</f>
        <v/>
      </c>
      <c r="U1149" s="3" t="n">
        <v>218</v>
      </c>
      <c r="V1149" s="3" t="n">
        <v>131</v>
      </c>
      <c r="W1149" s="3" t="n"/>
      <c r="X1149" s="4" t="n"/>
      <c r="Y1149" s="5" t="n">
        <v>0.457</v>
      </c>
      <c r="Z1149" s="4">
        <f>IF(L1149&lt;&gt;"",SQRT(3)*G1149*L1149/1000,"")</f>
        <v/>
      </c>
      <c r="AA1149" t="inlineStr">
        <is>
          <t>Source=Copeland 2D/3D/4D/4R/6D/8D/9R compressors (pdf) p52; PWS_RLA=20.8</t>
        </is>
      </c>
      <c r="AB1149" t="inlineStr">
        <is>
          <t>Copeland_RLA_230_460_3ph_60Hz.xlsx</t>
        </is>
      </c>
      <c r="AC1149" t="inlineStr">
        <is>
          <t>Recip_2D-9R</t>
        </is>
      </c>
    </row>
    <row r="1150">
      <c r="A1150" t="inlineStr">
        <is>
          <t>COPELAND</t>
        </is>
      </c>
      <c r="B1150" t="inlineStr">
        <is>
          <t>6DC3F93K0-TSK</t>
        </is>
      </c>
      <c r="D1150" t="inlineStr">
        <is>
          <t>Reciprocating Semi-hermetic</t>
        </is>
      </c>
      <c r="E1150" s="2" t="n">
        <v>3</v>
      </c>
      <c r="F1150" s="2" t="n">
        <v>60</v>
      </c>
      <c r="G1150" s="2" t="n">
        <v>230</v>
      </c>
      <c r="H1150" t="inlineStr">
        <is>
          <t>208/230</t>
        </is>
      </c>
      <c r="I1150" s="2" t="n">
        <v>208</v>
      </c>
      <c r="J1150" s="2" t="n">
        <v>230</v>
      </c>
      <c r="L1150" s="3" t="n"/>
      <c r="M1150" s="3" t="n"/>
      <c r="N1150" s="3" t="n">
        <v>80.7</v>
      </c>
      <c r="O1150" s="3" t="n"/>
      <c r="P1150" s="3">
        <f>IF(L1150&lt;&gt;"",L1150/1.4,"")</f>
        <v/>
      </c>
      <c r="Q1150" s="3">
        <f>IF(L1150&lt;&gt;"",L1150/1.56,"")</f>
        <v/>
      </c>
      <c r="R1150" s="3">
        <f>IF(M1150&lt;&gt;"",M1150/1.4,"")</f>
        <v/>
      </c>
      <c r="S1150" s="3">
        <f>IF(M1150&lt;&gt;"",M1150/1.56,"")</f>
        <v/>
      </c>
      <c r="T1150" s="3">
        <f>IF(N1150&lt;&gt;"",N1150,IF(O1150&lt;&gt;"",O1150,IF(L1150&lt;&gt;"",L1150/1.56,IF(M1150&lt;&gt;"",M1150/1.56,""))))</f>
        <v/>
      </c>
      <c r="U1150" s="3" t="n">
        <v>450</v>
      </c>
      <c r="V1150" s="3" t="n">
        <v>263</v>
      </c>
      <c r="W1150" s="3" t="n"/>
      <c r="X1150" s="4" t="n"/>
      <c r="Y1150" s="5" t="n">
        <v>0.114</v>
      </c>
      <c r="Z1150" s="4">
        <f>IF(L1150&lt;&gt;"",SQRT(3)*G1150*L1150/1000,"")</f>
        <v/>
      </c>
      <c r="AA1150" t="inlineStr">
        <is>
          <t>Source=Copeland 2D/3D/4D/4R/6D/8D/9R compressors (pdf) p53; PWS_RLA=40.4</t>
        </is>
      </c>
      <c r="AB1150" t="inlineStr">
        <is>
          <t>Copeland_RLA_230_460_3ph_60Hz.xlsx</t>
        </is>
      </c>
      <c r="AC1150" t="inlineStr">
        <is>
          <t>Recip_2D-9R</t>
        </is>
      </c>
    </row>
    <row r="1151">
      <c r="A1151" t="inlineStr">
        <is>
          <t>COPELAND</t>
        </is>
      </c>
      <c r="B1151" t="inlineStr">
        <is>
          <t>6DC3F93K0-TSK</t>
        </is>
      </c>
      <c r="D1151" t="inlineStr">
        <is>
          <t>Reciprocating Semi-hermetic</t>
        </is>
      </c>
      <c r="E1151" s="2" t="n">
        <v>3</v>
      </c>
      <c r="F1151" s="2" t="n">
        <v>60</v>
      </c>
      <c r="G1151" s="2" t="n">
        <v>460</v>
      </c>
      <c r="H1151" t="inlineStr">
        <is>
          <t>460</t>
        </is>
      </c>
      <c r="I1151" s="2" t="n">
        <v>460</v>
      </c>
      <c r="J1151" s="2" t="n">
        <v>460</v>
      </c>
      <c r="L1151" s="3" t="n"/>
      <c r="M1151" s="3" t="n"/>
      <c r="N1151" s="3" t="n">
        <v>40.4</v>
      </c>
      <c r="O1151" s="3" t="n"/>
      <c r="P1151" s="3">
        <f>IF(L1151&lt;&gt;"",L1151/1.4,"")</f>
        <v/>
      </c>
      <c r="Q1151" s="3">
        <f>IF(L1151&lt;&gt;"",L1151/1.56,"")</f>
        <v/>
      </c>
      <c r="R1151" s="3">
        <f>IF(M1151&lt;&gt;"",M1151/1.4,"")</f>
        <v/>
      </c>
      <c r="S1151" s="3">
        <f>IF(M1151&lt;&gt;"",M1151/1.56,"")</f>
        <v/>
      </c>
      <c r="T1151" s="3">
        <f>IF(N1151&lt;&gt;"",N1151,IF(O1151&lt;&gt;"",O1151,IF(L1151&lt;&gt;"",L1151/1.56,IF(M1151&lt;&gt;"",M1151/1.56,""))))</f>
        <v/>
      </c>
      <c r="U1151" s="3" t="n">
        <v>225</v>
      </c>
      <c r="V1151" s="3" t="n"/>
      <c r="W1151" s="3" t="n"/>
      <c r="X1151" s="4" t="n"/>
      <c r="Y1151" s="5" t="n">
        <v>0.456</v>
      </c>
      <c r="Z1151" s="4">
        <f>IF(L1151&lt;&gt;"",SQRT(3)*G1151*L1151/1000,"")</f>
        <v/>
      </c>
      <c r="AA1151" t="inlineStr">
        <is>
          <t>Source=Copeland 2D/3D/4D/4R/6D/8D/9R compressors (pdf) p53</t>
        </is>
      </c>
      <c r="AB1151" t="inlineStr">
        <is>
          <t>Copeland_RLA_230_460_3ph_60Hz.xlsx</t>
        </is>
      </c>
      <c r="AC1151" t="inlineStr">
        <is>
          <t>Recip_2D-9R</t>
        </is>
      </c>
    </row>
    <row r="1152">
      <c r="A1152" t="inlineStr">
        <is>
          <t>COPELAND</t>
        </is>
      </c>
      <c r="B1152" t="inlineStr">
        <is>
          <t>6DC3F93KE-FSD</t>
        </is>
      </c>
      <c r="D1152" t="inlineStr">
        <is>
          <t>Reciprocating Semi-hermetic</t>
        </is>
      </c>
      <c r="E1152" s="2" t="n">
        <v>3</v>
      </c>
      <c r="F1152" s="2" t="n">
        <v>60</v>
      </c>
      <c r="G1152" s="2" t="n">
        <v>460</v>
      </c>
      <c r="H1152" t="inlineStr">
        <is>
          <t>460</t>
        </is>
      </c>
      <c r="I1152" s="2" t="n">
        <v>460</v>
      </c>
      <c r="J1152" s="2" t="n">
        <v>460</v>
      </c>
      <c r="L1152" s="3" t="n"/>
      <c r="M1152" s="3" t="n"/>
      <c r="N1152" s="3" t="n">
        <v>44.6</v>
      </c>
      <c r="O1152" s="3" t="n"/>
      <c r="P1152" s="3">
        <f>IF(L1152&lt;&gt;"",L1152/1.4,"")</f>
        <v/>
      </c>
      <c r="Q1152" s="3">
        <f>IF(L1152&lt;&gt;"",L1152/1.56,"")</f>
        <v/>
      </c>
      <c r="R1152" s="3">
        <f>IF(M1152&lt;&gt;"",M1152/1.4,"")</f>
        <v/>
      </c>
      <c r="S1152" s="3">
        <f>IF(M1152&lt;&gt;"",M1152/1.56,"")</f>
        <v/>
      </c>
      <c r="T1152" s="3">
        <f>IF(N1152&lt;&gt;"",N1152,IF(O1152&lt;&gt;"",O1152,IF(L1152&lt;&gt;"",L1152/1.56,IF(M1152&lt;&gt;"",M1152/1.56,""))))</f>
        <v/>
      </c>
      <c r="U1152" s="3" t="n">
        <v>218</v>
      </c>
      <c r="V1152" s="3" t="n">
        <v>131</v>
      </c>
      <c r="W1152" s="3" t="n"/>
      <c r="X1152" s="4" t="n"/>
      <c r="Y1152" s="5" t="n">
        <v>0.457</v>
      </c>
      <c r="Z1152" s="4">
        <f>IF(L1152&lt;&gt;"",SQRT(3)*G1152*L1152/1000,"")</f>
        <v/>
      </c>
      <c r="AA1152" t="inlineStr">
        <is>
          <t>Source=Copeland 2D/3D/4D/4R/6D/8D/9R compressors (pdf) p53; PWS_RLA=22.3</t>
        </is>
      </c>
      <c r="AB1152" t="inlineStr">
        <is>
          <t>Copeland_RLA_230_460_3ph_60Hz.xlsx</t>
        </is>
      </c>
      <c r="AC1152" t="inlineStr">
        <is>
          <t>Recip_2D-9R</t>
        </is>
      </c>
    </row>
    <row r="1153">
      <c r="A1153" t="inlineStr">
        <is>
          <t>COPELAND</t>
        </is>
      </c>
      <c r="B1153" t="inlineStr">
        <is>
          <t>6DC3F93KE-TSK</t>
        </is>
      </c>
      <c r="D1153" t="inlineStr">
        <is>
          <t>Reciprocating Semi-hermetic</t>
        </is>
      </c>
      <c r="E1153" s="2" t="n">
        <v>3</v>
      </c>
      <c r="F1153" s="2" t="n">
        <v>60</v>
      </c>
      <c r="G1153" s="2" t="n">
        <v>230</v>
      </c>
      <c r="H1153" t="inlineStr">
        <is>
          <t>208/230</t>
        </is>
      </c>
      <c r="I1153" s="2" t="n">
        <v>208</v>
      </c>
      <c r="J1153" s="2" t="n">
        <v>230</v>
      </c>
      <c r="L1153" s="3" t="n"/>
      <c r="M1153" s="3" t="n"/>
      <c r="N1153" s="3" t="n">
        <v>80.7</v>
      </c>
      <c r="O1153" s="3" t="n"/>
      <c r="P1153" s="3">
        <f>IF(L1153&lt;&gt;"",L1153/1.4,"")</f>
        <v/>
      </c>
      <c r="Q1153" s="3">
        <f>IF(L1153&lt;&gt;"",L1153/1.56,"")</f>
        <v/>
      </c>
      <c r="R1153" s="3">
        <f>IF(M1153&lt;&gt;"",M1153/1.4,"")</f>
        <v/>
      </c>
      <c r="S1153" s="3">
        <f>IF(M1153&lt;&gt;"",M1153/1.56,"")</f>
        <v/>
      </c>
      <c r="T1153" s="3">
        <f>IF(N1153&lt;&gt;"",N1153,IF(O1153&lt;&gt;"",O1153,IF(L1153&lt;&gt;"",L1153/1.56,IF(M1153&lt;&gt;"",M1153/1.56,""))))</f>
        <v/>
      </c>
      <c r="U1153" s="3" t="n">
        <v>450</v>
      </c>
      <c r="V1153" s="3" t="n">
        <v>263</v>
      </c>
      <c r="W1153" s="3" t="n"/>
      <c r="X1153" s="4" t="n"/>
      <c r="Y1153" s="5" t="n">
        <v>0.114</v>
      </c>
      <c r="Z1153" s="4">
        <f>IF(L1153&lt;&gt;"",SQRT(3)*G1153*L1153/1000,"")</f>
        <v/>
      </c>
      <c r="AA1153" t="inlineStr">
        <is>
          <t>Source=Copeland 2D/3D/4D/4R/6D/8D/9R compressors (pdf) p53; PWS_RLA=40.4</t>
        </is>
      </c>
      <c r="AB1153" t="inlineStr">
        <is>
          <t>Copeland_RLA_230_460_3ph_60Hz.xlsx</t>
        </is>
      </c>
      <c r="AC1153" t="inlineStr">
        <is>
          <t>Recip_2D-9R</t>
        </is>
      </c>
    </row>
    <row r="1154">
      <c r="A1154" t="inlineStr">
        <is>
          <t>COPELAND</t>
        </is>
      </c>
      <c r="B1154" t="inlineStr">
        <is>
          <t>6DC3F93KE-TSK</t>
        </is>
      </c>
      <c r="D1154" t="inlineStr">
        <is>
          <t>Reciprocating Semi-hermetic</t>
        </is>
      </c>
      <c r="E1154" s="2" t="n">
        <v>3</v>
      </c>
      <c r="F1154" s="2" t="n">
        <v>60</v>
      </c>
      <c r="G1154" s="2" t="n">
        <v>460</v>
      </c>
      <c r="H1154" t="inlineStr">
        <is>
          <t>460</t>
        </is>
      </c>
      <c r="I1154" s="2" t="n">
        <v>460</v>
      </c>
      <c r="J1154" s="2" t="n">
        <v>460</v>
      </c>
      <c r="L1154" s="3" t="n"/>
      <c r="M1154" s="3" t="n"/>
      <c r="N1154" s="3" t="n">
        <v>40.4</v>
      </c>
      <c r="O1154" s="3" t="n"/>
      <c r="P1154" s="3">
        <f>IF(L1154&lt;&gt;"",L1154/1.4,"")</f>
        <v/>
      </c>
      <c r="Q1154" s="3">
        <f>IF(L1154&lt;&gt;"",L1154/1.56,"")</f>
        <v/>
      </c>
      <c r="R1154" s="3">
        <f>IF(M1154&lt;&gt;"",M1154/1.4,"")</f>
        <v/>
      </c>
      <c r="S1154" s="3">
        <f>IF(M1154&lt;&gt;"",M1154/1.56,"")</f>
        <v/>
      </c>
      <c r="T1154" s="3">
        <f>IF(N1154&lt;&gt;"",N1154,IF(O1154&lt;&gt;"",O1154,IF(L1154&lt;&gt;"",L1154/1.56,IF(M1154&lt;&gt;"",M1154/1.56,""))))</f>
        <v/>
      </c>
      <c r="U1154" s="3" t="n">
        <v>225</v>
      </c>
      <c r="V1154" s="3" t="n"/>
      <c r="W1154" s="3" t="n"/>
      <c r="X1154" s="4" t="n"/>
      <c r="Y1154" s="5" t="n">
        <v>0.456</v>
      </c>
      <c r="Z1154" s="4">
        <f>IF(L1154&lt;&gt;"",SQRT(3)*G1154*L1154/1000,"")</f>
        <v/>
      </c>
      <c r="AA1154" t="inlineStr">
        <is>
          <t>Source=Copeland 2D/3D/4D/4R/6D/8D/9R compressors (pdf) p53</t>
        </is>
      </c>
      <c r="AB1154" t="inlineStr">
        <is>
          <t>Copeland_RLA_230_460_3ph_60Hz.xlsx</t>
        </is>
      </c>
      <c r="AC1154" t="inlineStr">
        <is>
          <t>Recip_2D-9R</t>
        </is>
      </c>
    </row>
    <row r="1155">
      <c r="A1155" t="inlineStr">
        <is>
          <t>COPELAND</t>
        </is>
      </c>
      <c r="B1155" t="inlineStr">
        <is>
          <t>6DC3F93KL-FSD</t>
        </is>
      </c>
      <c r="D1155" t="inlineStr">
        <is>
          <t>Reciprocating Semi-hermetic</t>
        </is>
      </c>
      <c r="E1155" s="2" t="n">
        <v>3</v>
      </c>
      <c r="F1155" s="2" t="n">
        <v>60</v>
      </c>
      <c r="G1155" s="2" t="n">
        <v>460</v>
      </c>
      <c r="H1155" t="inlineStr">
        <is>
          <t>460</t>
        </is>
      </c>
      <c r="I1155" s="2" t="n">
        <v>460</v>
      </c>
      <c r="J1155" s="2" t="n">
        <v>460</v>
      </c>
      <c r="L1155" s="3" t="n"/>
      <c r="M1155" s="3" t="n"/>
      <c r="N1155" s="3" t="n">
        <v>44.6</v>
      </c>
      <c r="O1155" s="3" t="n"/>
      <c r="P1155" s="3">
        <f>IF(L1155&lt;&gt;"",L1155/1.4,"")</f>
        <v/>
      </c>
      <c r="Q1155" s="3">
        <f>IF(L1155&lt;&gt;"",L1155/1.56,"")</f>
        <v/>
      </c>
      <c r="R1155" s="3">
        <f>IF(M1155&lt;&gt;"",M1155/1.4,"")</f>
        <v/>
      </c>
      <c r="S1155" s="3">
        <f>IF(M1155&lt;&gt;"",M1155/1.56,"")</f>
        <v/>
      </c>
      <c r="T1155" s="3">
        <f>IF(N1155&lt;&gt;"",N1155,IF(O1155&lt;&gt;"",O1155,IF(L1155&lt;&gt;"",L1155/1.56,IF(M1155&lt;&gt;"",M1155/1.56,""))))</f>
        <v/>
      </c>
      <c r="U1155" s="3" t="n">
        <v>218</v>
      </c>
      <c r="V1155" s="3" t="n">
        <v>131</v>
      </c>
      <c r="W1155" s="3" t="n"/>
      <c r="X1155" s="4" t="n"/>
      <c r="Y1155" s="5" t="n">
        <v>0.457</v>
      </c>
      <c r="Z1155" s="4">
        <f>IF(L1155&lt;&gt;"",SQRT(3)*G1155*L1155/1000,"")</f>
        <v/>
      </c>
      <c r="AA1155" t="inlineStr">
        <is>
          <t>Source=Copeland 2D/3D/4D/4R/6D/8D/9R compressors (pdf) p53; PWS_RLA=22.3</t>
        </is>
      </c>
      <c r="AB1155" t="inlineStr">
        <is>
          <t>Copeland_RLA_230_460_3ph_60Hz.xlsx</t>
        </is>
      </c>
      <c r="AC1155" t="inlineStr">
        <is>
          <t>Recip_2D-9R</t>
        </is>
      </c>
    </row>
    <row r="1156">
      <c r="A1156" t="inlineStr">
        <is>
          <t>COPELAND</t>
        </is>
      </c>
      <c r="B1156" t="inlineStr">
        <is>
          <t>6DC3F93KL-TSK</t>
        </is>
      </c>
      <c r="D1156" t="inlineStr">
        <is>
          <t>Reciprocating Semi-hermetic</t>
        </is>
      </c>
      <c r="E1156" s="2" t="n">
        <v>3</v>
      </c>
      <c r="F1156" s="2" t="n">
        <v>60</v>
      </c>
      <c r="G1156" s="2" t="n">
        <v>230</v>
      </c>
      <c r="H1156" t="inlineStr">
        <is>
          <t>208/230</t>
        </is>
      </c>
      <c r="I1156" s="2" t="n">
        <v>208</v>
      </c>
      <c r="J1156" s="2" t="n">
        <v>230</v>
      </c>
      <c r="L1156" s="3" t="n"/>
      <c r="M1156" s="3" t="n"/>
      <c r="N1156" s="3" t="n">
        <v>80.7</v>
      </c>
      <c r="O1156" s="3" t="n"/>
      <c r="P1156" s="3">
        <f>IF(L1156&lt;&gt;"",L1156/1.4,"")</f>
        <v/>
      </c>
      <c r="Q1156" s="3">
        <f>IF(L1156&lt;&gt;"",L1156/1.56,"")</f>
        <v/>
      </c>
      <c r="R1156" s="3">
        <f>IF(M1156&lt;&gt;"",M1156/1.4,"")</f>
        <v/>
      </c>
      <c r="S1156" s="3">
        <f>IF(M1156&lt;&gt;"",M1156/1.56,"")</f>
        <v/>
      </c>
      <c r="T1156" s="3">
        <f>IF(N1156&lt;&gt;"",N1156,IF(O1156&lt;&gt;"",O1156,IF(L1156&lt;&gt;"",L1156/1.56,IF(M1156&lt;&gt;"",M1156/1.56,""))))</f>
        <v/>
      </c>
      <c r="U1156" s="3" t="n">
        <v>450</v>
      </c>
      <c r="V1156" s="3" t="n">
        <v>263</v>
      </c>
      <c r="W1156" s="3" t="n"/>
      <c r="X1156" s="4" t="n"/>
      <c r="Y1156" s="5" t="n">
        <v>0.114</v>
      </c>
      <c r="Z1156" s="4">
        <f>IF(L1156&lt;&gt;"",SQRT(3)*G1156*L1156/1000,"")</f>
        <v/>
      </c>
      <c r="AA1156" t="inlineStr">
        <is>
          <t>Source=Copeland 2D/3D/4D/4R/6D/8D/9R compressors (pdf) p53; PWS_RLA=40.4</t>
        </is>
      </c>
      <c r="AB1156" t="inlineStr">
        <is>
          <t>Copeland_RLA_230_460_3ph_60Hz.xlsx</t>
        </is>
      </c>
      <c r="AC1156" t="inlineStr">
        <is>
          <t>Recip_2D-9R</t>
        </is>
      </c>
    </row>
    <row r="1157">
      <c r="A1157" t="inlineStr">
        <is>
          <t>COPELAND</t>
        </is>
      </c>
      <c r="B1157" t="inlineStr">
        <is>
          <t>6DC3F93KL-TSK</t>
        </is>
      </c>
      <c r="D1157" t="inlineStr">
        <is>
          <t>Reciprocating Semi-hermetic</t>
        </is>
      </c>
      <c r="E1157" s="2" t="n">
        <v>3</v>
      </c>
      <c r="F1157" s="2" t="n">
        <v>60</v>
      </c>
      <c r="G1157" s="2" t="n">
        <v>460</v>
      </c>
      <c r="H1157" t="inlineStr">
        <is>
          <t>460</t>
        </is>
      </c>
      <c r="I1157" s="2" t="n">
        <v>460</v>
      </c>
      <c r="J1157" s="2" t="n">
        <v>460</v>
      </c>
      <c r="L1157" s="3" t="n"/>
      <c r="M1157" s="3" t="n"/>
      <c r="N1157" s="3" t="n">
        <v>40.4</v>
      </c>
      <c r="O1157" s="3" t="n"/>
      <c r="P1157" s="3">
        <f>IF(L1157&lt;&gt;"",L1157/1.4,"")</f>
        <v/>
      </c>
      <c r="Q1157" s="3">
        <f>IF(L1157&lt;&gt;"",L1157/1.56,"")</f>
        <v/>
      </c>
      <c r="R1157" s="3">
        <f>IF(M1157&lt;&gt;"",M1157/1.4,"")</f>
        <v/>
      </c>
      <c r="S1157" s="3">
        <f>IF(M1157&lt;&gt;"",M1157/1.56,"")</f>
        <v/>
      </c>
      <c r="T1157" s="3">
        <f>IF(N1157&lt;&gt;"",N1157,IF(O1157&lt;&gt;"",O1157,IF(L1157&lt;&gt;"",L1157/1.56,IF(M1157&lt;&gt;"",M1157/1.56,""))))</f>
        <v/>
      </c>
      <c r="U1157" s="3" t="n">
        <v>225</v>
      </c>
      <c r="V1157" s="3" t="n"/>
      <c r="W1157" s="3" t="n"/>
      <c r="X1157" s="4" t="n"/>
      <c r="Y1157" s="5" t="n">
        <v>0.456</v>
      </c>
      <c r="Z1157" s="4">
        <f>IF(L1157&lt;&gt;"",SQRT(3)*G1157*L1157/1000,"")</f>
        <v/>
      </c>
      <c r="AA1157" t="inlineStr">
        <is>
          <t>Source=Copeland 2D/3D/4D/4R/6D/8D/9R compressors (pdf) p53</t>
        </is>
      </c>
      <c r="AB1157" t="inlineStr">
        <is>
          <t>Copeland_RLA_230_460_3ph_60Hz.xlsx</t>
        </is>
      </c>
      <c r="AC1157" t="inlineStr">
        <is>
          <t>Recip_2D-9R</t>
        </is>
      </c>
    </row>
    <row r="1158">
      <c r="A1158" t="inlineStr">
        <is>
          <t>COPELAND</t>
        </is>
      </c>
      <c r="B1158" t="inlineStr">
        <is>
          <t>6DCG-2700-FSD</t>
        </is>
      </c>
      <c r="D1158" t="inlineStr">
        <is>
          <t>Reciprocating Semi-hermetic</t>
        </is>
      </c>
      <c r="E1158" s="2" t="n">
        <v>3</v>
      </c>
      <c r="F1158" s="2" t="n">
        <v>60</v>
      </c>
      <c r="G1158" s="2" t="n">
        <v>460</v>
      </c>
      <c r="H1158" t="inlineStr">
        <is>
          <t>460</t>
        </is>
      </c>
      <c r="I1158" s="2" t="n">
        <v>460</v>
      </c>
      <c r="J1158" s="2" t="n">
        <v>460</v>
      </c>
      <c r="L1158" s="3" t="n"/>
      <c r="M1158" s="3" t="n"/>
      <c r="N1158" s="3" t="n">
        <v>41.6</v>
      </c>
      <c r="O1158" s="3" t="n"/>
      <c r="P1158" s="3">
        <f>IF(L1158&lt;&gt;"",L1158/1.4,"")</f>
        <v/>
      </c>
      <c r="Q1158" s="3">
        <f>IF(L1158&lt;&gt;"",L1158/1.56,"")</f>
        <v/>
      </c>
      <c r="R1158" s="3">
        <f>IF(M1158&lt;&gt;"",M1158/1.4,"")</f>
        <v/>
      </c>
      <c r="S1158" s="3">
        <f>IF(M1158&lt;&gt;"",M1158/1.56,"")</f>
        <v/>
      </c>
      <c r="T1158" s="3">
        <f>IF(N1158&lt;&gt;"",N1158,IF(O1158&lt;&gt;"",O1158,IF(L1158&lt;&gt;"",L1158/1.56,IF(M1158&lt;&gt;"",M1158/1.56,""))))</f>
        <v/>
      </c>
      <c r="U1158" s="3" t="n">
        <v>218</v>
      </c>
      <c r="V1158" s="3" t="n">
        <v>131</v>
      </c>
      <c r="W1158" s="3" t="n"/>
      <c r="X1158" s="4" t="n"/>
      <c r="Y1158" s="5" t="n">
        <v>0.457</v>
      </c>
      <c r="Z1158" s="4">
        <f>IF(L1158&lt;&gt;"",SQRT(3)*G1158*L1158/1000,"")</f>
        <v/>
      </c>
      <c r="AA1158" t="inlineStr">
        <is>
          <t>Source=Copeland 2D/3D/4D/4R/6D/8D/9R compressors (pdf) p53; PWS_RLA=20.8</t>
        </is>
      </c>
      <c r="AB1158" t="inlineStr">
        <is>
          <t>Copeland_RLA_230_460_3ph_60Hz.xlsx</t>
        </is>
      </c>
      <c r="AC1158" t="inlineStr">
        <is>
          <t>Recip_2D-9R</t>
        </is>
      </c>
    </row>
    <row r="1159">
      <c r="A1159" t="inlineStr">
        <is>
          <t>COPELAND</t>
        </is>
      </c>
      <c r="B1159" t="inlineStr">
        <is>
          <t>6DCG-270E-FSD</t>
        </is>
      </c>
      <c r="D1159" t="inlineStr">
        <is>
          <t>Reciprocating Semi-hermetic</t>
        </is>
      </c>
      <c r="E1159" s="2" t="n">
        <v>3</v>
      </c>
      <c r="F1159" s="2" t="n">
        <v>60</v>
      </c>
      <c r="G1159" s="2" t="n">
        <v>460</v>
      </c>
      <c r="H1159" t="inlineStr">
        <is>
          <t>460</t>
        </is>
      </c>
      <c r="I1159" s="2" t="n">
        <v>460</v>
      </c>
      <c r="J1159" s="2" t="n">
        <v>460</v>
      </c>
      <c r="L1159" s="3" t="n"/>
      <c r="M1159" s="3" t="n"/>
      <c r="N1159" s="3" t="n">
        <v>41.6</v>
      </c>
      <c r="O1159" s="3" t="n"/>
      <c r="P1159" s="3">
        <f>IF(L1159&lt;&gt;"",L1159/1.4,"")</f>
        <v/>
      </c>
      <c r="Q1159" s="3">
        <f>IF(L1159&lt;&gt;"",L1159/1.56,"")</f>
        <v/>
      </c>
      <c r="R1159" s="3">
        <f>IF(M1159&lt;&gt;"",M1159/1.4,"")</f>
        <v/>
      </c>
      <c r="S1159" s="3">
        <f>IF(M1159&lt;&gt;"",M1159/1.56,"")</f>
        <v/>
      </c>
      <c r="T1159" s="3">
        <f>IF(N1159&lt;&gt;"",N1159,IF(O1159&lt;&gt;"",O1159,IF(L1159&lt;&gt;"",L1159/1.56,IF(M1159&lt;&gt;"",M1159/1.56,""))))</f>
        <v/>
      </c>
      <c r="U1159" s="3" t="n">
        <v>218</v>
      </c>
      <c r="V1159" s="3" t="n">
        <v>131</v>
      </c>
      <c r="W1159" s="3" t="n"/>
      <c r="X1159" s="4" t="n"/>
      <c r="Y1159" s="5" t="n">
        <v>0.457</v>
      </c>
      <c r="Z1159" s="4">
        <f>IF(L1159&lt;&gt;"",SQRT(3)*G1159*L1159/1000,"")</f>
        <v/>
      </c>
      <c r="AA1159" t="inlineStr">
        <is>
          <t>Source=Copeland 2D/3D/4D/4R/6D/8D/9R compressors (pdf) p53; PWS_RLA=20.8</t>
        </is>
      </c>
      <c r="AB1159" t="inlineStr">
        <is>
          <t>Copeland_RLA_230_460_3ph_60Hz.xlsx</t>
        </is>
      </c>
      <c r="AC1159" t="inlineStr">
        <is>
          <t>Recip_2D-9R</t>
        </is>
      </c>
    </row>
    <row r="1160">
      <c r="A1160" t="inlineStr">
        <is>
          <t>COPELAND</t>
        </is>
      </c>
      <c r="B1160" t="inlineStr">
        <is>
          <t>6DCG-270L-FSD</t>
        </is>
      </c>
      <c r="D1160" t="inlineStr">
        <is>
          <t>Reciprocating Semi-hermetic</t>
        </is>
      </c>
      <c r="E1160" s="2" t="n">
        <v>3</v>
      </c>
      <c r="F1160" s="2" t="n">
        <v>60</v>
      </c>
      <c r="G1160" s="2" t="n">
        <v>460</v>
      </c>
      <c r="H1160" t="inlineStr">
        <is>
          <t>460</t>
        </is>
      </c>
      <c r="I1160" s="2" t="n">
        <v>460</v>
      </c>
      <c r="J1160" s="2" t="n">
        <v>460</v>
      </c>
      <c r="L1160" s="3" t="n"/>
      <c r="M1160" s="3" t="n"/>
      <c r="N1160" s="3" t="n">
        <v>41.6</v>
      </c>
      <c r="O1160" s="3" t="n"/>
      <c r="P1160" s="3">
        <f>IF(L1160&lt;&gt;"",L1160/1.4,"")</f>
        <v/>
      </c>
      <c r="Q1160" s="3">
        <f>IF(L1160&lt;&gt;"",L1160/1.56,"")</f>
        <v/>
      </c>
      <c r="R1160" s="3">
        <f>IF(M1160&lt;&gt;"",M1160/1.4,"")</f>
        <v/>
      </c>
      <c r="S1160" s="3">
        <f>IF(M1160&lt;&gt;"",M1160/1.56,"")</f>
        <v/>
      </c>
      <c r="T1160" s="3">
        <f>IF(N1160&lt;&gt;"",N1160,IF(O1160&lt;&gt;"",O1160,IF(L1160&lt;&gt;"",L1160/1.56,IF(M1160&lt;&gt;"",M1160/1.56,""))))</f>
        <v/>
      </c>
      <c r="U1160" s="3" t="n">
        <v>218</v>
      </c>
      <c r="V1160" s="3" t="n">
        <v>131</v>
      </c>
      <c r="W1160" s="3" t="n"/>
      <c r="X1160" s="4" t="n"/>
      <c r="Y1160" s="5" t="n">
        <v>0.457</v>
      </c>
      <c r="Z1160" s="4">
        <f>IF(L1160&lt;&gt;"",SQRT(3)*G1160*L1160/1000,"")</f>
        <v/>
      </c>
      <c r="AA1160" t="inlineStr">
        <is>
          <t>Source=Copeland 2D/3D/4D/4R/6D/8D/9R compressors (pdf) p53; PWS_RLA=20.8</t>
        </is>
      </c>
      <c r="AB1160" t="inlineStr">
        <is>
          <t>Copeland_RLA_230_460_3ph_60Hz.xlsx</t>
        </is>
      </c>
      <c r="AC1160" t="inlineStr">
        <is>
          <t>Recip_2D-9R</t>
        </is>
      </c>
    </row>
    <row r="1161">
      <c r="A1161" t="inlineStr">
        <is>
          <t>COPELAND</t>
        </is>
      </c>
      <c r="B1161" t="inlineStr">
        <is>
          <t>6DD1-2700-FSD</t>
        </is>
      </c>
      <c r="D1161" t="inlineStr">
        <is>
          <t>Reciprocating Semi-hermetic</t>
        </is>
      </c>
      <c r="E1161" s="2" t="n">
        <v>3</v>
      </c>
      <c r="F1161" s="2" t="n">
        <v>60</v>
      </c>
      <c r="G1161" s="2" t="n">
        <v>460</v>
      </c>
      <c r="H1161" t="inlineStr">
        <is>
          <t>460</t>
        </is>
      </c>
      <c r="I1161" s="2" t="n">
        <v>460</v>
      </c>
      <c r="J1161" s="2" t="n">
        <v>460</v>
      </c>
      <c r="L1161" s="3" t="n"/>
      <c r="M1161" s="3" t="n"/>
      <c r="N1161" s="3" t="n">
        <v>42.9</v>
      </c>
      <c r="O1161" s="3" t="n"/>
      <c r="P1161" s="3">
        <f>IF(L1161&lt;&gt;"",L1161/1.4,"")</f>
        <v/>
      </c>
      <c r="Q1161" s="3">
        <f>IF(L1161&lt;&gt;"",L1161/1.56,"")</f>
        <v/>
      </c>
      <c r="R1161" s="3">
        <f>IF(M1161&lt;&gt;"",M1161/1.4,"")</f>
        <v/>
      </c>
      <c r="S1161" s="3">
        <f>IF(M1161&lt;&gt;"",M1161/1.56,"")</f>
        <v/>
      </c>
      <c r="T1161" s="3">
        <f>IF(N1161&lt;&gt;"",N1161,IF(O1161&lt;&gt;"",O1161,IF(L1161&lt;&gt;"",L1161/1.56,IF(M1161&lt;&gt;"",M1161/1.56,""))))</f>
        <v/>
      </c>
      <c r="U1161" s="3" t="n">
        <v>218</v>
      </c>
      <c r="V1161" s="3" t="n">
        <v>131</v>
      </c>
      <c r="W1161" s="3" t="n"/>
      <c r="X1161" s="4" t="n"/>
      <c r="Y1161" s="5" t="n">
        <v>0.457</v>
      </c>
      <c r="Z1161" s="4">
        <f>IF(L1161&lt;&gt;"",SQRT(3)*G1161*L1161/1000,"")</f>
        <v/>
      </c>
      <c r="AA1161" t="inlineStr">
        <is>
          <t>Source=Copeland 2D/3D/4D/4R/6D/8D/9R compressors (pdf) p53; PWS_RLA=21.5</t>
        </is>
      </c>
      <c r="AB1161" t="inlineStr">
        <is>
          <t>Copeland_RLA_230_460_3ph_60Hz.xlsx</t>
        </is>
      </c>
      <c r="AC1161" t="inlineStr">
        <is>
          <t>Recip_2D-9R</t>
        </is>
      </c>
    </row>
    <row r="1162">
      <c r="A1162" t="inlineStr">
        <is>
          <t>COPELAND</t>
        </is>
      </c>
      <c r="B1162" t="inlineStr">
        <is>
          <t>6DD1-2700-TSK</t>
        </is>
      </c>
      <c r="D1162" t="inlineStr">
        <is>
          <t>Reciprocating Semi-hermetic</t>
        </is>
      </c>
      <c r="E1162" s="2" t="n">
        <v>3</v>
      </c>
      <c r="F1162" s="2" t="n">
        <v>60</v>
      </c>
      <c r="G1162" s="2" t="n">
        <v>230</v>
      </c>
      <c r="H1162" t="inlineStr">
        <is>
          <t>208/230</t>
        </is>
      </c>
      <c r="I1162" s="2" t="n">
        <v>208</v>
      </c>
      <c r="J1162" s="2" t="n">
        <v>230</v>
      </c>
      <c r="L1162" s="3" t="n"/>
      <c r="M1162" s="3" t="n"/>
      <c r="N1162" s="3" t="n">
        <v>89.3</v>
      </c>
      <c r="O1162" s="3" t="n"/>
      <c r="P1162" s="3">
        <f>IF(L1162&lt;&gt;"",L1162/1.4,"")</f>
        <v/>
      </c>
      <c r="Q1162" s="3">
        <f>IF(L1162&lt;&gt;"",L1162/1.56,"")</f>
        <v/>
      </c>
      <c r="R1162" s="3">
        <f>IF(M1162&lt;&gt;"",M1162/1.4,"")</f>
        <v/>
      </c>
      <c r="S1162" s="3">
        <f>IF(M1162&lt;&gt;"",M1162/1.56,"")</f>
        <v/>
      </c>
      <c r="T1162" s="3">
        <f>IF(N1162&lt;&gt;"",N1162,IF(O1162&lt;&gt;"",O1162,IF(L1162&lt;&gt;"",L1162/1.56,IF(M1162&lt;&gt;"",M1162/1.56,""))))</f>
        <v/>
      </c>
      <c r="U1162" s="3" t="n">
        <v>450</v>
      </c>
      <c r="V1162" s="3" t="n">
        <v>263</v>
      </c>
      <c r="W1162" s="3" t="n"/>
      <c r="X1162" s="4" t="n"/>
      <c r="Y1162" s="5" t="n">
        <v>0.114</v>
      </c>
      <c r="Z1162" s="4">
        <f>IF(L1162&lt;&gt;"",SQRT(3)*G1162*L1162/1000,"")</f>
        <v/>
      </c>
      <c r="AA1162" t="inlineStr">
        <is>
          <t>Source=Copeland 2D/3D/4D/4R/6D/8D/9R compressors (pdf) p53; PWS_RLA=44.7</t>
        </is>
      </c>
      <c r="AB1162" t="inlineStr">
        <is>
          <t>Copeland_RLA_230_460_3ph_60Hz.xlsx</t>
        </is>
      </c>
      <c r="AC1162" t="inlineStr">
        <is>
          <t>Recip_2D-9R</t>
        </is>
      </c>
    </row>
    <row r="1163">
      <c r="A1163" t="inlineStr">
        <is>
          <t>COPELAND</t>
        </is>
      </c>
      <c r="B1163" t="inlineStr">
        <is>
          <t>6DD1-2700-TSK</t>
        </is>
      </c>
      <c r="D1163" t="inlineStr">
        <is>
          <t>Reciprocating Semi-hermetic</t>
        </is>
      </c>
      <c r="E1163" s="2" t="n">
        <v>3</v>
      </c>
      <c r="F1163" s="2" t="n">
        <v>60</v>
      </c>
      <c r="G1163" s="2" t="n">
        <v>460</v>
      </c>
      <c r="H1163" t="inlineStr">
        <is>
          <t>460</t>
        </is>
      </c>
      <c r="I1163" s="2" t="n">
        <v>460</v>
      </c>
      <c r="J1163" s="2" t="n">
        <v>460</v>
      </c>
      <c r="L1163" s="3" t="n"/>
      <c r="M1163" s="3" t="n"/>
      <c r="N1163" s="3" t="n">
        <v>44.6</v>
      </c>
      <c r="O1163" s="3" t="n"/>
      <c r="P1163" s="3">
        <f>IF(L1163&lt;&gt;"",L1163/1.4,"")</f>
        <v/>
      </c>
      <c r="Q1163" s="3">
        <f>IF(L1163&lt;&gt;"",L1163/1.56,"")</f>
        <v/>
      </c>
      <c r="R1163" s="3">
        <f>IF(M1163&lt;&gt;"",M1163/1.4,"")</f>
        <v/>
      </c>
      <c r="S1163" s="3">
        <f>IF(M1163&lt;&gt;"",M1163/1.56,"")</f>
        <v/>
      </c>
      <c r="T1163" s="3">
        <f>IF(N1163&lt;&gt;"",N1163,IF(O1163&lt;&gt;"",O1163,IF(L1163&lt;&gt;"",L1163/1.56,IF(M1163&lt;&gt;"",M1163/1.56,""))))</f>
        <v/>
      </c>
      <c r="U1163" s="3" t="n">
        <v>225</v>
      </c>
      <c r="V1163" s="3" t="n"/>
      <c r="W1163" s="3" t="n"/>
      <c r="X1163" s="4" t="n"/>
      <c r="Y1163" s="5" t="n">
        <v>0.456</v>
      </c>
      <c r="Z1163" s="4">
        <f>IF(L1163&lt;&gt;"",SQRT(3)*G1163*L1163/1000,"")</f>
        <v/>
      </c>
      <c r="AA1163" t="inlineStr">
        <is>
          <t>Source=Copeland 2D/3D/4D/4R/6D/8D/9R compressors (pdf) p53</t>
        </is>
      </c>
      <c r="AB1163" t="inlineStr">
        <is>
          <t>Copeland_RLA_230_460_3ph_60Hz.xlsx</t>
        </is>
      </c>
      <c r="AC1163" t="inlineStr">
        <is>
          <t>Recip_2D-9R</t>
        </is>
      </c>
    </row>
    <row r="1164">
      <c r="A1164" t="inlineStr">
        <is>
          <t>COPELAND</t>
        </is>
      </c>
      <c r="B1164" t="inlineStr">
        <is>
          <t>6DD1A2700-FSD</t>
        </is>
      </c>
      <c r="D1164" t="inlineStr">
        <is>
          <t>Reciprocating Semi-hermetic</t>
        </is>
      </c>
      <c r="E1164" s="2" t="n">
        <v>3</v>
      </c>
      <c r="F1164" s="2" t="n">
        <v>60</v>
      </c>
      <c r="G1164" s="2" t="n">
        <v>460</v>
      </c>
      <c r="H1164" t="inlineStr">
        <is>
          <t>460</t>
        </is>
      </c>
      <c r="I1164" s="2" t="n">
        <v>460</v>
      </c>
      <c r="J1164" s="2" t="n">
        <v>460</v>
      </c>
      <c r="L1164" s="3" t="n"/>
      <c r="M1164" s="3" t="n"/>
      <c r="N1164" s="3" t="n">
        <v>42.9</v>
      </c>
      <c r="O1164" s="3" t="n"/>
      <c r="P1164" s="3">
        <f>IF(L1164&lt;&gt;"",L1164/1.4,"")</f>
        <v/>
      </c>
      <c r="Q1164" s="3">
        <f>IF(L1164&lt;&gt;"",L1164/1.56,"")</f>
        <v/>
      </c>
      <c r="R1164" s="3">
        <f>IF(M1164&lt;&gt;"",M1164/1.4,"")</f>
        <v/>
      </c>
      <c r="S1164" s="3">
        <f>IF(M1164&lt;&gt;"",M1164/1.56,"")</f>
        <v/>
      </c>
      <c r="T1164" s="3">
        <f>IF(N1164&lt;&gt;"",N1164,IF(O1164&lt;&gt;"",O1164,IF(L1164&lt;&gt;"",L1164/1.56,IF(M1164&lt;&gt;"",M1164/1.56,""))))</f>
        <v/>
      </c>
      <c r="U1164" s="3" t="n">
        <v>218</v>
      </c>
      <c r="V1164" s="3" t="n">
        <v>131</v>
      </c>
      <c r="W1164" s="3" t="n"/>
      <c r="X1164" s="4" t="n"/>
      <c r="Y1164" s="5" t="n">
        <v>0.457</v>
      </c>
      <c r="Z1164" s="4">
        <f>IF(L1164&lt;&gt;"",SQRT(3)*G1164*L1164/1000,"")</f>
        <v/>
      </c>
      <c r="AA1164" t="inlineStr">
        <is>
          <t>Source=Copeland 2D/3D/4D/4R/6D/8D/9R compressors (pdf) p53; PWS_RLA=21.5</t>
        </is>
      </c>
      <c r="AB1164" t="inlineStr">
        <is>
          <t>Copeland_RLA_230_460_3ph_60Hz.xlsx</t>
        </is>
      </c>
      <c r="AC1164" t="inlineStr">
        <is>
          <t>Recip_2D-9R</t>
        </is>
      </c>
    </row>
    <row r="1165">
      <c r="A1165" t="inlineStr">
        <is>
          <t>COPELAND</t>
        </is>
      </c>
      <c r="B1165" t="inlineStr">
        <is>
          <t>6DD1A2700-TSK</t>
        </is>
      </c>
      <c r="D1165" t="inlineStr">
        <is>
          <t>Reciprocating Semi-hermetic</t>
        </is>
      </c>
      <c r="E1165" s="2" t="n">
        <v>3</v>
      </c>
      <c r="F1165" s="2" t="n">
        <v>60</v>
      </c>
      <c r="G1165" s="2" t="n">
        <v>230</v>
      </c>
      <c r="H1165" t="inlineStr">
        <is>
          <t>208/230</t>
        </is>
      </c>
      <c r="I1165" s="2" t="n">
        <v>208</v>
      </c>
      <c r="J1165" s="2" t="n">
        <v>230</v>
      </c>
      <c r="L1165" s="3" t="n"/>
      <c r="M1165" s="3" t="n"/>
      <c r="N1165" s="3" t="n">
        <v>89.3</v>
      </c>
      <c r="O1165" s="3" t="n"/>
      <c r="P1165" s="3">
        <f>IF(L1165&lt;&gt;"",L1165/1.4,"")</f>
        <v/>
      </c>
      <c r="Q1165" s="3">
        <f>IF(L1165&lt;&gt;"",L1165/1.56,"")</f>
        <v/>
      </c>
      <c r="R1165" s="3">
        <f>IF(M1165&lt;&gt;"",M1165/1.4,"")</f>
        <v/>
      </c>
      <c r="S1165" s="3">
        <f>IF(M1165&lt;&gt;"",M1165/1.56,"")</f>
        <v/>
      </c>
      <c r="T1165" s="3">
        <f>IF(N1165&lt;&gt;"",N1165,IF(O1165&lt;&gt;"",O1165,IF(L1165&lt;&gt;"",L1165/1.56,IF(M1165&lt;&gt;"",M1165/1.56,""))))</f>
        <v/>
      </c>
      <c r="U1165" s="3" t="n">
        <v>450</v>
      </c>
      <c r="V1165" s="3" t="n">
        <v>263</v>
      </c>
      <c r="W1165" s="3" t="n"/>
      <c r="X1165" s="4" t="n"/>
      <c r="Y1165" s="5" t="n">
        <v>0.114</v>
      </c>
      <c r="Z1165" s="4">
        <f>IF(L1165&lt;&gt;"",SQRT(3)*G1165*L1165/1000,"")</f>
        <v/>
      </c>
      <c r="AA1165" t="inlineStr">
        <is>
          <t>Source=Copeland 2D/3D/4D/4R/6D/8D/9R compressors (pdf) p53; PWS_RLA=44.7</t>
        </is>
      </c>
      <c r="AB1165" t="inlineStr">
        <is>
          <t>Copeland_RLA_230_460_3ph_60Hz.xlsx</t>
        </is>
      </c>
      <c r="AC1165" t="inlineStr">
        <is>
          <t>Recip_2D-9R</t>
        </is>
      </c>
    </row>
    <row r="1166">
      <c r="A1166" t="inlineStr">
        <is>
          <t>COPELAND</t>
        </is>
      </c>
      <c r="B1166" t="inlineStr">
        <is>
          <t>6DD1A2700-TSK</t>
        </is>
      </c>
      <c r="D1166" t="inlineStr">
        <is>
          <t>Reciprocating Semi-hermetic</t>
        </is>
      </c>
      <c r="E1166" s="2" t="n">
        <v>3</v>
      </c>
      <c r="F1166" s="2" t="n">
        <v>60</v>
      </c>
      <c r="G1166" s="2" t="n">
        <v>460</v>
      </c>
      <c r="H1166" t="inlineStr">
        <is>
          <t>460</t>
        </is>
      </c>
      <c r="I1166" s="2" t="n">
        <v>460</v>
      </c>
      <c r="J1166" s="2" t="n">
        <v>460</v>
      </c>
      <c r="L1166" s="3" t="n"/>
      <c r="M1166" s="3" t="n"/>
      <c r="N1166" s="3" t="n">
        <v>44.6</v>
      </c>
      <c r="O1166" s="3" t="n"/>
      <c r="P1166" s="3">
        <f>IF(L1166&lt;&gt;"",L1166/1.4,"")</f>
        <v/>
      </c>
      <c r="Q1166" s="3">
        <f>IF(L1166&lt;&gt;"",L1166/1.56,"")</f>
        <v/>
      </c>
      <c r="R1166" s="3">
        <f>IF(M1166&lt;&gt;"",M1166/1.4,"")</f>
        <v/>
      </c>
      <c r="S1166" s="3">
        <f>IF(M1166&lt;&gt;"",M1166/1.56,"")</f>
        <v/>
      </c>
      <c r="T1166" s="3">
        <f>IF(N1166&lt;&gt;"",N1166,IF(O1166&lt;&gt;"",O1166,IF(L1166&lt;&gt;"",L1166/1.56,IF(M1166&lt;&gt;"",M1166/1.56,""))))</f>
        <v/>
      </c>
      <c r="U1166" s="3" t="n">
        <v>225</v>
      </c>
      <c r="V1166" s="3" t="n"/>
      <c r="W1166" s="3" t="n"/>
      <c r="X1166" s="4" t="n"/>
      <c r="Y1166" s="5" t="n">
        <v>0.456</v>
      </c>
      <c r="Z1166" s="4">
        <f>IF(L1166&lt;&gt;"",SQRT(3)*G1166*L1166/1000,"")</f>
        <v/>
      </c>
      <c r="AA1166" t="inlineStr">
        <is>
          <t>Source=Copeland 2D/3D/4D/4R/6D/8D/9R compressors (pdf) p53</t>
        </is>
      </c>
      <c r="AB1166" t="inlineStr">
        <is>
          <t>Copeland_RLA_230_460_3ph_60Hz.xlsx</t>
        </is>
      </c>
      <c r="AC1166" t="inlineStr">
        <is>
          <t>Recip_2D-9R</t>
        </is>
      </c>
    </row>
    <row r="1167">
      <c r="A1167" t="inlineStr">
        <is>
          <t>COPELAND</t>
        </is>
      </c>
      <c r="B1167" t="inlineStr">
        <is>
          <t>6DD3-2700-FSD</t>
        </is>
      </c>
      <c r="D1167" t="inlineStr">
        <is>
          <t>Reciprocating Semi-hermetic</t>
        </is>
      </c>
      <c r="E1167" s="2" t="n">
        <v>3</v>
      </c>
      <c r="F1167" s="2" t="n">
        <v>60</v>
      </c>
      <c r="G1167" s="2" t="n">
        <v>460</v>
      </c>
      <c r="H1167" t="inlineStr">
        <is>
          <t>460</t>
        </is>
      </c>
      <c r="I1167" s="2" t="n">
        <v>460</v>
      </c>
      <c r="J1167" s="2" t="n">
        <v>460</v>
      </c>
      <c r="L1167" s="3" t="n"/>
      <c r="M1167" s="3" t="n"/>
      <c r="N1167" s="3" t="n">
        <v>41.6</v>
      </c>
      <c r="O1167" s="3" t="n"/>
      <c r="P1167" s="3">
        <f>IF(L1167&lt;&gt;"",L1167/1.4,"")</f>
        <v/>
      </c>
      <c r="Q1167" s="3">
        <f>IF(L1167&lt;&gt;"",L1167/1.56,"")</f>
        <v/>
      </c>
      <c r="R1167" s="3">
        <f>IF(M1167&lt;&gt;"",M1167/1.4,"")</f>
        <v/>
      </c>
      <c r="S1167" s="3">
        <f>IF(M1167&lt;&gt;"",M1167/1.56,"")</f>
        <v/>
      </c>
      <c r="T1167" s="3">
        <f>IF(N1167&lt;&gt;"",N1167,IF(O1167&lt;&gt;"",O1167,IF(L1167&lt;&gt;"",L1167/1.56,IF(M1167&lt;&gt;"",M1167/1.56,""))))</f>
        <v/>
      </c>
      <c r="U1167" s="3" t="n">
        <v>218</v>
      </c>
      <c r="V1167" s="3" t="n">
        <v>131</v>
      </c>
      <c r="W1167" s="3" t="n"/>
      <c r="X1167" s="4" t="n"/>
      <c r="Y1167" s="5" t="n">
        <v>0.457</v>
      </c>
      <c r="Z1167" s="4">
        <f>IF(L1167&lt;&gt;"",SQRT(3)*G1167*L1167/1000,"")</f>
        <v/>
      </c>
      <c r="AA1167" t="inlineStr">
        <is>
          <t>Source=Copeland 2D/3D/4D/4R/6D/8D/9R compressors (pdf) p53; PWS_RLA=20.8</t>
        </is>
      </c>
      <c r="AB1167" t="inlineStr">
        <is>
          <t>Copeland_RLA_230_460_3ph_60Hz.xlsx</t>
        </is>
      </c>
      <c r="AC1167" t="inlineStr">
        <is>
          <t>Recip_2D-9R</t>
        </is>
      </c>
    </row>
    <row r="1168">
      <c r="A1168" t="inlineStr">
        <is>
          <t>COPELAND</t>
        </is>
      </c>
      <c r="B1168" t="inlineStr">
        <is>
          <t>6DD3-2700-TSK</t>
        </is>
      </c>
      <c r="D1168" t="inlineStr">
        <is>
          <t>Reciprocating Semi-hermetic</t>
        </is>
      </c>
      <c r="E1168" s="2" t="n">
        <v>3</v>
      </c>
      <c r="F1168" s="2" t="n">
        <v>60</v>
      </c>
      <c r="G1168" s="2" t="n">
        <v>230</v>
      </c>
      <c r="H1168" t="inlineStr">
        <is>
          <t>208/230</t>
        </is>
      </c>
      <c r="I1168" s="2" t="n">
        <v>208</v>
      </c>
      <c r="J1168" s="2" t="n">
        <v>230</v>
      </c>
      <c r="L1168" s="3" t="n"/>
      <c r="M1168" s="3" t="n"/>
      <c r="N1168" s="3" t="n">
        <v>80.7</v>
      </c>
      <c r="O1168" s="3" t="n"/>
      <c r="P1168" s="3">
        <f>IF(L1168&lt;&gt;"",L1168/1.4,"")</f>
        <v/>
      </c>
      <c r="Q1168" s="3">
        <f>IF(L1168&lt;&gt;"",L1168/1.56,"")</f>
        <v/>
      </c>
      <c r="R1168" s="3">
        <f>IF(M1168&lt;&gt;"",M1168/1.4,"")</f>
        <v/>
      </c>
      <c r="S1168" s="3">
        <f>IF(M1168&lt;&gt;"",M1168/1.56,"")</f>
        <v/>
      </c>
      <c r="T1168" s="3">
        <f>IF(N1168&lt;&gt;"",N1168,IF(O1168&lt;&gt;"",O1168,IF(L1168&lt;&gt;"",L1168/1.56,IF(M1168&lt;&gt;"",M1168/1.56,""))))</f>
        <v/>
      </c>
      <c r="U1168" s="3" t="n">
        <v>450</v>
      </c>
      <c r="V1168" s="3" t="n">
        <v>263</v>
      </c>
      <c r="W1168" s="3" t="n"/>
      <c r="X1168" s="4" t="n"/>
      <c r="Y1168" s="5" t="n">
        <v>0.114</v>
      </c>
      <c r="Z1168" s="4">
        <f>IF(L1168&lt;&gt;"",SQRT(3)*G1168*L1168/1000,"")</f>
        <v/>
      </c>
      <c r="AA1168" t="inlineStr">
        <is>
          <t>Source=Copeland 2D/3D/4D/4R/6D/8D/9R compressors (pdf) p53; PWS_RLA=40.4</t>
        </is>
      </c>
      <c r="AB1168" t="inlineStr">
        <is>
          <t>Copeland_RLA_230_460_3ph_60Hz.xlsx</t>
        </is>
      </c>
      <c r="AC1168" t="inlineStr">
        <is>
          <t>Recip_2D-9R</t>
        </is>
      </c>
    </row>
    <row r="1169">
      <c r="A1169" t="inlineStr">
        <is>
          <t>COPELAND</t>
        </is>
      </c>
      <c r="B1169" t="inlineStr">
        <is>
          <t>6DD3-2700-TSK</t>
        </is>
      </c>
      <c r="D1169" t="inlineStr">
        <is>
          <t>Reciprocating Semi-hermetic</t>
        </is>
      </c>
      <c r="E1169" s="2" t="n">
        <v>3</v>
      </c>
      <c r="F1169" s="2" t="n">
        <v>60</v>
      </c>
      <c r="G1169" s="2" t="n">
        <v>460</v>
      </c>
      <c r="H1169" t="inlineStr">
        <is>
          <t>460</t>
        </is>
      </c>
      <c r="I1169" s="2" t="n">
        <v>460</v>
      </c>
      <c r="J1169" s="2" t="n">
        <v>460</v>
      </c>
      <c r="L1169" s="3" t="n"/>
      <c r="M1169" s="3" t="n"/>
      <c r="N1169" s="3" t="n">
        <v>40.4</v>
      </c>
      <c r="O1169" s="3" t="n"/>
      <c r="P1169" s="3">
        <f>IF(L1169&lt;&gt;"",L1169/1.4,"")</f>
        <v/>
      </c>
      <c r="Q1169" s="3">
        <f>IF(L1169&lt;&gt;"",L1169/1.56,"")</f>
        <v/>
      </c>
      <c r="R1169" s="3">
        <f>IF(M1169&lt;&gt;"",M1169/1.4,"")</f>
        <v/>
      </c>
      <c r="S1169" s="3">
        <f>IF(M1169&lt;&gt;"",M1169/1.56,"")</f>
        <v/>
      </c>
      <c r="T1169" s="3">
        <f>IF(N1169&lt;&gt;"",N1169,IF(O1169&lt;&gt;"",O1169,IF(L1169&lt;&gt;"",L1169/1.56,IF(M1169&lt;&gt;"",M1169/1.56,""))))</f>
        <v/>
      </c>
      <c r="U1169" s="3" t="n">
        <v>225</v>
      </c>
      <c r="V1169" s="3" t="n"/>
      <c r="W1169" s="3" t="n"/>
      <c r="X1169" s="4" t="n"/>
      <c r="Y1169" s="5" t="n">
        <v>0.456</v>
      </c>
      <c r="Z1169" s="4">
        <f>IF(L1169&lt;&gt;"",SQRT(3)*G1169*L1169/1000,"")</f>
        <v/>
      </c>
      <c r="AA1169" t="inlineStr">
        <is>
          <t>Source=Copeland 2D/3D/4D/4R/6D/8D/9R compressors (pdf) p54</t>
        </is>
      </c>
      <c r="AB1169" t="inlineStr">
        <is>
          <t>Copeland_RLA_230_460_3ph_60Hz.xlsx</t>
        </is>
      </c>
      <c r="AC1169" t="inlineStr">
        <is>
          <t>Recip_2D-9R</t>
        </is>
      </c>
    </row>
    <row r="1170">
      <c r="A1170" t="inlineStr">
        <is>
          <t>COPELAND</t>
        </is>
      </c>
      <c r="B1170" t="inlineStr">
        <is>
          <t>6DD3-270E-FSD</t>
        </is>
      </c>
      <c r="D1170" t="inlineStr">
        <is>
          <t>Reciprocating Semi-hermetic</t>
        </is>
      </c>
      <c r="E1170" s="2" t="n">
        <v>3</v>
      </c>
      <c r="F1170" s="2" t="n">
        <v>60</v>
      </c>
      <c r="G1170" s="2" t="n">
        <v>460</v>
      </c>
      <c r="H1170" t="inlineStr">
        <is>
          <t>460</t>
        </is>
      </c>
      <c r="I1170" s="2" t="n">
        <v>460</v>
      </c>
      <c r="J1170" s="2" t="n">
        <v>460</v>
      </c>
      <c r="L1170" s="3" t="n"/>
      <c r="M1170" s="3" t="n"/>
      <c r="N1170" s="3" t="n">
        <v>41.6</v>
      </c>
      <c r="O1170" s="3" t="n"/>
      <c r="P1170" s="3">
        <f>IF(L1170&lt;&gt;"",L1170/1.4,"")</f>
        <v/>
      </c>
      <c r="Q1170" s="3">
        <f>IF(L1170&lt;&gt;"",L1170/1.56,"")</f>
        <v/>
      </c>
      <c r="R1170" s="3">
        <f>IF(M1170&lt;&gt;"",M1170/1.4,"")</f>
        <v/>
      </c>
      <c r="S1170" s="3">
        <f>IF(M1170&lt;&gt;"",M1170/1.56,"")</f>
        <v/>
      </c>
      <c r="T1170" s="3">
        <f>IF(N1170&lt;&gt;"",N1170,IF(O1170&lt;&gt;"",O1170,IF(L1170&lt;&gt;"",L1170/1.56,IF(M1170&lt;&gt;"",M1170/1.56,""))))</f>
        <v/>
      </c>
      <c r="U1170" s="3" t="n">
        <v>218</v>
      </c>
      <c r="V1170" s="3" t="n">
        <v>131</v>
      </c>
      <c r="W1170" s="3" t="n"/>
      <c r="X1170" s="4" t="n"/>
      <c r="Y1170" s="5" t="n">
        <v>0.457</v>
      </c>
      <c r="Z1170" s="4">
        <f>IF(L1170&lt;&gt;"",SQRT(3)*G1170*L1170/1000,"")</f>
        <v/>
      </c>
      <c r="AA1170" t="inlineStr">
        <is>
          <t>Source=Copeland 2D/3D/4D/4R/6D/8D/9R compressors (pdf) p54; PWS_RLA=20.8</t>
        </is>
      </c>
      <c r="AB1170" t="inlineStr">
        <is>
          <t>Copeland_RLA_230_460_3ph_60Hz.xlsx</t>
        </is>
      </c>
      <c r="AC1170" t="inlineStr">
        <is>
          <t>Recip_2D-9R</t>
        </is>
      </c>
    </row>
    <row r="1171">
      <c r="A1171" t="inlineStr">
        <is>
          <t>COPELAND</t>
        </is>
      </c>
      <c r="B1171" t="inlineStr">
        <is>
          <t>6DD3-270E-TSK</t>
        </is>
      </c>
      <c r="D1171" t="inlineStr">
        <is>
          <t>Reciprocating Semi-hermetic</t>
        </is>
      </c>
      <c r="E1171" s="2" t="n">
        <v>3</v>
      </c>
      <c r="F1171" s="2" t="n">
        <v>60</v>
      </c>
      <c r="G1171" s="2" t="n">
        <v>230</v>
      </c>
      <c r="H1171" t="inlineStr">
        <is>
          <t>208/230</t>
        </is>
      </c>
      <c r="I1171" s="2" t="n">
        <v>208</v>
      </c>
      <c r="J1171" s="2" t="n">
        <v>230</v>
      </c>
      <c r="L1171" s="3" t="n"/>
      <c r="M1171" s="3" t="n"/>
      <c r="N1171" s="3" t="n">
        <v>80.7</v>
      </c>
      <c r="O1171" s="3" t="n"/>
      <c r="P1171" s="3">
        <f>IF(L1171&lt;&gt;"",L1171/1.4,"")</f>
        <v/>
      </c>
      <c r="Q1171" s="3">
        <f>IF(L1171&lt;&gt;"",L1171/1.56,"")</f>
        <v/>
      </c>
      <c r="R1171" s="3">
        <f>IF(M1171&lt;&gt;"",M1171/1.4,"")</f>
        <v/>
      </c>
      <c r="S1171" s="3">
        <f>IF(M1171&lt;&gt;"",M1171/1.56,"")</f>
        <v/>
      </c>
      <c r="T1171" s="3">
        <f>IF(N1171&lt;&gt;"",N1171,IF(O1171&lt;&gt;"",O1171,IF(L1171&lt;&gt;"",L1171/1.56,IF(M1171&lt;&gt;"",M1171/1.56,""))))</f>
        <v/>
      </c>
      <c r="U1171" s="3" t="n">
        <v>450</v>
      </c>
      <c r="V1171" s="3" t="n">
        <v>263</v>
      </c>
      <c r="W1171" s="3" t="n"/>
      <c r="X1171" s="4" t="n"/>
      <c r="Y1171" s="5" t="n">
        <v>0.114</v>
      </c>
      <c r="Z1171" s="4">
        <f>IF(L1171&lt;&gt;"",SQRT(3)*G1171*L1171/1000,"")</f>
        <v/>
      </c>
      <c r="AA1171" t="inlineStr">
        <is>
          <t>Source=Copeland 2D/3D/4D/4R/6D/8D/9R compressors (pdf) p54; PWS_RLA=40.4</t>
        </is>
      </c>
      <c r="AB1171" t="inlineStr">
        <is>
          <t>Copeland_RLA_230_460_3ph_60Hz.xlsx</t>
        </is>
      </c>
      <c r="AC1171" t="inlineStr">
        <is>
          <t>Recip_2D-9R</t>
        </is>
      </c>
    </row>
    <row r="1172">
      <c r="A1172" t="inlineStr">
        <is>
          <t>COPELAND</t>
        </is>
      </c>
      <c r="B1172" t="inlineStr">
        <is>
          <t>6DD3-270E-TSK</t>
        </is>
      </c>
      <c r="D1172" t="inlineStr">
        <is>
          <t>Reciprocating Semi-hermetic</t>
        </is>
      </c>
      <c r="E1172" s="2" t="n">
        <v>3</v>
      </c>
      <c r="F1172" s="2" t="n">
        <v>60</v>
      </c>
      <c r="G1172" s="2" t="n">
        <v>460</v>
      </c>
      <c r="H1172" t="inlineStr">
        <is>
          <t>460</t>
        </is>
      </c>
      <c r="I1172" s="2" t="n">
        <v>460</v>
      </c>
      <c r="J1172" s="2" t="n">
        <v>460</v>
      </c>
      <c r="L1172" s="3" t="n"/>
      <c r="M1172" s="3" t="n"/>
      <c r="N1172" s="3" t="n">
        <v>40.4</v>
      </c>
      <c r="O1172" s="3" t="n"/>
      <c r="P1172" s="3">
        <f>IF(L1172&lt;&gt;"",L1172/1.4,"")</f>
        <v/>
      </c>
      <c r="Q1172" s="3">
        <f>IF(L1172&lt;&gt;"",L1172/1.56,"")</f>
        <v/>
      </c>
      <c r="R1172" s="3">
        <f>IF(M1172&lt;&gt;"",M1172/1.4,"")</f>
        <v/>
      </c>
      <c r="S1172" s="3">
        <f>IF(M1172&lt;&gt;"",M1172/1.56,"")</f>
        <v/>
      </c>
      <c r="T1172" s="3">
        <f>IF(N1172&lt;&gt;"",N1172,IF(O1172&lt;&gt;"",O1172,IF(L1172&lt;&gt;"",L1172/1.56,IF(M1172&lt;&gt;"",M1172/1.56,""))))</f>
        <v/>
      </c>
      <c r="U1172" s="3" t="n">
        <v>225</v>
      </c>
      <c r="V1172" s="3" t="n"/>
      <c r="W1172" s="3" t="n"/>
      <c r="X1172" s="4" t="n"/>
      <c r="Y1172" s="5" t="n">
        <v>0.456</v>
      </c>
      <c r="Z1172" s="4">
        <f>IF(L1172&lt;&gt;"",SQRT(3)*G1172*L1172/1000,"")</f>
        <v/>
      </c>
      <c r="AA1172" t="inlineStr">
        <is>
          <t>Source=Copeland 2D/3D/4D/4R/6D/8D/9R compressors (pdf) p54</t>
        </is>
      </c>
      <c r="AB1172" t="inlineStr">
        <is>
          <t>Copeland_RLA_230_460_3ph_60Hz.xlsx</t>
        </is>
      </c>
      <c r="AC1172" t="inlineStr">
        <is>
          <t>Recip_2D-9R</t>
        </is>
      </c>
    </row>
    <row r="1173">
      <c r="A1173" t="inlineStr">
        <is>
          <t>COPELAND</t>
        </is>
      </c>
      <c r="B1173" t="inlineStr">
        <is>
          <t>6DD3-270L-FSD</t>
        </is>
      </c>
      <c r="D1173" t="inlineStr">
        <is>
          <t>Reciprocating Semi-hermetic</t>
        </is>
      </c>
      <c r="E1173" s="2" t="n">
        <v>3</v>
      </c>
      <c r="F1173" s="2" t="n">
        <v>60</v>
      </c>
      <c r="G1173" s="2" t="n">
        <v>460</v>
      </c>
      <c r="H1173" t="inlineStr">
        <is>
          <t>460</t>
        </is>
      </c>
      <c r="I1173" s="2" t="n">
        <v>460</v>
      </c>
      <c r="J1173" s="2" t="n">
        <v>460</v>
      </c>
      <c r="L1173" s="3" t="n"/>
      <c r="M1173" s="3" t="n"/>
      <c r="N1173" s="3" t="n">
        <v>41.6</v>
      </c>
      <c r="O1173" s="3" t="n"/>
      <c r="P1173" s="3">
        <f>IF(L1173&lt;&gt;"",L1173/1.4,"")</f>
        <v/>
      </c>
      <c r="Q1173" s="3">
        <f>IF(L1173&lt;&gt;"",L1173/1.56,"")</f>
        <v/>
      </c>
      <c r="R1173" s="3">
        <f>IF(M1173&lt;&gt;"",M1173/1.4,"")</f>
        <v/>
      </c>
      <c r="S1173" s="3">
        <f>IF(M1173&lt;&gt;"",M1173/1.56,"")</f>
        <v/>
      </c>
      <c r="T1173" s="3">
        <f>IF(N1173&lt;&gt;"",N1173,IF(O1173&lt;&gt;"",O1173,IF(L1173&lt;&gt;"",L1173/1.56,IF(M1173&lt;&gt;"",M1173/1.56,""))))</f>
        <v/>
      </c>
      <c r="U1173" s="3" t="n">
        <v>218</v>
      </c>
      <c r="V1173" s="3" t="n">
        <v>131</v>
      </c>
      <c r="W1173" s="3" t="n"/>
      <c r="X1173" s="4" t="n"/>
      <c r="Y1173" s="5" t="n">
        <v>0.457</v>
      </c>
      <c r="Z1173" s="4">
        <f>IF(L1173&lt;&gt;"",SQRT(3)*G1173*L1173/1000,"")</f>
        <v/>
      </c>
      <c r="AA1173" t="inlineStr">
        <is>
          <t>Source=Copeland 2D/3D/4D/4R/6D/8D/9R compressors (pdf) p54; PWS_RLA=20.8</t>
        </is>
      </c>
      <c r="AB1173" t="inlineStr">
        <is>
          <t>Copeland_RLA_230_460_3ph_60Hz.xlsx</t>
        </is>
      </c>
      <c r="AC1173" t="inlineStr">
        <is>
          <t>Recip_2D-9R</t>
        </is>
      </c>
    </row>
    <row r="1174">
      <c r="A1174" t="inlineStr">
        <is>
          <t>COPELAND</t>
        </is>
      </c>
      <c r="B1174" t="inlineStr">
        <is>
          <t>6DD3-270L-TSK</t>
        </is>
      </c>
      <c r="D1174" t="inlineStr">
        <is>
          <t>Reciprocating Semi-hermetic</t>
        </is>
      </c>
      <c r="E1174" s="2" t="n">
        <v>3</v>
      </c>
      <c r="F1174" s="2" t="n">
        <v>60</v>
      </c>
      <c r="G1174" s="2" t="n">
        <v>230</v>
      </c>
      <c r="H1174" t="inlineStr">
        <is>
          <t>208/230</t>
        </is>
      </c>
      <c r="I1174" s="2" t="n">
        <v>208</v>
      </c>
      <c r="J1174" s="2" t="n">
        <v>230</v>
      </c>
      <c r="L1174" s="3" t="n"/>
      <c r="M1174" s="3" t="n"/>
      <c r="N1174" s="3" t="n">
        <v>80.7</v>
      </c>
      <c r="O1174" s="3" t="n"/>
      <c r="P1174" s="3">
        <f>IF(L1174&lt;&gt;"",L1174/1.4,"")</f>
        <v/>
      </c>
      <c r="Q1174" s="3">
        <f>IF(L1174&lt;&gt;"",L1174/1.56,"")</f>
        <v/>
      </c>
      <c r="R1174" s="3">
        <f>IF(M1174&lt;&gt;"",M1174/1.4,"")</f>
        <v/>
      </c>
      <c r="S1174" s="3">
        <f>IF(M1174&lt;&gt;"",M1174/1.56,"")</f>
        <v/>
      </c>
      <c r="T1174" s="3">
        <f>IF(N1174&lt;&gt;"",N1174,IF(O1174&lt;&gt;"",O1174,IF(L1174&lt;&gt;"",L1174/1.56,IF(M1174&lt;&gt;"",M1174/1.56,""))))</f>
        <v/>
      </c>
      <c r="U1174" s="3" t="n">
        <v>450</v>
      </c>
      <c r="V1174" s="3" t="n">
        <v>263</v>
      </c>
      <c r="W1174" s="3" t="n"/>
      <c r="X1174" s="4" t="n"/>
      <c r="Y1174" s="5" t="n">
        <v>0.114</v>
      </c>
      <c r="Z1174" s="4">
        <f>IF(L1174&lt;&gt;"",SQRT(3)*G1174*L1174/1000,"")</f>
        <v/>
      </c>
      <c r="AA1174" t="inlineStr">
        <is>
          <t>Source=Copeland 2D/3D/4D/4R/6D/8D/9R compressors (pdf) p54; PWS_RLA=40.4</t>
        </is>
      </c>
      <c r="AB1174" t="inlineStr">
        <is>
          <t>Copeland_RLA_230_460_3ph_60Hz.xlsx</t>
        </is>
      </c>
      <c r="AC1174" t="inlineStr">
        <is>
          <t>Recip_2D-9R</t>
        </is>
      </c>
    </row>
    <row r="1175">
      <c r="A1175" t="inlineStr">
        <is>
          <t>COPELAND</t>
        </is>
      </c>
      <c r="B1175" t="inlineStr">
        <is>
          <t>6DD3-270L-TSK</t>
        </is>
      </c>
      <c r="D1175" t="inlineStr">
        <is>
          <t>Reciprocating Semi-hermetic</t>
        </is>
      </c>
      <c r="E1175" s="2" t="n">
        <v>3</v>
      </c>
      <c r="F1175" s="2" t="n">
        <v>60</v>
      </c>
      <c r="G1175" s="2" t="n">
        <v>460</v>
      </c>
      <c r="H1175" t="inlineStr">
        <is>
          <t>460</t>
        </is>
      </c>
      <c r="I1175" s="2" t="n">
        <v>460</v>
      </c>
      <c r="J1175" s="2" t="n">
        <v>460</v>
      </c>
      <c r="L1175" s="3" t="n"/>
      <c r="M1175" s="3" t="n"/>
      <c r="N1175" s="3" t="n">
        <v>40.4</v>
      </c>
      <c r="O1175" s="3" t="n"/>
      <c r="P1175" s="3">
        <f>IF(L1175&lt;&gt;"",L1175/1.4,"")</f>
        <v/>
      </c>
      <c r="Q1175" s="3">
        <f>IF(L1175&lt;&gt;"",L1175/1.56,"")</f>
        <v/>
      </c>
      <c r="R1175" s="3">
        <f>IF(M1175&lt;&gt;"",M1175/1.4,"")</f>
        <v/>
      </c>
      <c r="S1175" s="3">
        <f>IF(M1175&lt;&gt;"",M1175/1.56,"")</f>
        <v/>
      </c>
      <c r="T1175" s="3">
        <f>IF(N1175&lt;&gt;"",N1175,IF(O1175&lt;&gt;"",O1175,IF(L1175&lt;&gt;"",L1175/1.56,IF(M1175&lt;&gt;"",M1175/1.56,""))))</f>
        <v/>
      </c>
      <c r="U1175" s="3" t="n">
        <v>225</v>
      </c>
      <c r="V1175" s="3" t="n"/>
      <c r="W1175" s="3" t="n"/>
      <c r="X1175" s="4" t="n"/>
      <c r="Y1175" s="5" t="n">
        <v>0.456</v>
      </c>
      <c r="Z1175" s="4">
        <f>IF(L1175&lt;&gt;"",SQRT(3)*G1175*L1175/1000,"")</f>
        <v/>
      </c>
      <c r="AA1175" t="inlineStr">
        <is>
          <t>Source=Copeland 2D/3D/4D/4R/6D/8D/9R compressors (pdf) p54</t>
        </is>
      </c>
      <c r="AB1175" t="inlineStr">
        <is>
          <t>Copeland_RLA_230_460_3ph_60Hz.xlsx</t>
        </is>
      </c>
      <c r="AC1175" t="inlineStr">
        <is>
          <t>Recip_2D-9R</t>
        </is>
      </c>
    </row>
    <row r="1176">
      <c r="A1176" t="inlineStr">
        <is>
          <t>COPELAND</t>
        </is>
      </c>
      <c r="B1176" t="inlineStr">
        <is>
          <t>6DD3A2700-FSD</t>
        </is>
      </c>
      <c r="D1176" t="inlineStr">
        <is>
          <t>Reciprocating Semi-hermetic</t>
        </is>
      </c>
      <c r="E1176" s="2" t="n">
        <v>3</v>
      </c>
      <c r="F1176" s="2" t="n">
        <v>60</v>
      </c>
      <c r="G1176" s="2" t="n">
        <v>460</v>
      </c>
      <c r="H1176" t="inlineStr">
        <is>
          <t>460</t>
        </is>
      </c>
      <c r="I1176" s="2" t="n">
        <v>460</v>
      </c>
      <c r="J1176" s="2" t="n">
        <v>460</v>
      </c>
      <c r="L1176" s="3" t="n"/>
      <c r="M1176" s="3" t="n"/>
      <c r="N1176" s="3" t="n">
        <v>41.6</v>
      </c>
      <c r="O1176" s="3" t="n"/>
      <c r="P1176" s="3">
        <f>IF(L1176&lt;&gt;"",L1176/1.4,"")</f>
        <v/>
      </c>
      <c r="Q1176" s="3">
        <f>IF(L1176&lt;&gt;"",L1176/1.56,"")</f>
        <v/>
      </c>
      <c r="R1176" s="3">
        <f>IF(M1176&lt;&gt;"",M1176/1.4,"")</f>
        <v/>
      </c>
      <c r="S1176" s="3">
        <f>IF(M1176&lt;&gt;"",M1176/1.56,"")</f>
        <v/>
      </c>
      <c r="T1176" s="3">
        <f>IF(N1176&lt;&gt;"",N1176,IF(O1176&lt;&gt;"",O1176,IF(L1176&lt;&gt;"",L1176/1.56,IF(M1176&lt;&gt;"",M1176/1.56,""))))</f>
        <v/>
      </c>
      <c r="U1176" s="3" t="n">
        <v>218</v>
      </c>
      <c r="V1176" s="3" t="n">
        <v>131</v>
      </c>
      <c r="W1176" s="3" t="n"/>
      <c r="X1176" s="4" t="n"/>
      <c r="Y1176" s="5" t="n">
        <v>0.457</v>
      </c>
      <c r="Z1176" s="4">
        <f>IF(L1176&lt;&gt;"",SQRT(3)*G1176*L1176/1000,"")</f>
        <v/>
      </c>
      <c r="AA1176" t="inlineStr">
        <is>
          <t>Source=Copeland 2D/3D/4D/4R/6D/8D/9R compressors (pdf) p54; PWS_RLA=20.8</t>
        </is>
      </c>
      <c r="AB1176" t="inlineStr">
        <is>
          <t>Copeland_RLA_230_460_3ph_60Hz.xlsx</t>
        </is>
      </c>
      <c r="AC1176" t="inlineStr">
        <is>
          <t>Recip_2D-9R</t>
        </is>
      </c>
    </row>
    <row r="1177">
      <c r="A1177" t="inlineStr">
        <is>
          <t>COPELAND</t>
        </is>
      </c>
      <c r="B1177" t="inlineStr">
        <is>
          <t>6DD3A2700-TSK</t>
        </is>
      </c>
      <c r="D1177" t="inlineStr">
        <is>
          <t>Reciprocating Semi-hermetic</t>
        </is>
      </c>
      <c r="E1177" s="2" t="n">
        <v>3</v>
      </c>
      <c r="F1177" s="2" t="n">
        <v>60</v>
      </c>
      <c r="G1177" s="2" t="n">
        <v>230</v>
      </c>
      <c r="H1177" t="inlineStr">
        <is>
          <t>208/230</t>
        </is>
      </c>
      <c r="I1177" s="2" t="n">
        <v>208</v>
      </c>
      <c r="J1177" s="2" t="n">
        <v>230</v>
      </c>
      <c r="L1177" s="3" t="n"/>
      <c r="M1177" s="3" t="n"/>
      <c r="N1177" s="3" t="n">
        <v>80.7</v>
      </c>
      <c r="O1177" s="3" t="n"/>
      <c r="P1177" s="3">
        <f>IF(L1177&lt;&gt;"",L1177/1.4,"")</f>
        <v/>
      </c>
      <c r="Q1177" s="3">
        <f>IF(L1177&lt;&gt;"",L1177/1.56,"")</f>
        <v/>
      </c>
      <c r="R1177" s="3">
        <f>IF(M1177&lt;&gt;"",M1177/1.4,"")</f>
        <v/>
      </c>
      <c r="S1177" s="3">
        <f>IF(M1177&lt;&gt;"",M1177/1.56,"")</f>
        <v/>
      </c>
      <c r="T1177" s="3">
        <f>IF(N1177&lt;&gt;"",N1177,IF(O1177&lt;&gt;"",O1177,IF(L1177&lt;&gt;"",L1177/1.56,IF(M1177&lt;&gt;"",M1177/1.56,""))))</f>
        <v/>
      </c>
      <c r="U1177" s="3" t="n">
        <v>450</v>
      </c>
      <c r="V1177" s="3" t="n">
        <v>263</v>
      </c>
      <c r="W1177" s="3" t="n"/>
      <c r="X1177" s="4" t="n"/>
      <c r="Y1177" s="5" t="n">
        <v>0.114</v>
      </c>
      <c r="Z1177" s="4">
        <f>IF(L1177&lt;&gt;"",SQRT(3)*G1177*L1177/1000,"")</f>
        <v/>
      </c>
      <c r="AA1177" t="inlineStr">
        <is>
          <t>Source=Copeland 2D/3D/4D/4R/6D/8D/9R compressors (pdf) p54; PWS_RLA=40.4</t>
        </is>
      </c>
      <c r="AB1177" t="inlineStr">
        <is>
          <t>Copeland_RLA_230_460_3ph_60Hz.xlsx</t>
        </is>
      </c>
      <c r="AC1177" t="inlineStr">
        <is>
          <t>Recip_2D-9R</t>
        </is>
      </c>
    </row>
    <row r="1178">
      <c r="A1178" t="inlineStr">
        <is>
          <t>COPELAND</t>
        </is>
      </c>
      <c r="B1178" t="inlineStr">
        <is>
          <t>6DD3A2700-TSK</t>
        </is>
      </c>
      <c r="D1178" t="inlineStr">
        <is>
          <t>Reciprocating Semi-hermetic</t>
        </is>
      </c>
      <c r="E1178" s="2" t="n">
        <v>3</v>
      </c>
      <c r="F1178" s="2" t="n">
        <v>60</v>
      </c>
      <c r="G1178" s="2" t="n">
        <v>460</v>
      </c>
      <c r="H1178" t="inlineStr">
        <is>
          <t>460</t>
        </is>
      </c>
      <c r="I1178" s="2" t="n">
        <v>460</v>
      </c>
      <c r="J1178" s="2" t="n">
        <v>460</v>
      </c>
      <c r="L1178" s="3" t="n"/>
      <c r="M1178" s="3" t="n"/>
      <c r="N1178" s="3" t="n">
        <v>40.4</v>
      </c>
      <c r="O1178" s="3" t="n"/>
      <c r="P1178" s="3">
        <f>IF(L1178&lt;&gt;"",L1178/1.4,"")</f>
        <v/>
      </c>
      <c r="Q1178" s="3">
        <f>IF(L1178&lt;&gt;"",L1178/1.56,"")</f>
        <v/>
      </c>
      <c r="R1178" s="3">
        <f>IF(M1178&lt;&gt;"",M1178/1.4,"")</f>
        <v/>
      </c>
      <c r="S1178" s="3">
        <f>IF(M1178&lt;&gt;"",M1178/1.56,"")</f>
        <v/>
      </c>
      <c r="T1178" s="3">
        <f>IF(N1178&lt;&gt;"",N1178,IF(O1178&lt;&gt;"",O1178,IF(L1178&lt;&gt;"",L1178/1.56,IF(M1178&lt;&gt;"",M1178/1.56,""))))</f>
        <v/>
      </c>
      <c r="U1178" s="3" t="n">
        <v>225</v>
      </c>
      <c r="V1178" s="3" t="n"/>
      <c r="W1178" s="3" t="n"/>
      <c r="X1178" s="4" t="n"/>
      <c r="Y1178" s="5" t="n">
        <v>0.456</v>
      </c>
      <c r="Z1178" s="4">
        <f>IF(L1178&lt;&gt;"",SQRT(3)*G1178*L1178/1000,"")</f>
        <v/>
      </c>
      <c r="AA1178" t="inlineStr">
        <is>
          <t>Source=Copeland 2D/3D/4D/4R/6D/8D/9R compressors (pdf) p54</t>
        </is>
      </c>
      <c r="AB1178" t="inlineStr">
        <is>
          <t>Copeland_RLA_230_460_3ph_60Hz.xlsx</t>
        </is>
      </c>
      <c r="AC1178" t="inlineStr">
        <is>
          <t>Recip_2D-9R</t>
        </is>
      </c>
    </row>
    <row r="1179">
      <c r="A1179" t="inlineStr">
        <is>
          <t>COPELAND</t>
        </is>
      </c>
      <c r="B1179" t="inlineStr">
        <is>
          <t>6DD3A270E-FSD</t>
        </is>
      </c>
      <c r="D1179" t="inlineStr">
        <is>
          <t>Reciprocating Semi-hermetic</t>
        </is>
      </c>
      <c r="E1179" s="2" t="n">
        <v>3</v>
      </c>
      <c r="F1179" s="2" t="n">
        <v>60</v>
      </c>
      <c r="G1179" s="2" t="n">
        <v>460</v>
      </c>
      <c r="H1179" t="inlineStr">
        <is>
          <t>460</t>
        </is>
      </c>
      <c r="I1179" s="2" t="n">
        <v>460</v>
      </c>
      <c r="J1179" s="2" t="n">
        <v>460</v>
      </c>
      <c r="L1179" s="3" t="n"/>
      <c r="M1179" s="3" t="n"/>
      <c r="N1179" s="3" t="n">
        <v>41.6</v>
      </c>
      <c r="O1179" s="3" t="n"/>
      <c r="P1179" s="3">
        <f>IF(L1179&lt;&gt;"",L1179/1.4,"")</f>
        <v/>
      </c>
      <c r="Q1179" s="3">
        <f>IF(L1179&lt;&gt;"",L1179/1.56,"")</f>
        <v/>
      </c>
      <c r="R1179" s="3">
        <f>IF(M1179&lt;&gt;"",M1179/1.4,"")</f>
        <v/>
      </c>
      <c r="S1179" s="3">
        <f>IF(M1179&lt;&gt;"",M1179/1.56,"")</f>
        <v/>
      </c>
      <c r="T1179" s="3">
        <f>IF(N1179&lt;&gt;"",N1179,IF(O1179&lt;&gt;"",O1179,IF(L1179&lt;&gt;"",L1179/1.56,IF(M1179&lt;&gt;"",M1179/1.56,""))))</f>
        <v/>
      </c>
      <c r="U1179" s="3" t="n">
        <v>218</v>
      </c>
      <c r="V1179" s="3" t="n">
        <v>131</v>
      </c>
      <c r="W1179" s="3" t="n"/>
      <c r="X1179" s="4" t="n"/>
      <c r="Y1179" s="5" t="n">
        <v>0.457</v>
      </c>
      <c r="Z1179" s="4">
        <f>IF(L1179&lt;&gt;"",SQRT(3)*G1179*L1179/1000,"")</f>
        <v/>
      </c>
      <c r="AA1179" t="inlineStr">
        <is>
          <t>Source=Copeland 2D/3D/4D/4R/6D/8D/9R compressors (pdf) p54; PWS_RLA=20.8</t>
        </is>
      </c>
      <c r="AB1179" t="inlineStr">
        <is>
          <t>Copeland_RLA_230_460_3ph_60Hz.xlsx</t>
        </is>
      </c>
      <c r="AC1179" t="inlineStr">
        <is>
          <t>Recip_2D-9R</t>
        </is>
      </c>
    </row>
    <row r="1180">
      <c r="A1180" t="inlineStr">
        <is>
          <t>COPELAND</t>
        </is>
      </c>
      <c r="B1180" t="inlineStr">
        <is>
          <t>6DD3A270E-TSK</t>
        </is>
      </c>
      <c r="D1180" t="inlineStr">
        <is>
          <t>Reciprocating Semi-hermetic</t>
        </is>
      </c>
      <c r="E1180" s="2" t="n">
        <v>3</v>
      </c>
      <c r="F1180" s="2" t="n">
        <v>60</v>
      </c>
      <c r="G1180" s="2" t="n">
        <v>230</v>
      </c>
      <c r="H1180" t="inlineStr">
        <is>
          <t>208/230</t>
        </is>
      </c>
      <c r="I1180" s="2" t="n">
        <v>208</v>
      </c>
      <c r="J1180" s="2" t="n">
        <v>230</v>
      </c>
      <c r="L1180" s="3" t="n"/>
      <c r="M1180" s="3" t="n"/>
      <c r="N1180" s="3" t="n">
        <v>80.7</v>
      </c>
      <c r="O1180" s="3" t="n"/>
      <c r="P1180" s="3">
        <f>IF(L1180&lt;&gt;"",L1180/1.4,"")</f>
        <v/>
      </c>
      <c r="Q1180" s="3">
        <f>IF(L1180&lt;&gt;"",L1180/1.56,"")</f>
        <v/>
      </c>
      <c r="R1180" s="3">
        <f>IF(M1180&lt;&gt;"",M1180/1.4,"")</f>
        <v/>
      </c>
      <c r="S1180" s="3">
        <f>IF(M1180&lt;&gt;"",M1180/1.56,"")</f>
        <v/>
      </c>
      <c r="T1180" s="3">
        <f>IF(N1180&lt;&gt;"",N1180,IF(O1180&lt;&gt;"",O1180,IF(L1180&lt;&gt;"",L1180/1.56,IF(M1180&lt;&gt;"",M1180/1.56,""))))</f>
        <v/>
      </c>
      <c r="U1180" s="3" t="n">
        <v>450</v>
      </c>
      <c r="V1180" s="3" t="n">
        <v>263</v>
      </c>
      <c r="W1180" s="3" t="n"/>
      <c r="X1180" s="4" t="n"/>
      <c r="Y1180" s="5" t="n">
        <v>0.114</v>
      </c>
      <c r="Z1180" s="4">
        <f>IF(L1180&lt;&gt;"",SQRT(3)*G1180*L1180/1000,"")</f>
        <v/>
      </c>
      <c r="AA1180" t="inlineStr">
        <is>
          <t>Source=Copeland 2D/3D/4D/4R/6D/8D/9R compressors (pdf) p54; PWS_RLA=40.4</t>
        </is>
      </c>
      <c r="AB1180" t="inlineStr">
        <is>
          <t>Copeland_RLA_230_460_3ph_60Hz.xlsx</t>
        </is>
      </c>
      <c r="AC1180" t="inlineStr">
        <is>
          <t>Recip_2D-9R</t>
        </is>
      </c>
    </row>
    <row r="1181">
      <c r="A1181" t="inlineStr">
        <is>
          <t>COPELAND</t>
        </is>
      </c>
      <c r="B1181" t="inlineStr">
        <is>
          <t>6DD3A270E-TSK</t>
        </is>
      </c>
      <c r="D1181" t="inlineStr">
        <is>
          <t>Reciprocating Semi-hermetic</t>
        </is>
      </c>
      <c r="E1181" s="2" t="n">
        <v>3</v>
      </c>
      <c r="F1181" s="2" t="n">
        <v>60</v>
      </c>
      <c r="G1181" s="2" t="n">
        <v>460</v>
      </c>
      <c r="H1181" t="inlineStr">
        <is>
          <t>460</t>
        </is>
      </c>
      <c r="I1181" s="2" t="n">
        <v>460</v>
      </c>
      <c r="J1181" s="2" t="n">
        <v>460</v>
      </c>
      <c r="L1181" s="3" t="n"/>
      <c r="M1181" s="3" t="n"/>
      <c r="N1181" s="3" t="n">
        <v>40.4</v>
      </c>
      <c r="O1181" s="3" t="n"/>
      <c r="P1181" s="3">
        <f>IF(L1181&lt;&gt;"",L1181/1.4,"")</f>
        <v/>
      </c>
      <c r="Q1181" s="3">
        <f>IF(L1181&lt;&gt;"",L1181/1.56,"")</f>
        <v/>
      </c>
      <c r="R1181" s="3">
        <f>IF(M1181&lt;&gt;"",M1181/1.4,"")</f>
        <v/>
      </c>
      <c r="S1181" s="3">
        <f>IF(M1181&lt;&gt;"",M1181/1.56,"")</f>
        <v/>
      </c>
      <c r="T1181" s="3">
        <f>IF(N1181&lt;&gt;"",N1181,IF(O1181&lt;&gt;"",O1181,IF(L1181&lt;&gt;"",L1181/1.56,IF(M1181&lt;&gt;"",M1181/1.56,""))))</f>
        <v/>
      </c>
      <c r="U1181" s="3" t="n">
        <v>225</v>
      </c>
      <c r="V1181" s="3" t="n"/>
      <c r="W1181" s="3" t="n"/>
      <c r="X1181" s="4" t="n"/>
      <c r="Y1181" s="5" t="n">
        <v>0.456</v>
      </c>
      <c r="Z1181" s="4">
        <f>IF(L1181&lt;&gt;"",SQRT(3)*G1181*L1181/1000,"")</f>
        <v/>
      </c>
      <c r="AA1181" t="inlineStr">
        <is>
          <t>Source=Copeland 2D/3D/4D/4R/6D/8D/9R compressors (pdf) p54</t>
        </is>
      </c>
      <c r="AB1181" t="inlineStr">
        <is>
          <t>Copeland_RLA_230_460_3ph_60Hz.xlsx</t>
        </is>
      </c>
      <c r="AC1181" t="inlineStr">
        <is>
          <t>Recip_2D-9R</t>
        </is>
      </c>
    </row>
    <row r="1182">
      <c r="A1182" t="inlineStr">
        <is>
          <t>COPELAND</t>
        </is>
      </c>
      <c r="B1182" t="inlineStr">
        <is>
          <t>6DD3A270L-FSD</t>
        </is>
      </c>
      <c r="D1182" t="inlineStr">
        <is>
          <t>Reciprocating Semi-hermetic</t>
        </is>
      </c>
      <c r="E1182" s="2" t="n">
        <v>3</v>
      </c>
      <c r="F1182" s="2" t="n">
        <v>60</v>
      </c>
      <c r="G1182" s="2" t="n">
        <v>460</v>
      </c>
      <c r="H1182" t="inlineStr">
        <is>
          <t>460</t>
        </is>
      </c>
      <c r="I1182" s="2" t="n">
        <v>460</v>
      </c>
      <c r="J1182" s="2" t="n">
        <v>460</v>
      </c>
      <c r="L1182" s="3" t="n"/>
      <c r="M1182" s="3" t="n"/>
      <c r="N1182" s="3" t="n">
        <v>41.6</v>
      </c>
      <c r="O1182" s="3" t="n"/>
      <c r="P1182" s="3">
        <f>IF(L1182&lt;&gt;"",L1182/1.4,"")</f>
        <v/>
      </c>
      <c r="Q1182" s="3">
        <f>IF(L1182&lt;&gt;"",L1182/1.56,"")</f>
        <v/>
      </c>
      <c r="R1182" s="3">
        <f>IF(M1182&lt;&gt;"",M1182/1.4,"")</f>
        <v/>
      </c>
      <c r="S1182" s="3">
        <f>IF(M1182&lt;&gt;"",M1182/1.56,"")</f>
        <v/>
      </c>
      <c r="T1182" s="3">
        <f>IF(N1182&lt;&gt;"",N1182,IF(O1182&lt;&gt;"",O1182,IF(L1182&lt;&gt;"",L1182/1.56,IF(M1182&lt;&gt;"",M1182/1.56,""))))</f>
        <v/>
      </c>
      <c r="U1182" s="3" t="n">
        <v>218</v>
      </c>
      <c r="V1182" s="3" t="n">
        <v>131</v>
      </c>
      <c r="W1182" s="3" t="n"/>
      <c r="X1182" s="4" t="n"/>
      <c r="Y1182" s="5" t="n">
        <v>0.457</v>
      </c>
      <c r="Z1182" s="4">
        <f>IF(L1182&lt;&gt;"",SQRT(3)*G1182*L1182/1000,"")</f>
        <v/>
      </c>
      <c r="AA1182" t="inlineStr">
        <is>
          <t>Source=Copeland 2D/3D/4D/4R/6D/8D/9R compressors (pdf) p54; PWS_RLA=20.8</t>
        </is>
      </c>
      <c r="AB1182" t="inlineStr">
        <is>
          <t>Copeland_RLA_230_460_3ph_60Hz.xlsx</t>
        </is>
      </c>
      <c r="AC1182" t="inlineStr">
        <is>
          <t>Recip_2D-9R</t>
        </is>
      </c>
    </row>
    <row r="1183">
      <c r="A1183" t="inlineStr">
        <is>
          <t>COPELAND</t>
        </is>
      </c>
      <c r="B1183" t="inlineStr">
        <is>
          <t>6DD3A270L-TSK</t>
        </is>
      </c>
      <c r="D1183" t="inlineStr">
        <is>
          <t>Reciprocating Semi-hermetic</t>
        </is>
      </c>
      <c r="E1183" s="2" t="n">
        <v>3</v>
      </c>
      <c r="F1183" s="2" t="n">
        <v>60</v>
      </c>
      <c r="G1183" s="2" t="n">
        <v>230</v>
      </c>
      <c r="H1183" t="inlineStr">
        <is>
          <t>208/230</t>
        </is>
      </c>
      <c r="I1183" s="2" t="n">
        <v>208</v>
      </c>
      <c r="J1183" s="2" t="n">
        <v>230</v>
      </c>
      <c r="L1183" s="3" t="n"/>
      <c r="M1183" s="3" t="n"/>
      <c r="N1183" s="3" t="n">
        <v>80.7</v>
      </c>
      <c r="O1183" s="3" t="n"/>
      <c r="P1183" s="3">
        <f>IF(L1183&lt;&gt;"",L1183/1.4,"")</f>
        <v/>
      </c>
      <c r="Q1183" s="3">
        <f>IF(L1183&lt;&gt;"",L1183/1.56,"")</f>
        <v/>
      </c>
      <c r="R1183" s="3">
        <f>IF(M1183&lt;&gt;"",M1183/1.4,"")</f>
        <v/>
      </c>
      <c r="S1183" s="3">
        <f>IF(M1183&lt;&gt;"",M1183/1.56,"")</f>
        <v/>
      </c>
      <c r="T1183" s="3">
        <f>IF(N1183&lt;&gt;"",N1183,IF(O1183&lt;&gt;"",O1183,IF(L1183&lt;&gt;"",L1183/1.56,IF(M1183&lt;&gt;"",M1183/1.56,""))))</f>
        <v/>
      </c>
      <c r="U1183" s="3" t="n">
        <v>450</v>
      </c>
      <c r="V1183" s="3" t="n">
        <v>263</v>
      </c>
      <c r="W1183" s="3" t="n"/>
      <c r="X1183" s="4" t="n"/>
      <c r="Y1183" s="5" t="n">
        <v>0.114</v>
      </c>
      <c r="Z1183" s="4">
        <f>IF(L1183&lt;&gt;"",SQRT(3)*G1183*L1183/1000,"")</f>
        <v/>
      </c>
      <c r="AA1183" t="inlineStr">
        <is>
          <t>Source=Copeland 2D/3D/4D/4R/6D/8D/9R compressors (pdf) p54; PWS_RLA=40.4</t>
        </is>
      </c>
      <c r="AB1183" t="inlineStr">
        <is>
          <t>Copeland_RLA_230_460_3ph_60Hz.xlsx</t>
        </is>
      </c>
      <c r="AC1183" t="inlineStr">
        <is>
          <t>Recip_2D-9R</t>
        </is>
      </c>
    </row>
    <row r="1184">
      <c r="A1184" t="inlineStr">
        <is>
          <t>COPELAND</t>
        </is>
      </c>
      <c r="B1184" t="inlineStr">
        <is>
          <t>6DD3A270L-TSK</t>
        </is>
      </c>
      <c r="D1184" t="inlineStr">
        <is>
          <t>Reciprocating Semi-hermetic</t>
        </is>
      </c>
      <c r="E1184" s="2" t="n">
        <v>3</v>
      </c>
      <c r="F1184" s="2" t="n">
        <v>60</v>
      </c>
      <c r="G1184" s="2" t="n">
        <v>460</v>
      </c>
      <c r="H1184" t="inlineStr">
        <is>
          <t>460</t>
        </is>
      </c>
      <c r="I1184" s="2" t="n">
        <v>460</v>
      </c>
      <c r="J1184" s="2" t="n">
        <v>460</v>
      </c>
      <c r="L1184" s="3" t="n"/>
      <c r="M1184" s="3" t="n"/>
      <c r="N1184" s="3" t="n">
        <v>40.4</v>
      </c>
      <c r="O1184" s="3" t="n"/>
      <c r="P1184" s="3">
        <f>IF(L1184&lt;&gt;"",L1184/1.4,"")</f>
        <v/>
      </c>
      <c r="Q1184" s="3">
        <f>IF(L1184&lt;&gt;"",L1184/1.56,"")</f>
        <v/>
      </c>
      <c r="R1184" s="3">
        <f>IF(M1184&lt;&gt;"",M1184/1.4,"")</f>
        <v/>
      </c>
      <c r="S1184" s="3">
        <f>IF(M1184&lt;&gt;"",M1184/1.56,"")</f>
        <v/>
      </c>
      <c r="T1184" s="3">
        <f>IF(N1184&lt;&gt;"",N1184,IF(O1184&lt;&gt;"",O1184,IF(L1184&lt;&gt;"",L1184/1.56,IF(M1184&lt;&gt;"",M1184/1.56,""))))</f>
        <v/>
      </c>
      <c r="U1184" s="3" t="n">
        <v>225</v>
      </c>
      <c r="V1184" s="3" t="n"/>
      <c r="W1184" s="3" t="n"/>
      <c r="X1184" s="4" t="n"/>
      <c r="Y1184" s="5" t="n">
        <v>0.456</v>
      </c>
      <c r="Z1184" s="4">
        <f>IF(L1184&lt;&gt;"",SQRT(3)*G1184*L1184/1000,"")</f>
        <v/>
      </c>
      <c r="AA1184" t="inlineStr">
        <is>
          <t>Source=Copeland 2D/3D/4D/4R/6D/8D/9R compressors (pdf) p54</t>
        </is>
      </c>
      <c r="AB1184" t="inlineStr">
        <is>
          <t>Copeland_RLA_230_460_3ph_60Hz.xlsx</t>
        </is>
      </c>
      <c r="AC1184" t="inlineStr">
        <is>
          <t>Recip_2D-9R</t>
        </is>
      </c>
    </row>
    <row r="1185">
      <c r="A1185" t="inlineStr">
        <is>
          <t>COPELAND</t>
        </is>
      </c>
      <c r="B1185" t="inlineStr">
        <is>
          <t>6DD3F93K0-FSD</t>
        </is>
      </c>
      <c r="D1185" t="inlineStr">
        <is>
          <t>Reciprocating Semi-hermetic</t>
        </is>
      </c>
      <c r="E1185" s="2" t="n">
        <v>3</v>
      </c>
      <c r="F1185" s="2" t="n">
        <v>60</v>
      </c>
      <c r="G1185" s="2" t="n">
        <v>460</v>
      </c>
      <c r="H1185" t="inlineStr">
        <is>
          <t>460</t>
        </is>
      </c>
      <c r="I1185" s="2" t="n">
        <v>460</v>
      </c>
      <c r="J1185" s="2" t="n">
        <v>460</v>
      </c>
      <c r="L1185" s="3" t="n"/>
      <c r="M1185" s="3" t="n"/>
      <c r="N1185" s="3" t="n">
        <v>41.6</v>
      </c>
      <c r="O1185" s="3" t="n"/>
      <c r="P1185" s="3">
        <f>IF(L1185&lt;&gt;"",L1185/1.4,"")</f>
        <v/>
      </c>
      <c r="Q1185" s="3">
        <f>IF(L1185&lt;&gt;"",L1185/1.56,"")</f>
        <v/>
      </c>
      <c r="R1185" s="3">
        <f>IF(M1185&lt;&gt;"",M1185/1.4,"")</f>
        <v/>
      </c>
      <c r="S1185" s="3">
        <f>IF(M1185&lt;&gt;"",M1185/1.56,"")</f>
        <v/>
      </c>
      <c r="T1185" s="3">
        <f>IF(N1185&lt;&gt;"",N1185,IF(O1185&lt;&gt;"",O1185,IF(L1185&lt;&gt;"",L1185/1.56,IF(M1185&lt;&gt;"",M1185/1.56,""))))</f>
        <v/>
      </c>
      <c r="U1185" s="3" t="n">
        <v>218</v>
      </c>
      <c r="V1185" s="3" t="n">
        <v>131</v>
      </c>
      <c r="W1185" s="3" t="n"/>
      <c r="X1185" s="4" t="n"/>
      <c r="Y1185" s="5" t="n">
        <v>0.457</v>
      </c>
      <c r="Z1185" s="4">
        <f>IF(L1185&lt;&gt;"",SQRT(3)*G1185*L1185/1000,"")</f>
        <v/>
      </c>
      <c r="AA1185" t="inlineStr">
        <is>
          <t>Source=Copeland 2D/3D/4D/4R/6D/8D/9R compressors (pdf) p55; PWS_RLA=20.8</t>
        </is>
      </c>
      <c r="AB1185" t="inlineStr">
        <is>
          <t>Copeland_RLA_230_460_3ph_60Hz.xlsx</t>
        </is>
      </c>
      <c r="AC1185" t="inlineStr">
        <is>
          <t>Recip_2D-9R</t>
        </is>
      </c>
    </row>
    <row r="1186">
      <c r="A1186" t="inlineStr">
        <is>
          <t>COPELAND</t>
        </is>
      </c>
      <c r="B1186" t="inlineStr">
        <is>
          <t>6DD3F93K0-TSK</t>
        </is>
      </c>
      <c r="D1186" t="inlineStr">
        <is>
          <t>Reciprocating Semi-hermetic</t>
        </is>
      </c>
      <c r="E1186" s="2" t="n">
        <v>3</v>
      </c>
      <c r="F1186" s="2" t="n">
        <v>60</v>
      </c>
      <c r="G1186" s="2" t="n">
        <v>230</v>
      </c>
      <c r="H1186" t="inlineStr">
        <is>
          <t>208/230</t>
        </is>
      </c>
      <c r="I1186" s="2" t="n">
        <v>208</v>
      </c>
      <c r="J1186" s="2" t="n">
        <v>230</v>
      </c>
      <c r="L1186" s="3" t="n"/>
      <c r="M1186" s="3" t="n"/>
      <c r="N1186" s="3" t="n">
        <v>80.7</v>
      </c>
      <c r="O1186" s="3" t="n"/>
      <c r="P1186" s="3">
        <f>IF(L1186&lt;&gt;"",L1186/1.4,"")</f>
        <v/>
      </c>
      <c r="Q1186" s="3">
        <f>IF(L1186&lt;&gt;"",L1186/1.56,"")</f>
        <v/>
      </c>
      <c r="R1186" s="3">
        <f>IF(M1186&lt;&gt;"",M1186/1.4,"")</f>
        <v/>
      </c>
      <c r="S1186" s="3">
        <f>IF(M1186&lt;&gt;"",M1186/1.56,"")</f>
        <v/>
      </c>
      <c r="T1186" s="3">
        <f>IF(N1186&lt;&gt;"",N1186,IF(O1186&lt;&gt;"",O1186,IF(L1186&lt;&gt;"",L1186/1.56,IF(M1186&lt;&gt;"",M1186/1.56,""))))</f>
        <v/>
      </c>
      <c r="U1186" s="3" t="n">
        <v>450</v>
      </c>
      <c r="V1186" s="3" t="n">
        <v>263</v>
      </c>
      <c r="W1186" s="3" t="n"/>
      <c r="X1186" s="4" t="n"/>
      <c r="Y1186" s="5" t="n">
        <v>0.114</v>
      </c>
      <c r="Z1186" s="4">
        <f>IF(L1186&lt;&gt;"",SQRT(3)*G1186*L1186/1000,"")</f>
        <v/>
      </c>
      <c r="AA1186" t="inlineStr">
        <is>
          <t>Source=Copeland 2D/3D/4D/4R/6D/8D/9R compressors (pdf) p55; PWS_RLA=40.4</t>
        </is>
      </c>
      <c r="AB1186" t="inlineStr">
        <is>
          <t>Copeland_RLA_230_460_3ph_60Hz.xlsx</t>
        </is>
      </c>
      <c r="AC1186" t="inlineStr">
        <is>
          <t>Recip_2D-9R</t>
        </is>
      </c>
    </row>
    <row r="1187">
      <c r="A1187" t="inlineStr">
        <is>
          <t>COPELAND</t>
        </is>
      </c>
      <c r="B1187" t="inlineStr">
        <is>
          <t>6DD3F93K0-TSK</t>
        </is>
      </c>
      <c r="D1187" t="inlineStr">
        <is>
          <t>Reciprocating Semi-hermetic</t>
        </is>
      </c>
      <c r="E1187" s="2" t="n">
        <v>3</v>
      </c>
      <c r="F1187" s="2" t="n">
        <v>60</v>
      </c>
      <c r="G1187" s="2" t="n">
        <v>460</v>
      </c>
      <c r="H1187" t="inlineStr">
        <is>
          <t>460</t>
        </is>
      </c>
      <c r="I1187" s="2" t="n">
        <v>460</v>
      </c>
      <c r="J1187" s="2" t="n">
        <v>460</v>
      </c>
      <c r="L1187" s="3" t="n"/>
      <c r="M1187" s="3" t="n"/>
      <c r="N1187" s="3" t="n">
        <v>40.4</v>
      </c>
      <c r="O1187" s="3" t="n"/>
      <c r="P1187" s="3">
        <f>IF(L1187&lt;&gt;"",L1187/1.4,"")</f>
        <v/>
      </c>
      <c r="Q1187" s="3">
        <f>IF(L1187&lt;&gt;"",L1187/1.56,"")</f>
        <v/>
      </c>
      <c r="R1187" s="3">
        <f>IF(M1187&lt;&gt;"",M1187/1.4,"")</f>
        <v/>
      </c>
      <c r="S1187" s="3">
        <f>IF(M1187&lt;&gt;"",M1187/1.56,"")</f>
        <v/>
      </c>
      <c r="T1187" s="3">
        <f>IF(N1187&lt;&gt;"",N1187,IF(O1187&lt;&gt;"",O1187,IF(L1187&lt;&gt;"",L1187/1.56,IF(M1187&lt;&gt;"",M1187/1.56,""))))</f>
        <v/>
      </c>
      <c r="U1187" s="3" t="n">
        <v>225</v>
      </c>
      <c r="V1187" s="3" t="n"/>
      <c r="W1187" s="3" t="n"/>
      <c r="X1187" s="4" t="n"/>
      <c r="Y1187" s="5" t="n">
        <v>0.456</v>
      </c>
      <c r="Z1187" s="4">
        <f>IF(L1187&lt;&gt;"",SQRT(3)*G1187*L1187/1000,"")</f>
        <v/>
      </c>
      <c r="AA1187" t="inlineStr">
        <is>
          <t>Source=Copeland 2D/3D/4D/4R/6D/8D/9R compressors (pdf) p55</t>
        </is>
      </c>
      <c r="AB1187" t="inlineStr">
        <is>
          <t>Copeland_RLA_230_460_3ph_60Hz.xlsx</t>
        </is>
      </c>
      <c r="AC1187" t="inlineStr">
        <is>
          <t>Recip_2D-9R</t>
        </is>
      </c>
    </row>
    <row r="1188">
      <c r="A1188" t="inlineStr">
        <is>
          <t>COPELAND</t>
        </is>
      </c>
      <c r="B1188" t="inlineStr">
        <is>
          <t>6DD3F93KE-FSD</t>
        </is>
      </c>
      <c r="D1188" t="inlineStr">
        <is>
          <t>Reciprocating Semi-hermetic</t>
        </is>
      </c>
      <c r="E1188" s="2" t="n">
        <v>3</v>
      </c>
      <c r="F1188" s="2" t="n">
        <v>60</v>
      </c>
      <c r="G1188" s="2" t="n">
        <v>460</v>
      </c>
      <c r="H1188" t="inlineStr">
        <is>
          <t>460</t>
        </is>
      </c>
      <c r="I1188" s="2" t="n">
        <v>460</v>
      </c>
      <c r="J1188" s="2" t="n">
        <v>460</v>
      </c>
      <c r="L1188" s="3" t="n"/>
      <c r="M1188" s="3" t="n"/>
      <c r="N1188" s="3" t="n">
        <v>44.6</v>
      </c>
      <c r="O1188" s="3" t="n"/>
      <c r="P1188" s="3">
        <f>IF(L1188&lt;&gt;"",L1188/1.4,"")</f>
        <v/>
      </c>
      <c r="Q1188" s="3">
        <f>IF(L1188&lt;&gt;"",L1188/1.56,"")</f>
        <v/>
      </c>
      <c r="R1188" s="3">
        <f>IF(M1188&lt;&gt;"",M1188/1.4,"")</f>
        <v/>
      </c>
      <c r="S1188" s="3">
        <f>IF(M1188&lt;&gt;"",M1188/1.56,"")</f>
        <v/>
      </c>
      <c r="T1188" s="3">
        <f>IF(N1188&lt;&gt;"",N1188,IF(O1188&lt;&gt;"",O1188,IF(L1188&lt;&gt;"",L1188/1.56,IF(M1188&lt;&gt;"",M1188/1.56,""))))</f>
        <v/>
      </c>
      <c r="U1188" s="3" t="n">
        <v>218</v>
      </c>
      <c r="V1188" s="3" t="n">
        <v>131</v>
      </c>
      <c r="W1188" s="3" t="n"/>
      <c r="X1188" s="4" t="n"/>
      <c r="Y1188" s="5" t="n">
        <v>0.457</v>
      </c>
      <c r="Z1188" s="4">
        <f>IF(L1188&lt;&gt;"",SQRT(3)*G1188*L1188/1000,"")</f>
        <v/>
      </c>
      <c r="AA1188" t="inlineStr">
        <is>
          <t>Source=Copeland 2D/3D/4D/4R/6D/8D/9R compressors (pdf) p55; PWS_RLA=22.3</t>
        </is>
      </c>
      <c r="AB1188" t="inlineStr">
        <is>
          <t>Copeland_RLA_230_460_3ph_60Hz.xlsx</t>
        </is>
      </c>
      <c r="AC1188" t="inlineStr">
        <is>
          <t>Recip_2D-9R</t>
        </is>
      </c>
    </row>
    <row r="1189">
      <c r="A1189" t="inlineStr">
        <is>
          <t>COPELAND</t>
        </is>
      </c>
      <c r="B1189" t="inlineStr">
        <is>
          <t>6DD3F93KE-TSK</t>
        </is>
      </c>
      <c r="D1189" t="inlineStr">
        <is>
          <t>Reciprocating Semi-hermetic</t>
        </is>
      </c>
      <c r="E1189" s="2" t="n">
        <v>3</v>
      </c>
      <c r="F1189" s="2" t="n">
        <v>60</v>
      </c>
      <c r="G1189" s="2" t="n">
        <v>230</v>
      </c>
      <c r="H1189" t="inlineStr">
        <is>
          <t>208/230</t>
        </is>
      </c>
      <c r="I1189" s="2" t="n">
        <v>208</v>
      </c>
      <c r="J1189" s="2" t="n">
        <v>230</v>
      </c>
      <c r="L1189" s="3" t="n"/>
      <c r="M1189" s="3" t="n"/>
      <c r="N1189" s="3" t="n">
        <v>80.7</v>
      </c>
      <c r="O1189" s="3" t="n"/>
      <c r="P1189" s="3">
        <f>IF(L1189&lt;&gt;"",L1189/1.4,"")</f>
        <v/>
      </c>
      <c r="Q1189" s="3">
        <f>IF(L1189&lt;&gt;"",L1189/1.56,"")</f>
        <v/>
      </c>
      <c r="R1189" s="3">
        <f>IF(M1189&lt;&gt;"",M1189/1.4,"")</f>
        <v/>
      </c>
      <c r="S1189" s="3">
        <f>IF(M1189&lt;&gt;"",M1189/1.56,"")</f>
        <v/>
      </c>
      <c r="T1189" s="3">
        <f>IF(N1189&lt;&gt;"",N1189,IF(O1189&lt;&gt;"",O1189,IF(L1189&lt;&gt;"",L1189/1.56,IF(M1189&lt;&gt;"",M1189/1.56,""))))</f>
        <v/>
      </c>
      <c r="U1189" s="3" t="n">
        <v>450</v>
      </c>
      <c r="V1189" s="3" t="n">
        <v>263</v>
      </c>
      <c r="W1189" s="3" t="n"/>
      <c r="X1189" s="4" t="n"/>
      <c r="Y1189" s="5" t="n">
        <v>0.114</v>
      </c>
      <c r="Z1189" s="4">
        <f>IF(L1189&lt;&gt;"",SQRT(3)*G1189*L1189/1000,"")</f>
        <v/>
      </c>
      <c r="AA1189" t="inlineStr">
        <is>
          <t>Source=Copeland 2D/3D/4D/4R/6D/8D/9R compressors (pdf) p55; PWS_RLA=40.4</t>
        </is>
      </c>
      <c r="AB1189" t="inlineStr">
        <is>
          <t>Copeland_RLA_230_460_3ph_60Hz.xlsx</t>
        </is>
      </c>
      <c r="AC1189" t="inlineStr">
        <is>
          <t>Recip_2D-9R</t>
        </is>
      </c>
    </row>
    <row r="1190">
      <c r="A1190" t="inlineStr">
        <is>
          <t>COPELAND</t>
        </is>
      </c>
      <c r="B1190" t="inlineStr">
        <is>
          <t>6DD3F93KE-TSK</t>
        </is>
      </c>
      <c r="D1190" t="inlineStr">
        <is>
          <t>Reciprocating Semi-hermetic</t>
        </is>
      </c>
      <c r="E1190" s="2" t="n">
        <v>3</v>
      </c>
      <c r="F1190" s="2" t="n">
        <v>60</v>
      </c>
      <c r="G1190" s="2" t="n">
        <v>460</v>
      </c>
      <c r="H1190" t="inlineStr">
        <is>
          <t>460</t>
        </is>
      </c>
      <c r="I1190" s="2" t="n">
        <v>460</v>
      </c>
      <c r="J1190" s="2" t="n">
        <v>460</v>
      </c>
      <c r="L1190" s="3" t="n"/>
      <c r="M1190" s="3" t="n"/>
      <c r="N1190" s="3" t="n">
        <v>40.4</v>
      </c>
      <c r="O1190" s="3" t="n"/>
      <c r="P1190" s="3">
        <f>IF(L1190&lt;&gt;"",L1190/1.4,"")</f>
        <v/>
      </c>
      <c r="Q1190" s="3">
        <f>IF(L1190&lt;&gt;"",L1190/1.56,"")</f>
        <v/>
      </c>
      <c r="R1190" s="3">
        <f>IF(M1190&lt;&gt;"",M1190/1.4,"")</f>
        <v/>
      </c>
      <c r="S1190" s="3">
        <f>IF(M1190&lt;&gt;"",M1190/1.56,"")</f>
        <v/>
      </c>
      <c r="T1190" s="3">
        <f>IF(N1190&lt;&gt;"",N1190,IF(O1190&lt;&gt;"",O1190,IF(L1190&lt;&gt;"",L1190/1.56,IF(M1190&lt;&gt;"",M1190/1.56,""))))</f>
        <v/>
      </c>
      <c r="U1190" s="3" t="n">
        <v>225</v>
      </c>
      <c r="V1190" s="3" t="n"/>
      <c r="W1190" s="3" t="n"/>
      <c r="X1190" s="4" t="n"/>
      <c r="Y1190" s="5" t="n">
        <v>0.456</v>
      </c>
      <c r="Z1190" s="4">
        <f>IF(L1190&lt;&gt;"",SQRT(3)*G1190*L1190/1000,"")</f>
        <v/>
      </c>
      <c r="AA1190" t="inlineStr">
        <is>
          <t>Source=Copeland 2D/3D/4D/4R/6D/8D/9R compressors (pdf) p55</t>
        </is>
      </c>
      <c r="AB1190" t="inlineStr">
        <is>
          <t>Copeland_RLA_230_460_3ph_60Hz.xlsx</t>
        </is>
      </c>
      <c r="AC1190" t="inlineStr">
        <is>
          <t>Recip_2D-9R</t>
        </is>
      </c>
    </row>
    <row r="1191">
      <c r="A1191" t="inlineStr">
        <is>
          <t>COPELAND</t>
        </is>
      </c>
      <c r="B1191" t="inlineStr">
        <is>
          <t>6DD3F93KL-FSD</t>
        </is>
      </c>
      <c r="D1191" t="inlineStr">
        <is>
          <t>Reciprocating Semi-hermetic</t>
        </is>
      </c>
      <c r="E1191" s="2" t="n">
        <v>3</v>
      </c>
      <c r="F1191" s="2" t="n">
        <v>60</v>
      </c>
      <c r="G1191" s="2" t="n">
        <v>460</v>
      </c>
      <c r="H1191" t="inlineStr">
        <is>
          <t>460</t>
        </is>
      </c>
      <c r="I1191" s="2" t="n">
        <v>460</v>
      </c>
      <c r="J1191" s="2" t="n">
        <v>460</v>
      </c>
      <c r="L1191" s="3" t="n"/>
      <c r="M1191" s="3" t="n"/>
      <c r="N1191" s="3" t="n">
        <v>44.6</v>
      </c>
      <c r="O1191" s="3" t="n"/>
      <c r="P1191" s="3">
        <f>IF(L1191&lt;&gt;"",L1191/1.4,"")</f>
        <v/>
      </c>
      <c r="Q1191" s="3">
        <f>IF(L1191&lt;&gt;"",L1191/1.56,"")</f>
        <v/>
      </c>
      <c r="R1191" s="3">
        <f>IF(M1191&lt;&gt;"",M1191/1.4,"")</f>
        <v/>
      </c>
      <c r="S1191" s="3">
        <f>IF(M1191&lt;&gt;"",M1191/1.56,"")</f>
        <v/>
      </c>
      <c r="T1191" s="3">
        <f>IF(N1191&lt;&gt;"",N1191,IF(O1191&lt;&gt;"",O1191,IF(L1191&lt;&gt;"",L1191/1.56,IF(M1191&lt;&gt;"",M1191/1.56,""))))</f>
        <v/>
      </c>
      <c r="U1191" s="3" t="n">
        <v>218</v>
      </c>
      <c r="V1191" s="3" t="n">
        <v>131</v>
      </c>
      <c r="W1191" s="3" t="n"/>
      <c r="X1191" s="4" t="n"/>
      <c r="Y1191" s="5" t="n">
        <v>0.457</v>
      </c>
      <c r="Z1191" s="4">
        <f>IF(L1191&lt;&gt;"",SQRT(3)*G1191*L1191/1000,"")</f>
        <v/>
      </c>
      <c r="AA1191" t="inlineStr">
        <is>
          <t>Source=Copeland 2D/3D/4D/4R/6D/8D/9R compressors (pdf) p55; PWS_RLA=22.3</t>
        </is>
      </c>
      <c r="AB1191" t="inlineStr">
        <is>
          <t>Copeland_RLA_230_460_3ph_60Hz.xlsx</t>
        </is>
      </c>
      <c r="AC1191" t="inlineStr">
        <is>
          <t>Recip_2D-9R</t>
        </is>
      </c>
    </row>
    <row r="1192">
      <c r="A1192" t="inlineStr">
        <is>
          <t>COPELAND</t>
        </is>
      </c>
      <c r="B1192" t="inlineStr">
        <is>
          <t>6DD3F93KL-TSK</t>
        </is>
      </c>
      <c r="D1192" t="inlineStr">
        <is>
          <t>Reciprocating Semi-hermetic</t>
        </is>
      </c>
      <c r="E1192" s="2" t="n">
        <v>3</v>
      </c>
      <c r="F1192" s="2" t="n">
        <v>60</v>
      </c>
      <c r="G1192" s="2" t="n">
        <v>230</v>
      </c>
      <c r="H1192" t="inlineStr">
        <is>
          <t>208/230</t>
        </is>
      </c>
      <c r="I1192" s="2" t="n">
        <v>208</v>
      </c>
      <c r="J1192" s="2" t="n">
        <v>230</v>
      </c>
      <c r="L1192" s="3" t="n"/>
      <c r="M1192" s="3" t="n"/>
      <c r="N1192" s="3" t="n">
        <v>80.7</v>
      </c>
      <c r="O1192" s="3" t="n"/>
      <c r="P1192" s="3">
        <f>IF(L1192&lt;&gt;"",L1192/1.4,"")</f>
        <v/>
      </c>
      <c r="Q1192" s="3">
        <f>IF(L1192&lt;&gt;"",L1192/1.56,"")</f>
        <v/>
      </c>
      <c r="R1192" s="3">
        <f>IF(M1192&lt;&gt;"",M1192/1.4,"")</f>
        <v/>
      </c>
      <c r="S1192" s="3">
        <f>IF(M1192&lt;&gt;"",M1192/1.56,"")</f>
        <v/>
      </c>
      <c r="T1192" s="3">
        <f>IF(N1192&lt;&gt;"",N1192,IF(O1192&lt;&gt;"",O1192,IF(L1192&lt;&gt;"",L1192/1.56,IF(M1192&lt;&gt;"",M1192/1.56,""))))</f>
        <v/>
      </c>
      <c r="U1192" s="3" t="n">
        <v>450</v>
      </c>
      <c r="V1192" s="3" t="n">
        <v>263</v>
      </c>
      <c r="W1192" s="3" t="n"/>
      <c r="X1192" s="4" t="n"/>
      <c r="Y1192" s="5" t="n">
        <v>0.114</v>
      </c>
      <c r="Z1192" s="4">
        <f>IF(L1192&lt;&gt;"",SQRT(3)*G1192*L1192/1000,"")</f>
        <v/>
      </c>
      <c r="AA1192" t="inlineStr">
        <is>
          <t>Source=Copeland 2D/3D/4D/4R/6D/8D/9R compressors (pdf) p55; PWS_RLA=40.4</t>
        </is>
      </c>
      <c r="AB1192" t="inlineStr">
        <is>
          <t>Copeland_RLA_230_460_3ph_60Hz.xlsx</t>
        </is>
      </c>
      <c r="AC1192" t="inlineStr">
        <is>
          <t>Recip_2D-9R</t>
        </is>
      </c>
    </row>
    <row r="1193">
      <c r="A1193" t="inlineStr">
        <is>
          <t>COPELAND</t>
        </is>
      </c>
      <c r="B1193" t="inlineStr">
        <is>
          <t>6DD3F93KL-TSK</t>
        </is>
      </c>
      <c r="D1193" t="inlineStr">
        <is>
          <t>Reciprocating Semi-hermetic</t>
        </is>
      </c>
      <c r="E1193" s="2" t="n">
        <v>3</v>
      </c>
      <c r="F1193" s="2" t="n">
        <v>60</v>
      </c>
      <c r="G1193" s="2" t="n">
        <v>460</v>
      </c>
      <c r="H1193" t="inlineStr">
        <is>
          <t>460</t>
        </is>
      </c>
      <c r="I1193" s="2" t="n">
        <v>460</v>
      </c>
      <c r="J1193" s="2" t="n">
        <v>460</v>
      </c>
      <c r="L1193" s="3" t="n"/>
      <c r="M1193" s="3" t="n"/>
      <c r="N1193" s="3" t="n">
        <v>40.4</v>
      </c>
      <c r="O1193" s="3" t="n"/>
      <c r="P1193" s="3">
        <f>IF(L1193&lt;&gt;"",L1193/1.4,"")</f>
        <v/>
      </c>
      <c r="Q1193" s="3">
        <f>IF(L1193&lt;&gt;"",L1193/1.56,"")</f>
        <v/>
      </c>
      <c r="R1193" s="3">
        <f>IF(M1193&lt;&gt;"",M1193/1.4,"")</f>
        <v/>
      </c>
      <c r="S1193" s="3">
        <f>IF(M1193&lt;&gt;"",M1193/1.56,"")</f>
        <v/>
      </c>
      <c r="T1193" s="3">
        <f>IF(N1193&lt;&gt;"",N1193,IF(O1193&lt;&gt;"",O1193,IF(L1193&lt;&gt;"",L1193/1.56,IF(M1193&lt;&gt;"",M1193/1.56,""))))</f>
        <v/>
      </c>
      <c r="U1193" s="3" t="n">
        <v>225</v>
      </c>
      <c r="V1193" s="3" t="n"/>
      <c r="W1193" s="3" t="n"/>
      <c r="X1193" s="4" t="n"/>
      <c r="Y1193" s="5" t="n">
        <v>0.456</v>
      </c>
      <c r="Z1193" s="4">
        <f>IF(L1193&lt;&gt;"",SQRT(3)*G1193*L1193/1000,"")</f>
        <v/>
      </c>
      <c r="AA1193" t="inlineStr">
        <is>
          <t>Source=Copeland 2D/3D/4D/4R/6D/8D/9R compressors (pdf) p55</t>
        </is>
      </c>
      <c r="AB1193" t="inlineStr">
        <is>
          <t>Copeland_RLA_230_460_3ph_60Hz.xlsx</t>
        </is>
      </c>
      <c r="AC1193" t="inlineStr">
        <is>
          <t>Recip_2D-9R</t>
        </is>
      </c>
    </row>
    <row r="1194">
      <c r="A1194" t="inlineStr">
        <is>
          <t>COPELAND</t>
        </is>
      </c>
      <c r="B1194" t="inlineStr">
        <is>
          <t>6DDG-270E-FSD</t>
        </is>
      </c>
      <c r="D1194" t="inlineStr">
        <is>
          <t>Reciprocating Semi-hermetic</t>
        </is>
      </c>
      <c r="E1194" s="2" t="n">
        <v>3</v>
      </c>
      <c r="F1194" s="2" t="n">
        <v>60</v>
      </c>
      <c r="G1194" s="2" t="n">
        <v>460</v>
      </c>
      <c r="H1194" t="inlineStr">
        <is>
          <t>460</t>
        </is>
      </c>
      <c r="I1194" s="2" t="n">
        <v>460</v>
      </c>
      <c r="J1194" s="2" t="n">
        <v>460</v>
      </c>
      <c r="L1194" s="3" t="n"/>
      <c r="M1194" s="3" t="n"/>
      <c r="N1194" s="3" t="n">
        <v>41.6</v>
      </c>
      <c r="O1194" s="3" t="n"/>
      <c r="P1194" s="3">
        <f>IF(L1194&lt;&gt;"",L1194/1.4,"")</f>
        <v/>
      </c>
      <c r="Q1194" s="3">
        <f>IF(L1194&lt;&gt;"",L1194/1.56,"")</f>
        <v/>
      </c>
      <c r="R1194" s="3">
        <f>IF(M1194&lt;&gt;"",M1194/1.4,"")</f>
        <v/>
      </c>
      <c r="S1194" s="3">
        <f>IF(M1194&lt;&gt;"",M1194/1.56,"")</f>
        <v/>
      </c>
      <c r="T1194" s="3">
        <f>IF(N1194&lt;&gt;"",N1194,IF(O1194&lt;&gt;"",O1194,IF(L1194&lt;&gt;"",L1194/1.56,IF(M1194&lt;&gt;"",M1194/1.56,""))))</f>
        <v/>
      </c>
      <c r="U1194" s="3" t="n">
        <v>218</v>
      </c>
      <c r="V1194" s="3" t="n">
        <v>131</v>
      </c>
      <c r="W1194" s="3" t="n"/>
      <c r="X1194" s="4" t="n"/>
      <c r="Y1194" s="5" t="n">
        <v>0.457</v>
      </c>
      <c r="Z1194" s="4">
        <f>IF(L1194&lt;&gt;"",SQRT(3)*G1194*L1194/1000,"")</f>
        <v/>
      </c>
      <c r="AA1194" t="inlineStr">
        <is>
          <t>Source=Copeland 2D/3D/4D/4R/6D/8D/9R compressors (pdf) p55; PWS_RLA=20.8</t>
        </is>
      </c>
      <c r="AB1194" t="inlineStr">
        <is>
          <t>Copeland_RLA_230_460_3ph_60Hz.xlsx</t>
        </is>
      </c>
      <c r="AC1194" t="inlineStr">
        <is>
          <t>Recip_2D-9R</t>
        </is>
      </c>
    </row>
    <row r="1195">
      <c r="A1195" t="inlineStr">
        <is>
          <t>COPELAND</t>
        </is>
      </c>
      <c r="B1195" t="inlineStr">
        <is>
          <t>6DE1-3000-TSK</t>
        </is>
      </c>
      <c r="D1195" t="inlineStr">
        <is>
          <t>Reciprocating Semi-hermetic</t>
        </is>
      </c>
      <c r="E1195" s="2" t="n">
        <v>3</v>
      </c>
      <c r="F1195" s="2" t="n">
        <v>60</v>
      </c>
      <c r="G1195" s="2" t="n">
        <v>230</v>
      </c>
      <c r="H1195" t="inlineStr">
        <is>
          <t>208/230</t>
        </is>
      </c>
      <c r="I1195" s="2" t="n">
        <v>208</v>
      </c>
      <c r="J1195" s="2" t="n">
        <v>230</v>
      </c>
      <c r="L1195" s="3" t="n"/>
      <c r="M1195" s="3" t="n"/>
      <c r="N1195" s="3" t="n">
        <v>110.9</v>
      </c>
      <c r="O1195" s="3" t="n"/>
      <c r="P1195" s="3">
        <f>IF(L1195&lt;&gt;"",L1195/1.4,"")</f>
        <v/>
      </c>
      <c r="Q1195" s="3">
        <f>IF(L1195&lt;&gt;"",L1195/1.56,"")</f>
        <v/>
      </c>
      <c r="R1195" s="3">
        <f>IF(M1195&lt;&gt;"",M1195/1.4,"")</f>
        <v/>
      </c>
      <c r="S1195" s="3">
        <f>IF(M1195&lt;&gt;"",M1195/1.56,"")</f>
        <v/>
      </c>
      <c r="T1195" s="3">
        <f>IF(N1195&lt;&gt;"",N1195,IF(O1195&lt;&gt;"",O1195,IF(L1195&lt;&gt;"",L1195/1.56,IF(M1195&lt;&gt;"",M1195/1.56,""))))</f>
        <v/>
      </c>
      <c r="U1195" s="3" t="n">
        <v>470</v>
      </c>
      <c r="V1195" s="3" t="n">
        <v>292</v>
      </c>
      <c r="W1195" s="3" t="n"/>
      <c r="X1195" s="4" t="n"/>
      <c r="Y1195" s="5" t="n">
        <v>0.111</v>
      </c>
      <c r="Z1195" s="4">
        <f>IF(L1195&lt;&gt;"",SQRT(3)*G1195*L1195/1000,"")</f>
        <v/>
      </c>
      <c r="AA1195" t="inlineStr">
        <is>
          <t>Source=Copeland 2D/3D/4D/4R/6D/8D/9R compressors (pdf) p55; PWS_RLA=55.5</t>
        </is>
      </c>
      <c r="AB1195" t="inlineStr">
        <is>
          <t>Copeland_RLA_230_460_3ph_60Hz.xlsx</t>
        </is>
      </c>
      <c r="AC1195" t="inlineStr">
        <is>
          <t>Recip_2D-9R</t>
        </is>
      </c>
    </row>
    <row r="1196">
      <c r="A1196" t="inlineStr">
        <is>
          <t>COPELAND</t>
        </is>
      </c>
      <c r="B1196" t="inlineStr">
        <is>
          <t>6DE1-3000-TSK</t>
        </is>
      </c>
      <c r="D1196" t="inlineStr">
        <is>
          <t>Reciprocating Semi-hermetic</t>
        </is>
      </c>
      <c r="E1196" s="2" t="n">
        <v>3</v>
      </c>
      <c r="F1196" s="2" t="n">
        <v>60</v>
      </c>
      <c r="G1196" s="2" t="n">
        <v>460</v>
      </c>
      <c r="H1196" t="inlineStr">
        <is>
          <t>460</t>
        </is>
      </c>
      <c r="I1196" s="2" t="n">
        <v>460</v>
      </c>
      <c r="J1196" s="2" t="n">
        <v>460</v>
      </c>
      <c r="L1196" s="3" t="n"/>
      <c r="M1196" s="3" t="n"/>
      <c r="N1196" s="3" t="n">
        <v>55.5</v>
      </c>
      <c r="O1196" s="3" t="n"/>
      <c r="P1196" s="3">
        <f>IF(L1196&lt;&gt;"",L1196/1.4,"")</f>
        <v/>
      </c>
      <c r="Q1196" s="3">
        <f>IF(L1196&lt;&gt;"",L1196/1.56,"")</f>
        <v/>
      </c>
      <c r="R1196" s="3">
        <f>IF(M1196&lt;&gt;"",M1196/1.4,"")</f>
        <v/>
      </c>
      <c r="S1196" s="3">
        <f>IF(M1196&lt;&gt;"",M1196/1.56,"")</f>
        <v/>
      </c>
      <c r="T1196" s="3">
        <f>IF(N1196&lt;&gt;"",N1196,IF(O1196&lt;&gt;"",O1196,IF(L1196&lt;&gt;"",L1196/1.56,IF(M1196&lt;&gt;"",M1196/1.56,""))))</f>
        <v/>
      </c>
      <c r="U1196" s="3" t="n">
        <v>235</v>
      </c>
      <c r="V1196" s="3" t="n"/>
      <c r="W1196" s="3" t="n"/>
      <c r="X1196" s="4" t="n"/>
      <c r="Y1196" s="5" t="n">
        <v>0.444</v>
      </c>
      <c r="Z1196" s="4">
        <f>IF(L1196&lt;&gt;"",SQRT(3)*G1196*L1196/1000,"")</f>
        <v/>
      </c>
      <c r="AA1196" t="inlineStr">
        <is>
          <t>Source=Copeland 2D/3D/4D/4R/6D/8D/9R compressors (pdf) p55</t>
        </is>
      </c>
      <c r="AB1196" t="inlineStr">
        <is>
          <t>Copeland_RLA_230_460_3ph_60Hz.xlsx</t>
        </is>
      </c>
      <c r="AC1196" t="inlineStr">
        <is>
          <t>Recip_2D-9R</t>
        </is>
      </c>
    </row>
    <row r="1197">
      <c r="A1197" t="inlineStr">
        <is>
          <t>COPELAND</t>
        </is>
      </c>
      <c r="B1197" t="inlineStr">
        <is>
          <t>6DE1A3000-TSK</t>
        </is>
      </c>
      <c r="D1197" t="inlineStr">
        <is>
          <t>Reciprocating Semi-hermetic</t>
        </is>
      </c>
      <c r="E1197" s="2" t="n">
        <v>3</v>
      </c>
      <c r="F1197" s="2" t="n">
        <v>60</v>
      </c>
      <c r="G1197" s="2" t="n">
        <v>230</v>
      </c>
      <c r="H1197" t="inlineStr">
        <is>
          <t>208/230</t>
        </is>
      </c>
      <c r="I1197" s="2" t="n">
        <v>208</v>
      </c>
      <c r="J1197" s="2" t="n">
        <v>230</v>
      </c>
      <c r="L1197" s="3" t="n"/>
      <c r="M1197" s="3" t="n"/>
      <c r="N1197" s="3" t="n">
        <v>110.9</v>
      </c>
      <c r="O1197" s="3" t="n"/>
      <c r="P1197" s="3">
        <f>IF(L1197&lt;&gt;"",L1197/1.4,"")</f>
        <v/>
      </c>
      <c r="Q1197" s="3">
        <f>IF(L1197&lt;&gt;"",L1197/1.56,"")</f>
        <v/>
      </c>
      <c r="R1197" s="3">
        <f>IF(M1197&lt;&gt;"",M1197/1.4,"")</f>
        <v/>
      </c>
      <c r="S1197" s="3">
        <f>IF(M1197&lt;&gt;"",M1197/1.56,"")</f>
        <v/>
      </c>
      <c r="T1197" s="3">
        <f>IF(N1197&lt;&gt;"",N1197,IF(O1197&lt;&gt;"",O1197,IF(L1197&lt;&gt;"",L1197/1.56,IF(M1197&lt;&gt;"",M1197/1.56,""))))</f>
        <v/>
      </c>
      <c r="U1197" s="3" t="n">
        <v>470</v>
      </c>
      <c r="V1197" s="3" t="n">
        <v>292</v>
      </c>
      <c r="W1197" s="3" t="n"/>
      <c r="X1197" s="4" t="n"/>
      <c r="Y1197" s="5" t="n">
        <v>0.111</v>
      </c>
      <c r="Z1197" s="4">
        <f>IF(L1197&lt;&gt;"",SQRT(3)*G1197*L1197/1000,"")</f>
        <v/>
      </c>
      <c r="AA1197" t="inlineStr">
        <is>
          <t>Source=Copeland 2D/3D/4D/4R/6D/8D/9R compressors (pdf) p55; PWS_RLA=55.5</t>
        </is>
      </c>
      <c r="AB1197" t="inlineStr">
        <is>
          <t>Copeland_RLA_230_460_3ph_60Hz.xlsx</t>
        </is>
      </c>
      <c r="AC1197" t="inlineStr">
        <is>
          <t>Recip_2D-9R</t>
        </is>
      </c>
    </row>
    <row r="1198">
      <c r="A1198" t="inlineStr">
        <is>
          <t>COPELAND</t>
        </is>
      </c>
      <c r="B1198" t="inlineStr">
        <is>
          <t>6DE1A3000-TSK</t>
        </is>
      </c>
      <c r="D1198" t="inlineStr">
        <is>
          <t>Reciprocating Semi-hermetic</t>
        </is>
      </c>
      <c r="E1198" s="2" t="n">
        <v>3</v>
      </c>
      <c r="F1198" s="2" t="n">
        <v>60</v>
      </c>
      <c r="G1198" s="2" t="n">
        <v>460</v>
      </c>
      <c r="H1198" t="inlineStr">
        <is>
          <t>460</t>
        </is>
      </c>
      <c r="I1198" s="2" t="n">
        <v>460</v>
      </c>
      <c r="J1198" s="2" t="n">
        <v>460</v>
      </c>
      <c r="L1198" s="3" t="n"/>
      <c r="M1198" s="3" t="n"/>
      <c r="N1198" s="3" t="n">
        <v>55.5</v>
      </c>
      <c r="O1198" s="3" t="n"/>
      <c r="P1198" s="3">
        <f>IF(L1198&lt;&gt;"",L1198/1.4,"")</f>
        <v/>
      </c>
      <c r="Q1198" s="3">
        <f>IF(L1198&lt;&gt;"",L1198/1.56,"")</f>
        <v/>
      </c>
      <c r="R1198" s="3">
        <f>IF(M1198&lt;&gt;"",M1198/1.4,"")</f>
        <v/>
      </c>
      <c r="S1198" s="3">
        <f>IF(M1198&lt;&gt;"",M1198/1.56,"")</f>
        <v/>
      </c>
      <c r="T1198" s="3">
        <f>IF(N1198&lt;&gt;"",N1198,IF(O1198&lt;&gt;"",O1198,IF(L1198&lt;&gt;"",L1198/1.56,IF(M1198&lt;&gt;"",M1198/1.56,""))))</f>
        <v/>
      </c>
      <c r="U1198" s="3" t="n">
        <v>235</v>
      </c>
      <c r="V1198" s="3" t="n"/>
      <c r="W1198" s="3" t="n"/>
      <c r="X1198" s="4" t="n"/>
      <c r="Y1198" s="5" t="n">
        <v>0.444</v>
      </c>
      <c r="Z1198" s="4">
        <f>IF(L1198&lt;&gt;"",SQRT(3)*G1198*L1198/1000,"")</f>
        <v/>
      </c>
      <c r="AA1198" t="inlineStr">
        <is>
          <t>Source=Copeland 2D/3D/4D/4R/6D/8D/9R compressors (pdf) p55</t>
        </is>
      </c>
      <c r="AB1198" t="inlineStr">
        <is>
          <t>Copeland_RLA_230_460_3ph_60Hz.xlsx</t>
        </is>
      </c>
      <c r="AC1198" t="inlineStr">
        <is>
          <t>Recip_2D-9R</t>
        </is>
      </c>
    </row>
    <row r="1199">
      <c r="A1199" t="inlineStr">
        <is>
          <t>COPELAND</t>
        </is>
      </c>
      <c r="B1199" t="inlineStr">
        <is>
          <t>6DE3-3000-FSD</t>
        </is>
      </c>
      <c r="D1199" t="inlineStr">
        <is>
          <t>Reciprocating Semi-hermetic</t>
        </is>
      </c>
      <c r="E1199" s="2" t="n">
        <v>3</v>
      </c>
      <c r="F1199" s="2" t="n">
        <v>60</v>
      </c>
      <c r="G1199" s="2" t="n">
        <v>460</v>
      </c>
      <c r="H1199" t="inlineStr">
        <is>
          <t>460</t>
        </is>
      </c>
      <c r="I1199" s="2" t="n">
        <v>460</v>
      </c>
      <c r="J1199" s="2" t="n">
        <v>460</v>
      </c>
      <c r="L1199" s="3" t="n"/>
      <c r="M1199" s="3" t="n"/>
      <c r="N1199" s="3" t="n">
        <v>42.9</v>
      </c>
      <c r="O1199" s="3" t="n"/>
      <c r="P1199" s="3">
        <f>IF(L1199&lt;&gt;"",L1199/1.4,"")</f>
        <v/>
      </c>
      <c r="Q1199" s="3">
        <f>IF(L1199&lt;&gt;"",L1199/1.56,"")</f>
        <v/>
      </c>
      <c r="R1199" s="3">
        <f>IF(M1199&lt;&gt;"",M1199/1.4,"")</f>
        <v/>
      </c>
      <c r="S1199" s="3">
        <f>IF(M1199&lt;&gt;"",M1199/1.56,"")</f>
        <v/>
      </c>
      <c r="T1199" s="3">
        <f>IF(N1199&lt;&gt;"",N1199,IF(O1199&lt;&gt;"",O1199,IF(L1199&lt;&gt;"",L1199/1.56,IF(M1199&lt;&gt;"",M1199/1.56,""))))</f>
        <v/>
      </c>
      <c r="U1199" s="3" t="n">
        <v>235</v>
      </c>
      <c r="V1199" s="3" t="n">
        <v>141</v>
      </c>
      <c r="W1199" s="3" t="n"/>
      <c r="X1199" s="4" t="n"/>
      <c r="Y1199" s="5" t="n">
        <v>0.45</v>
      </c>
      <c r="Z1199" s="4">
        <f>IF(L1199&lt;&gt;"",SQRT(3)*G1199*L1199/1000,"")</f>
        <v/>
      </c>
      <c r="AA1199" t="inlineStr">
        <is>
          <t>Source=Copeland 2D/3D/4D/4R/6D/8D/9R compressors (pdf) p55; PWS_RLA=21.4</t>
        </is>
      </c>
      <c r="AB1199" t="inlineStr">
        <is>
          <t>Copeland_RLA_230_460_3ph_60Hz.xlsx</t>
        </is>
      </c>
      <c r="AC1199" t="inlineStr">
        <is>
          <t>Recip_2D-9R</t>
        </is>
      </c>
    </row>
    <row r="1200">
      <c r="A1200" t="inlineStr">
        <is>
          <t>COPELAND</t>
        </is>
      </c>
      <c r="B1200" t="inlineStr">
        <is>
          <t>6DE3-3000-TSK</t>
        </is>
      </c>
      <c r="D1200" t="inlineStr">
        <is>
          <t>Reciprocating Semi-hermetic</t>
        </is>
      </c>
      <c r="E1200" s="2" t="n">
        <v>3</v>
      </c>
      <c r="F1200" s="2" t="n">
        <v>60</v>
      </c>
      <c r="G1200" s="2" t="n">
        <v>230</v>
      </c>
      <c r="H1200" t="inlineStr">
        <is>
          <t>208/230</t>
        </is>
      </c>
      <c r="I1200" s="2" t="n">
        <v>208</v>
      </c>
      <c r="J1200" s="2" t="n">
        <v>230</v>
      </c>
      <c r="L1200" s="3" t="n"/>
      <c r="M1200" s="3" t="n"/>
      <c r="N1200" s="3" t="n">
        <v>95.59999999999999</v>
      </c>
      <c r="O1200" s="3" t="n"/>
      <c r="P1200" s="3">
        <f>IF(L1200&lt;&gt;"",L1200/1.4,"")</f>
        <v/>
      </c>
      <c r="Q1200" s="3">
        <f>IF(L1200&lt;&gt;"",L1200/1.56,"")</f>
        <v/>
      </c>
      <c r="R1200" s="3">
        <f>IF(M1200&lt;&gt;"",M1200/1.4,"")</f>
        <v/>
      </c>
      <c r="S1200" s="3">
        <f>IF(M1200&lt;&gt;"",M1200/1.56,"")</f>
        <v/>
      </c>
      <c r="T1200" s="3">
        <f>IF(N1200&lt;&gt;"",N1200,IF(O1200&lt;&gt;"",O1200,IF(L1200&lt;&gt;"",L1200/1.56,IF(M1200&lt;&gt;"",M1200/1.56,""))))</f>
        <v/>
      </c>
      <c r="U1200" s="3" t="n">
        <v>470</v>
      </c>
      <c r="V1200" s="3" t="n">
        <v>292</v>
      </c>
      <c r="W1200" s="3" t="n"/>
      <c r="X1200" s="4" t="n"/>
      <c r="Y1200" s="5" t="n">
        <v>0.111</v>
      </c>
      <c r="Z1200" s="4">
        <f>IF(L1200&lt;&gt;"",SQRT(3)*G1200*L1200/1000,"")</f>
        <v/>
      </c>
      <c r="AA1200" t="inlineStr">
        <is>
          <t>Source=Copeland 2D/3D/4D/4R/6D/8D/9R compressors (pdf) p56; PWS_RLA=47.8</t>
        </is>
      </c>
      <c r="AB1200" t="inlineStr">
        <is>
          <t>Copeland_RLA_230_460_3ph_60Hz.xlsx</t>
        </is>
      </c>
      <c r="AC1200" t="inlineStr">
        <is>
          <t>Recip_2D-9R</t>
        </is>
      </c>
    </row>
    <row r="1201">
      <c r="A1201" t="inlineStr">
        <is>
          <t>COPELAND</t>
        </is>
      </c>
      <c r="B1201" t="inlineStr">
        <is>
          <t>6DE3-3000-TSK</t>
        </is>
      </c>
      <c r="D1201" t="inlineStr">
        <is>
          <t>Reciprocating Semi-hermetic</t>
        </is>
      </c>
      <c r="E1201" s="2" t="n">
        <v>3</v>
      </c>
      <c r="F1201" s="2" t="n">
        <v>60</v>
      </c>
      <c r="G1201" s="2" t="n">
        <v>460</v>
      </c>
      <c r="H1201" t="inlineStr">
        <is>
          <t>460</t>
        </is>
      </c>
      <c r="I1201" s="2" t="n">
        <v>460</v>
      </c>
      <c r="J1201" s="2" t="n">
        <v>460</v>
      </c>
      <c r="L1201" s="3" t="n"/>
      <c r="M1201" s="3" t="n"/>
      <c r="N1201" s="3" t="n">
        <v>47.8</v>
      </c>
      <c r="O1201" s="3" t="n"/>
      <c r="P1201" s="3">
        <f>IF(L1201&lt;&gt;"",L1201/1.4,"")</f>
        <v/>
      </c>
      <c r="Q1201" s="3">
        <f>IF(L1201&lt;&gt;"",L1201/1.56,"")</f>
        <v/>
      </c>
      <c r="R1201" s="3">
        <f>IF(M1201&lt;&gt;"",M1201/1.4,"")</f>
        <v/>
      </c>
      <c r="S1201" s="3">
        <f>IF(M1201&lt;&gt;"",M1201/1.56,"")</f>
        <v/>
      </c>
      <c r="T1201" s="3">
        <f>IF(N1201&lt;&gt;"",N1201,IF(O1201&lt;&gt;"",O1201,IF(L1201&lt;&gt;"",L1201/1.56,IF(M1201&lt;&gt;"",M1201/1.56,""))))</f>
        <v/>
      </c>
      <c r="U1201" s="3" t="n">
        <v>235</v>
      </c>
      <c r="V1201" s="3" t="n"/>
      <c r="W1201" s="3" t="n"/>
      <c r="X1201" s="4" t="n"/>
      <c r="Y1201" s="5" t="n">
        <v>0.444</v>
      </c>
      <c r="Z1201" s="4">
        <f>IF(L1201&lt;&gt;"",SQRT(3)*G1201*L1201/1000,"")</f>
        <v/>
      </c>
      <c r="AA1201" t="inlineStr">
        <is>
          <t>Source=Copeland 2D/3D/4D/4R/6D/8D/9R compressors (pdf) p56</t>
        </is>
      </c>
      <c r="AB1201" t="inlineStr">
        <is>
          <t>Copeland_RLA_230_460_3ph_60Hz.xlsx</t>
        </is>
      </c>
      <c r="AC1201" t="inlineStr">
        <is>
          <t>Recip_2D-9R</t>
        </is>
      </c>
    </row>
    <row r="1202">
      <c r="A1202" t="inlineStr">
        <is>
          <t>COPELAND</t>
        </is>
      </c>
      <c r="B1202" t="inlineStr">
        <is>
          <t>6DE3-300E-FSD</t>
        </is>
      </c>
      <c r="D1202" t="inlineStr">
        <is>
          <t>Reciprocating Semi-hermetic</t>
        </is>
      </c>
      <c r="E1202" s="2" t="n">
        <v>3</v>
      </c>
      <c r="F1202" s="2" t="n">
        <v>60</v>
      </c>
      <c r="G1202" s="2" t="n">
        <v>460</v>
      </c>
      <c r="H1202" t="inlineStr">
        <is>
          <t>460</t>
        </is>
      </c>
      <c r="I1202" s="2" t="n">
        <v>460</v>
      </c>
      <c r="J1202" s="2" t="n">
        <v>460</v>
      </c>
      <c r="L1202" s="3" t="n"/>
      <c r="M1202" s="3" t="n"/>
      <c r="N1202" s="3" t="n">
        <v>42.9</v>
      </c>
      <c r="O1202" s="3" t="n"/>
      <c r="P1202" s="3">
        <f>IF(L1202&lt;&gt;"",L1202/1.4,"")</f>
        <v/>
      </c>
      <c r="Q1202" s="3">
        <f>IF(L1202&lt;&gt;"",L1202/1.56,"")</f>
        <v/>
      </c>
      <c r="R1202" s="3">
        <f>IF(M1202&lt;&gt;"",M1202/1.4,"")</f>
        <v/>
      </c>
      <c r="S1202" s="3">
        <f>IF(M1202&lt;&gt;"",M1202/1.56,"")</f>
        <v/>
      </c>
      <c r="T1202" s="3">
        <f>IF(N1202&lt;&gt;"",N1202,IF(O1202&lt;&gt;"",O1202,IF(L1202&lt;&gt;"",L1202/1.56,IF(M1202&lt;&gt;"",M1202/1.56,""))))</f>
        <v/>
      </c>
      <c r="U1202" s="3" t="n">
        <v>235</v>
      </c>
      <c r="V1202" s="3" t="n">
        <v>141</v>
      </c>
      <c r="W1202" s="3" t="n"/>
      <c r="X1202" s="4" t="n"/>
      <c r="Y1202" s="5" t="n">
        <v>0.45</v>
      </c>
      <c r="Z1202" s="4">
        <f>IF(L1202&lt;&gt;"",SQRT(3)*G1202*L1202/1000,"")</f>
        <v/>
      </c>
      <c r="AA1202" t="inlineStr">
        <is>
          <t>Source=Copeland 2D/3D/4D/4R/6D/8D/9R compressors (pdf) p56; PWS_RLA=21.4</t>
        </is>
      </c>
      <c r="AB1202" t="inlineStr">
        <is>
          <t>Copeland_RLA_230_460_3ph_60Hz.xlsx</t>
        </is>
      </c>
      <c r="AC1202" t="inlineStr">
        <is>
          <t>Recip_2D-9R</t>
        </is>
      </c>
    </row>
    <row r="1203">
      <c r="A1203" t="inlineStr">
        <is>
          <t>COPELAND</t>
        </is>
      </c>
      <c r="B1203" t="inlineStr">
        <is>
          <t>6DE3-300E-TSK</t>
        </is>
      </c>
      <c r="D1203" t="inlineStr">
        <is>
          <t>Reciprocating Semi-hermetic</t>
        </is>
      </c>
      <c r="E1203" s="2" t="n">
        <v>3</v>
      </c>
      <c r="F1203" s="2" t="n">
        <v>60</v>
      </c>
      <c r="G1203" s="2" t="n">
        <v>230</v>
      </c>
      <c r="H1203" t="inlineStr">
        <is>
          <t>208/230</t>
        </is>
      </c>
      <c r="I1203" s="2" t="n">
        <v>208</v>
      </c>
      <c r="J1203" s="2" t="n">
        <v>230</v>
      </c>
      <c r="L1203" s="3" t="n"/>
      <c r="M1203" s="3" t="n"/>
      <c r="N1203" s="3" t="n">
        <v>95.59999999999999</v>
      </c>
      <c r="O1203" s="3" t="n"/>
      <c r="P1203" s="3">
        <f>IF(L1203&lt;&gt;"",L1203/1.4,"")</f>
        <v/>
      </c>
      <c r="Q1203" s="3">
        <f>IF(L1203&lt;&gt;"",L1203/1.56,"")</f>
        <v/>
      </c>
      <c r="R1203" s="3">
        <f>IF(M1203&lt;&gt;"",M1203/1.4,"")</f>
        <v/>
      </c>
      <c r="S1203" s="3">
        <f>IF(M1203&lt;&gt;"",M1203/1.56,"")</f>
        <v/>
      </c>
      <c r="T1203" s="3">
        <f>IF(N1203&lt;&gt;"",N1203,IF(O1203&lt;&gt;"",O1203,IF(L1203&lt;&gt;"",L1203/1.56,IF(M1203&lt;&gt;"",M1203/1.56,""))))</f>
        <v/>
      </c>
      <c r="U1203" s="3" t="n">
        <v>470</v>
      </c>
      <c r="V1203" s="3" t="n">
        <v>292</v>
      </c>
      <c r="W1203" s="3" t="n"/>
      <c r="X1203" s="4" t="n"/>
      <c r="Y1203" s="5" t="n">
        <v>0.111</v>
      </c>
      <c r="Z1203" s="4">
        <f>IF(L1203&lt;&gt;"",SQRT(3)*G1203*L1203/1000,"")</f>
        <v/>
      </c>
      <c r="AA1203" t="inlineStr">
        <is>
          <t>Source=Copeland 2D/3D/4D/4R/6D/8D/9R compressors (pdf) p56; PWS_RLA=47.8</t>
        </is>
      </c>
      <c r="AB1203" t="inlineStr">
        <is>
          <t>Copeland_RLA_230_460_3ph_60Hz.xlsx</t>
        </is>
      </c>
      <c r="AC1203" t="inlineStr">
        <is>
          <t>Recip_2D-9R</t>
        </is>
      </c>
    </row>
    <row r="1204">
      <c r="A1204" t="inlineStr">
        <is>
          <t>COPELAND</t>
        </is>
      </c>
      <c r="B1204" t="inlineStr">
        <is>
          <t>6DE3-300E-TSK</t>
        </is>
      </c>
      <c r="D1204" t="inlineStr">
        <is>
          <t>Reciprocating Semi-hermetic</t>
        </is>
      </c>
      <c r="E1204" s="2" t="n">
        <v>3</v>
      </c>
      <c r="F1204" s="2" t="n">
        <v>60</v>
      </c>
      <c r="G1204" s="2" t="n">
        <v>460</v>
      </c>
      <c r="H1204" t="inlineStr">
        <is>
          <t>460</t>
        </is>
      </c>
      <c r="I1204" s="2" t="n">
        <v>460</v>
      </c>
      <c r="J1204" s="2" t="n">
        <v>460</v>
      </c>
      <c r="L1204" s="3" t="n"/>
      <c r="M1204" s="3" t="n"/>
      <c r="N1204" s="3" t="n">
        <v>47.8</v>
      </c>
      <c r="O1204" s="3" t="n"/>
      <c r="P1204" s="3">
        <f>IF(L1204&lt;&gt;"",L1204/1.4,"")</f>
        <v/>
      </c>
      <c r="Q1204" s="3">
        <f>IF(L1204&lt;&gt;"",L1204/1.56,"")</f>
        <v/>
      </c>
      <c r="R1204" s="3">
        <f>IF(M1204&lt;&gt;"",M1204/1.4,"")</f>
        <v/>
      </c>
      <c r="S1204" s="3">
        <f>IF(M1204&lt;&gt;"",M1204/1.56,"")</f>
        <v/>
      </c>
      <c r="T1204" s="3">
        <f>IF(N1204&lt;&gt;"",N1204,IF(O1204&lt;&gt;"",O1204,IF(L1204&lt;&gt;"",L1204/1.56,IF(M1204&lt;&gt;"",M1204/1.56,""))))</f>
        <v/>
      </c>
      <c r="U1204" s="3" t="n">
        <v>235</v>
      </c>
      <c r="V1204" s="3" t="n"/>
      <c r="W1204" s="3" t="n"/>
      <c r="X1204" s="4" t="n"/>
      <c r="Y1204" s="5" t="n">
        <v>0.444</v>
      </c>
      <c r="Z1204" s="4">
        <f>IF(L1204&lt;&gt;"",SQRT(3)*G1204*L1204/1000,"")</f>
        <v/>
      </c>
      <c r="AA1204" t="inlineStr">
        <is>
          <t>Source=Copeland 2D/3D/4D/4R/6D/8D/9R compressors (pdf) p56</t>
        </is>
      </c>
      <c r="AB1204" t="inlineStr">
        <is>
          <t>Copeland_RLA_230_460_3ph_60Hz.xlsx</t>
        </is>
      </c>
      <c r="AC1204" t="inlineStr">
        <is>
          <t>Recip_2D-9R</t>
        </is>
      </c>
    </row>
    <row r="1205">
      <c r="A1205" t="inlineStr">
        <is>
          <t>COPELAND</t>
        </is>
      </c>
      <c r="B1205" t="inlineStr">
        <is>
          <t>6DE3-300L-FSD</t>
        </is>
      </c>
      <c r="D1205" t="inlineStr">
        <is>
          <t>Reciprocating Semi-hermetic</t>
        </is>
      </c>
      <c r="E1205" s="2" t="n">
        <v>3</v>
      </c>
      <c r="F1205" s="2" t="n">
        <v>60</v>
      </c>
      <c r="G1205" s="2" t="n">
        <v>460</v>
      </c>
      <c r="H1205" t="inlineStr">
        <is>
          <t>460</t>
        </is>
      </c>
      <c r="I1205" s="2" t="n">
        <v>460</v>
      </c>
      <c r="J1205" s="2" t="n">
        <v>460</v>
      </c>
      <c r="L1205" s="3" t="n"/>
      <c r="M1205" s="3" t="n"/>
      <c r="N1205" s="3" t="n">
        <v>42.9</v>
      </c>
      <c r="O1205" s="3" t="n"/>
      <c r="P1205" s="3">
        <f>IF(L1205&lt;&gt;"",L1205/1.4,"")</f>
        <v/>
      </c>
      <c r="Q1205" s="3">
        <f>IF(L1205&lt;&gt;"",L1205/1.56,"")</f>
        <v/>
      </c>
      <c r="R1205" s="3">
        <f>IF(M1205&lt;&gt;"",M1205/1.4,"")</f>
        <v/>
      </c>
      <c r="S1205" s="3">
        <f>IF(M1205&lt;&gt;"",M1205/1.56,"")</f>
        <v/>
      </c>
      <c r="T1205" s="3">
        <f>IF(N1205&lt;&gt;"",N1205,IF(O1205&lt;&gt;"",O1205,IF(L1205&lt;&gt;"",L1205/1.56,IF(M1205&lt;&gt;"",M1205/1.56,""))))</f>
        <v/>
      </c>
      <c r="U1205" s="3" t="n">
        <v>235</v>
      </c>
      <c r="V1205" s="3" t="n">
        <v>141</v>
      </c>
      <c r="W1205" s="3" t="n"/>
      <c r="X1205" s="4" t="n"/>
      <c r="Y1205" s="5" t="n">
        <v>0.45</v>
      </c>
      <c r="Z1205" s="4">
        <f>IF(L1205&lt;&gt;"",SQRT(3)*G1205*L1205/1000,"")</f>
        <v/>
      </c>
      <c r="AA1205" t="inlineStr">
        <is>
          <t>Source=Copeland 2D/3D/4D/4R/6D/8D/9R compressors (pdf) p56; PWS_RLA=21.4</t>
        </is>
      </c>
      <c r="AB1205" t="inlineStr">
        <is>
          <t>Copeland_RLA_230_460_3ph_60Hz.xlsx</t>
        </is>
      </c>
      <c r="AC1205" t="inlineStr">
        <is>
          <t>Recip_2D-9R</t>
        </is>
      </c>
    </row>
    <row r="1206">
      <c r="A1206" t="inlineStr">
        <is>
          <t>COPELAND</t>
        </is>
      </c>
      <c r="B1206" t="inlineStr">
        <is>
          <t>6DE3-300L-TSK</t>
        </is>
      </c>
      <c r="D1206" t="inlineStr">
        <is>
          <t>Reciprocating Semi-hermetic</t>
        </is>
      </c>
      <c r="E1206" s="2" t="n">
        <v>3</v>
      </c>
      <c r="F1206" s="2" t="n">
        <v>60</v>
      </c>
      <c r="G1206" s="2" t="n">
        <v>230</v>
      </c>
      <c r="H1206" t="inlineStr">
        <is>
          <t>208/230</t>
        </is>
      </c>
      <c r="I1206" s="2" t="n">
        <v>208</v>
      </c>
      <c r="J1206" s="2" t="n">
        <v>230</v>
      </c>
      <c r="L1206" s="3" t="n"/>
      <c r="M1206" s="3" t="n"/>
      <c r="N1206" s="3" t="n">
        <v>95.59999999999999</v>
      </c>
      <c r="O1206" s="3" t="n"/>
      <c r="P1206" s="3">
        <f>IF(L1206&lt;&gt;"",L1206/1.4,"")</f>
        <v/>
      </c>
      <c r="Q1206" s="3">
        <f>IF(L1206&lt;&gt;"",L1206/1.56,"")</f>
        <v/>
      </c>
      <c r="R1206" s="3">
        <f>IF(M1206&lt;&gt;"",M1206/1.4,"")</f>
        <v/>
      </c>
      <c r="S1206" s="3">
        <f>IF(M1206&lt;&gt;"",M1206/1.56,"")</f>
        <v/>
      </c>
      <c r="T1206" s="3">
        <f>IF(N1206&lt;&gt;"",N1206,IF(O1206&lt;&gt;"",O1206,IF(L1206&lt;&gt;"",L1206/1.56,IF(M1206&lt;&gt;"",M1206/1.56,""))))</f>
        <v/>
      </c>
      <c r="U1206" s="3" t="n">
        <v>470</v>
      </c>
      <c r="V1206" s="3" t="n">
        <v>292</v>
      </c>
      <c r="W1206" s="3" t="n"/>
      <c r="X1206" s="4" t="n"/>
      <c r="Y1206" s="5" t="n">
        <v>0.111</v>
      </c>
      <c r="Z1206" s="4">
        <f>IF(L1206&lt;&gt;"",SQRT(3)*G1206*L1206/1000,"")</f>
        <v/>
      </c>
      <c r="AA1206" t="inlineStr">
        <is>
          <t>Source=Copeland 2D/3D/4D/4R/6D/8D/9R compressors (pdf) p56; PWS_RLA=47.8</t>
        </is>
      </c>
      <c r="AB1206" t="inlineStr">
        <is>
          <t>Copeland_RLA_230_460_3ph_60Hz.xlsx</t>
        </is>
      </c>
      <c r="AC1206" t="inlineStr">
        <is>
          <t>Recip_2D-9R</t>
        </is>
      </c>
    </row>
    <row r="1207">
      <c r="A1207" t="inlineStr">
        <is>
          <t>COPELAND</t>
        </is>
      </c>
      <c r="B1207" t="inlineStr">
        <is>
          <t>6DE3-300L-TSK</t>
        </is>
      </c>
      <c r="D1207" t="inlineStr">
        <is>
          <t>Reciprocating Semi-hermetic</t>
        </is>
      </c>
      <c r="E1207" s="2" t="n">
        <v>3</v>
      </c>
      <c r="F1207" s="2" t="n">
        <v>60</v>
      </c>
      <c r="G1207" s="2" t="n">
        <v>460</v>
      </c>
      <c r="H1207" t="inlineStr">
        <is>
          <t>460</t>
        </is>
      </c>
      <c r="I1207" s="2" t="n">
        <v>460</v>
      </c>
      <c r="J1207" s="2" t="n">
        <v>460</v>
      </c>
      <c r="L1207" s="3" t="n"/>
      <c r="M1207" s="3" t="n"/>
      <c r="N1207" s="3" t="n">
        <v>47.8</v>
      </c>
      <c r="O1207" s="3" t="n"/>
      <c r="P1207" s="3">
        <f>IF(L1207&lt;&gt;"",L1207/1.4,"")</f>
        <v/>
      </c>
      <c r="Q1207" s="3">
        <f>IF(L1207&lt;&gt;"",L1207/1.56,"")</f>
        <v/>
      </c>
      <c r="R1207" s="3">
        <f>IF(M1207&lt;&gt;"",M1207/1.4,"")</f>
        <v/>
      </c>
      <c r="S1207" s="3">
        <f>IF(M1207&lt;&gt;"",M1207/1.56,"")</f>
        <v/>
      </c>
      <c r="T1207" s="3">
        <f>IF(N1207&lt;&gt;"",N1207,IF(O1207&lt;&gt;"",O1207,IF(L1207&lt;&gt;"",L1207/1.56,IF(M1207&lt;&gt;"",M1207/1.56,""))))</f>
        <v/>
      </c>
      <c r="U1207" s="3" t="n">
        <v>235</v>
      </c>
      <c r="V1207" s="3" t="n"/>
      <c r="W1207" s="3" t="n"/>
      <c r="X1207" s="4" t="n"/>
      <c r="Y1207" s="5" t="n">
        <v>0.444</v>
      </c>
      <c r="Z1207" s="4">
        <f>IF(L1207&lt;&gt;"",SQRT(3)*G1207*L1207/1000,"")</f>
        <v/>
      </c>
      <c r="AA1207" t="inlineStr">
        <is>
          <t>Source=Copeland 2D/3D/4D/4R/6D/8D/9R compressors (pdf) p56</t>
        </is>
      </c>
      <c r="AB1207" t="inlineStr">
        <is>
          <t>Copeland_RLA_230_460_3ph_60Hz.xlsx</t>
        </is>
      </c>
      <c r="AC1207" t="inlineStr">
        <is>
          <t>Recip_2D-9R</t>
        </is>
      </c>
    </row>
    <row r="1208">
      <c r="A1208" t="inlineStr">
        <is>
          <t>COPELAND</t>
        </is>
      </c>
      <c r="B1208" t="inlineStr">
        <is>
          <t>6DE3A3000-FSD</t>
        </is>
      </c>
      <c r="D1208" t="inlineStr">
        <is>
          <t>Reciprocating Semi-hermetic</t>
        </is>
      </c>
      <c r="E1208" s="2" t="n">
        <v>3</v>
      </c>
      <c r="F1208" s="2" t="n">
        <v>60</v>
      </c>
      <c r="G1208" s="2" t="n">
        <v>460</v>
      </c>
      <c r="H1208" t="inlineStr">
        <is>
          <t>460</t>
        </is>
      </c>
      <c r="I1208" s="2" t="n">
        <v>460</v>
      </c>
      <c r="J1208" s="2" t="n">
        <v>460</v>
      </c>
      <c r="L1208" s="3" t="n"/>
      <c r="M1208" s="3" t="n"/>
      <c r="N1208" s="3" t="n">
        <v>42.9</v>
      </c>
      <c r="O1208" s="3" t="n"/>
      <c r="P1208" s="3">
        <f>IF(L1208&lt;&gt;"",L1208/1.4,"")</f>
        <v/>
      </c>
      <c r="Q1208" s="3">
        <f>IF(L1208&lt;&gt;"",L1208/1.56,"")</f>
        <v/>
      </c>
      <c r="R1208" s="3">
        <f>IF(M1208&lt;&gt;"",M1208/1.4,"")</f>
        <v/>
      </c>
      <c r="S1208" s="3">
        <f>IF(M1208&lt;&gt;"",M1208/1.56,"")</f>
        <v/>
      </c>
      <c r="T1208" s="3">
        <f>IF(N1208&lt;&gt;"",N1208,IF(O1208&lt;&gt;"",O1208,IF(L1208&lt;&gt;"",L1208/1.56,IF(M1208&lt;&gt;"",M1208/1.56,""))))</f>
        <v/>
      </c>
      <c r="U1208" s="3" t="n">
        <v>235</v>
      </c>
      <c r="V1208" s="3" t="n">
        <v>141</v>
      </c>
      <c r="W1208" s="3" t="n"/>
      <c r="X1208" s="4" t="n"/>
      <c r="Y1208" s="5" t="n">
        <v>0.45</v>
      </c>
      <c r="Z1208" s="4">
        <f>IF(L1208&lt;&gt;"",SQRT(3)*G1208*L1208/1000,"")</f>
        <v/>
      </c>
      <c r="AA1208" t="inlineStr">
        <is>
          <t>Source=Copeland 2D/3D/4D/4R/6D/8D/9R compressors (pdf) p56; PWS_RLA=21.4</t>
        </is>
      </c>
      <c r="AB1208" t="inlineStr">
        <is>
          <t>Copeland_RLA_230_460_3ph_60Hz.xlsx</t>
        </is>
      </c>
      <c r="AC1208" t="inlineStr">
        <is>
          <t>Recip_2D-9R</t>
        </is>
      </c>
    </row>
    <row r="1209">
      <c r="A1209" t="inlineStr">
        <is>
          <t>COPELAND</t>
        </is>
      </c>
      <c r="B1209" t="inlineStr">
        <is>
          <t>6DE3A3000-TSK</t>
        </is>
      </c>
      <c r="D1209" t="inlineStr">
        <is>
          <t>Reciprocating Semi-hermetic</t>
        </is>
      </c>
      <c r="E1209" s="2" t="n">
        <v>3</v>
      </c>
      <c r="F1209" s="2" t="n">
        <v>60</v>
      </c>
      <c r="G1209" s="2" t="n">
        <v>230</v>
      </c>
      <c r="H1209" t="inlineStr">
        <is>
          <t>208/230</t>
        </is>
      </c>
      <c r="I1209" s="2" t="n">
        <v>208</v>
      </c>
      <c r="J1209" s="2" t="n">
        <v>230</v>
      </c>
      <c r="L1209" s="3" t="n"/>
      <c r="M1209" s="3" t="n"/>
      <c r="N1209" s="3" t="n">
        <v>95.59999999999999</v>
      </c>
      <c r="O1209" s="3" t="n"/>
      <c r="P1209" s="3">
        <f>IF(L1209&lt;&gt;"",L1209/1.4,"")</f>
        <v/>
      </c>
      <c r="Q1209" s="3">
        <f>IF(L1209&lt;&gt;"",L1209/1.56,"")</f>
        <v/>
      </c>
      <c r="R1209" s="3">
        <f>IF(M1209&lt;&gt;"",M1209/1.4,"")</f>
        <v/>
      </c>
      <c r="S1209" s="3">
        <f>IF(M1209&lt;&gt;"",M1209/1.56,"")</f>
        <v/>
      </c>
      <c r="T1209" s="3">
        <f>IF(N1209&lt;&gt;"",N1209,IF(O1209&lt;&gt;"",O1209,IF(L1209&lt;&gt;"",L1209/1.56,IF(M1209&lt;&gt;"",M1209/1.56,""))))</f>
        <v/>
      </c>
      <c r="U1209" s="3" t="n">
        <v>470</v>
      </c>
      <c r="V1209" s="3" t="n">
        <v>292</v>
      </c>
      <c r="W1209" s="3" t="n"/>
      <c r="X1209" s="4" t="n"/>
      <c r="Y1209" s="5" t="n">
        <v>0.111</v>
      </c>
      <c r="Z1209" s="4">
        <f>IF(L1209&lt;&gt;"",SQRT(3)*G1209*L1209/1000,"")</f>
        <v/>
      </c>
      <c r="AA1209" t="inlineStr">
        <is>
          <t>Source=Copeland 2D/3D/4D/4R/6D/8D/9R compressors (pdf) p56; PWS_RLA=47.8</t>
        </is>
      </c>
      <c r="AB1209" t="inlineStr">
        <is>
          <t>Copeland_RLA_230_460_3ph_60Hz.xlsx</t>
        </is>
      </c>
      <c r="AC1209" t="inlineStr">
        <is>
          <t>Recip_2D-9R</t>
        </is>
      </c>
    </row>
    <row r="1210">
      <c r="A1210" t="inlineStr">
        <is>
          <t>COPELAND</t>
        </is>
      </c>
      <c r="B1210" t="inlineStr">
        <is>
          <t>6DE3A3000-TSK</t>
        </is>
      </c>
      <c r="D1210" t="inlineStr">
        <is>
          <t>Reciprocating Semi-hermetic</t>
        </is>
      </c>
      <c r="E1210" s="2" t="n">
        <v>3</v>
      </c>
      <c r="F1210" s="2" t="n">
        <v>60</v>
      </c>
      <c r="G1210" s="2" t="n">
        <v>460</v>
      </c>
      <c r="H1210" t="inlineStr">
        <is>
          <t>460</t>
        </is>
      </c>
      <c r="I1210" s="2" t="n">
        <v>460</v>
      </c>
      <c r="J1210" s="2" t="n">
        <v>460</v>
      </c>
      <c r="L1210" s="3" t="n"/>
      <c r="M1210" s="3" t="n"/>
      <c r="N1210" s="3" t="n">
        <v>47.8</v>
      </c>
      <c r="O1210" s="3" t="n"/>
      <c r="P1210" s="3">
        <f>IF(L1210&lt;&gt;"",L1210/1.4,"")</f>
        <v/>
      </c>
      <c r="Q1210" s="3">
        <f>IF(L1210&lt;&gt;"",L1210/1.56,"")</f>
        <v/>
      </c>
      <c r="R1210" s="3">
        <f>IF(M1210&lt;&gt;"",M1210/1.4,"")</f>
        <v/>
      </c>
      <c r="S1210" s="3">
        <f>IF(M1210&lt;&gt;"",M1210/1.56,"")</f>
        <v/>
      </c>
      <c r="T1210" s="3">
        <f>IF(N1210&lt;&gt;"",N1210,IF(O1210&lt;&gt;"",O1210,IF(L1210&lt;&gt;"",L1210/1.56,IF(M1210&lt;&gt;"",M1210/1.56,""))))</f>
        <v/>
      </c>
      <c r="U1210" s="3" t="n">
        <v>235</v>
      </c>
      <c r="V1210" s="3" t="n"/>
      <c r="W1210" s="3" t="n"/>
      <c r="X1210" s="4" t="n"/>
      <c r="Y1210" s="5" t="n">
        <v>0.444</v>
      </c>
      <c r="Z1210" s="4">
        <f>IF(L1210&lt;&gt;"",SQRT(3)*G1210*L1210/1000,"")</f>
        <v/>
      </c>
      <c r="AA1210" t="inlineStr">
        <is>
          <t>Source=Copeland 2D/3D/4D/4R/6D/8D/9R compressors (pdf) p56</t>
        </is>
      </c>
      <c r="AB1210" t="inlineStr">
        <is>
          <t>Copeland_RLA_230_460_3ph_60Hz.xlsx</t>
        </is>
      </c>
      <c r="AC1210" t="inlineStr">
        <is>
          <t>Recip_2D-9R</t>
        </is>
      </c>
    </row>
    <row r="1211">
      <c r="A1211" t="inlineStr">
        <is>
          <t>COPELAND</t>
        </is>
      </c>
      <c r="B1211" t="inlineStr">
        <is>
          <t>6DE3A300E-FSD</t>
        </is>
      </c>
      <c r="D1211" t="inlineStr">
        <is>
          <t>Reciprocating Semi-hermetic</t>
        </is>
      </c>
      <c r="E1211" s="2" t="n">
        <v>3</v>
      </c>
      <c r="F1211" s="2" t="n">
        <v>60</v>
      </c>
      <c r="G1211" s="2" t="n">
        <v>460</v>
      </c>
      <c r="H1211" t="inlineStr">
        <is>
          <t>460</t>
        </is>
      </c>
      <c r="I1211" s="2" t="n">
        <v>460</v>
      </c>
      <c r="J1211" s="2" t="n">
        <v>460</v>
      </c>
      <c r="L1211" s="3" t="n"/>
      <c r="M1211" s="3" t="n"/>
      <c r="N1211" s="3" t="n">
        <v>42.9</v>
      </c>
      <c r="O1211" s="3" t="n"/>
      <c r="P1211" s="3">
        <f>IF(L1211&lt;&gt;"",L1211/1.4,"")</f>
        <v/>
      </c>
      <c r="Q1211" s="3">
        <f>IF(L1211&lt;&gt;"",L1211/1.56,"")</f>
        <v/>
      </c>
      <c r="R1211" s="3">
        <f>IF(M1211&lt;&gt;"",M1211/1.4,"")</f>
        <v/>
      </c>
      <c r="S1211" s="3">
        <f>IF(M1211&lt;&gt;"",M1211/1.56,"")</f>
        <v/>
      </c>
      <c r="T1211" s="3">
        <f>IF(N1211&lt;&gt;"",N1211,IF(O1211&lt;&gt;"",O1211,IF(L1211&lt;&gt;"",L1211/1.56,IF(M1211&lt;&gt;"",M1211/1.56,""))))</f>
        <v/>
      </c>
      <c r="U1211" s="3" t="n">
        <v>235</v>
      </c>
      <c r="V1211" s="3" t="n">
        <v>141</v>
      </c>
      <c r="W1211" s="3" t="n"/>
      <c r="X1211" s="4" t="n"/>
      <c r="Y1211" s="5" t="n">
        <v>0.45</v>
      </c>
      <c r="Z1211" s="4">
        <f>IF(L1211&lt;&gt;"",SQRT(3)*G1211*L1211/1000,"")</f>
        <v/>
      </c>
      <c r="AA1211" t="inlineStr">
        <is>
          <t>Source=Copeland 2D/3D/4D/4R/6D/8D/9R compressors (pdf) p56; PWS_RLA=21.4</t>
        </is>
      </c>
      <c r="AB1211" t="inlineStr">
        <is>
          <t>Copeland_RLA_230_460_3ph_60Hz.xlsx</t>
        </is>
      </c>
      <c r="AC1211" t="inlineStr">
        <is>
          <t>Recip_2D-9R</t>
        </is>
      </c>
    </row>
    <row r="1212">
      <c r="A1212" t="inlineStr">
        <is>
          <t>COPELAND</t>
        </is>
      </c>
      <c r="B1212" t="inlineStr">
        <is>
          <t>6DE3A300E-TSK</t>
        </is>
      </c>
      <c r="D1212" t="inlineStr">
        <is>
          <t>Reciprocating Semi-hermetic</t>
        </is>
      </c>
      <c r="E1212" s="2" t="n">
        <v>3</v>
      </c>
      <c r="F1212" s="2" t="n">
        <v>60</v>
      </c>
      <c r="G1212" s="2" t="n">
        <v>230</v>
      </c>
      <c r="H1212" t="inlineStr">
        <is>
          <t>208/230</t>
        </is>
      </c>
      <c r="I1212" s="2" t="n">
        <v>208</v>
      </c>
      <c r="J1212" s="2" t="n">
        <v>230</v>
      </c>
      <c r="L1212" s="3" t="n"/>
      <c r="M1212" s="3" t="n"/>
      <c r="N1212" s="3" t="n">
        <v>95.59999999999999</v>
      </c>
      <c r="O1212" s="3" t="n"/>
      <c r="P1212" s="3">
        <f>IF(L1212&lt;&gt;"",L1212/1.4,"")</f>
        <v/>
      </c>
      <c r="Q1212" s="3">
        <f>IF(L1212&lt;&gt;"",L1212/1.56,"")</f>
        <v/>
      </c>
      <c r="R1212" s="3">
        <f>IF(M1212&lt;&gt;"",M1212/1.4,"")</f>
        <v/>
      </c>
      <c r="S1212" s="3">
        <f>IF(M1212&lt;&gt;"",M1212/1.56,"")</f>
        <v/>
      </c>
      <c r="T1212" s="3">
        <f>IF(N1212&lt;&gt;"",N1212,IF(O1212&lt;&gt;"",O1212,IF(L1212&lt;&gt;"",L1212/1.56,IF(M1212&lt;&gt;"",M1212/1.56,""))))</f>
        <v/>
      </c>
      <c r="U1212" s="3" t="n">
        <v>470</v>
      </c>
      <c r="V1212" s="3" t="n">
        <v>292</v>
      </c>
      <c r="W1212" s="3" t="n"/>
      <c r="X1212" s="4" t="n"/>
      <c r="Y1212" s="5" t="n">
        <v>0.111</v>
      </c>
      <c r="Z1212" s="4">
        <f>IF(L1212&lt;&gt;"",SQRT(3)*G1212*L1212/1000,"")</f>
        <v/>
      </c>
      <c r="AA1212" t="inlineStr">
        <is>
          <t>Source=Copeland 2D/3D/4D/4R/6D/8D/9R compressors (pdf) p56; PWS_RLA=47.8</t>
        </is>
      </c>
      <c r="AB1212" t="inlineStr">
        <is>
          <t>Copeland_RLA_230_460_3ph_60Hz.xlsx</t>
        </is>
      </c>
      <c r="AC1212" t="inlineStr">
        <is>
          <t>Recip_2D-9R</t>
        </is>
      </c>
    </row>
    <row r="1213">
      <c r="A1213" t="inlineStr">
        <is>
          <t>COPELAND</t>
        </is>
      </c>
      <c r="B1213" t="inlineStr">
        <is>
          <t>6DE3A300E-TSK</t>
        </is>
      </c>
      <c r="D1213" t="inlineStr">
        <is>
          <t>Reciprocating Semi-hermetic</t>
        </is>
      </c>
      <c r="E1213" s="2" t="n">
        <v>3</v>
      </c>
      <c r="F1213" s="2" t="n">
        <v>60</v>
      </c>
      <c r="G1213" s="2" t="n">
        <v>460</v>
      </c>
      <c r="H1213" t="inlineStr">
        <is>
          <t>460</t>
        </is>
      </c>
      <c r="I1213" s="2" t="n">
        <v>460</v>
      </c>
      <c r="J1213" s="2" t="n">
        <v>460</v>
      </c>
      <c r="L1213" s="3" t="n"/>
      <c r="M1213" s="3" t="n"/>
      <c r="N1213" s="3" t="n">
        <v>47.8</v>
      </c>
      <c r="O1213" s="3" t="n"/>
      <c r="P1213" s="3">
        <f>IF(L1213&lt;&gt;"",L1213/1.4,"")</f>
        <v/>
      </c>
      <c r="Q1213" s="3">
        <f>IF(L1213&lt;&gt;"",L1213/1.56,"")</f>
        <v/>
      </c>
      <c r="R1213" s="3">
        <f>IF(M1213&lt;&gt;"",M1213/1.4,"")</f>
        <v/>
      </c>
      <c r="S1213" s="3">
        <f>IF(M1213&lt;&gt;"",M1213/1.56,"")</f>
        <v/>
      </c>
      <c r="T1213" s="3">
        <f>IF(N1213&lt;&gt;"",N1213,IF(O1213&lt;&gt;"",O1213,IF(L1213&lt;&gt;"",L1213/1.56,IF(M1213&lt;&gt;"",M1213/1.56,""))))</f>
        <v/>
      </c>
      <c r="U1213" s="3" t="n">
        <v>235</v>
      </c>
      <c r="V1213" s="3" t="n"/>
      <c r="W1213" s="3" t="n"/>
      <c r="X1213" s="4" t="n"/>
      <c r="Y1213" s="5" t="n">
        <v>0.444</v>
      </c>
      <c r="Z1213" s="4">
        <f>IF(L1213&lt;&gt;"",SQRT(3)*G1213*L1213/1000,"")</f>
        <v/>
      </c>
      <c r="AA1213" t="inlineStr">
        <is>
          <t>Source=Copeland 2D/3D/4D/4R/6D/8D/9R compressors (pdf) p56</t>
        </is>
      </c>
      <c r="AB1213" t="inlineStr">
        <is>
          <t>Copeland_RLA_230_460_3ph_60Hz.xlsx</t>
        </is>
      </c>
      <c r="AC1213" t="inlineStr">
        <is>
          <t>Recip_2D-9R</t>
        </is>
      </c>
    </row>
    <row r="1214">
      <c r="A1214" t="inlineStr">
        <is>
          <t>COPELAND</t>
        </is>
      </c>
      <c r="B1214" t="inlineStr">
        <is>
          <t>6DE3A300L-FSD</t>
        </is>
      </c>
      <c r="D1214" t="inlineStr">
        <is>
          <t>Reciprocating Semi-hermetic</t>
        </is>
      </c>
      <c r="E1214" s="2" t="n">
        <v>3</v>
      </c>
      <c r="F1214" s="2" t="n">
        <v>60</v>
      </c>
      <c r="G1214" s="2" t="n">
        <v>460</v>
      </c>
      <c r="H1214" t="inlineStr">
        <is>
          <t>460</t>
        </is>
      </c>
      <c r="I1214" s="2" t="n">
        <v>460</v>
      </c>
      <c r="J1214" s="2" t="n">
        <v>460</v>
      </c>
      <c r="L1214" s="3" t="n"/>
      <c r="M1214" s="3" t="n"/>
      <c r="N1214" s="3" t="n">
        <v>42.9</v>
      </c>
      <c r="O1214" s="3" t="n"/>
      <c r="P1214" s="3">
        <f>IF(L1214&lt;&gt;"",L1214/1.4,"")</f>
        <v/>
      </c>
      <c r="Q1214" s="3">
        <f>IF(L1214&lt;&gt;"",L1214/1.56,"")</f>
        <v/>
      </c>
      <c r="R1214" s="3">
        <f>IF(M1214&lt;&gt;"",M1214/1.4,"")</f>
        <v/>
      </c>
      <c r="S1214" s="3">
        <f>IF(M1214&lt;&gt;"",M1214/1.56,"")</f>
        <v/>
      </c>
      <c r="T1214" s="3">
        <f>IF(N1214&lt;&gt;"",N1214,IF(O1214&lt;&gt;"",O1214,IF(L1214&lt;&gt;"",L1214/1.56,IF(M1214&lt;&gt;"",M1214/1.56,""))))</f>
        <v/>
      </c>
      <c r="U1214" s="3" t="n">
        <v>235</v>
      </c>
      <c r="V1214" s="3" t="n">
        <v>141</v>
      </c>
      <c r="W1214" s="3" t="n"/>
      <c r="X1214" s="4" t="n"/>
      <c r="Y1214" s="5" t="n">
        <v>0.45</v>
      </c>
      <c r="Z1214" s="4">
        <f>IF(L1214&lt;&gt;"",SQRT(3)*G1214*L1214/1000,"")</f>
        <v/>
      </c>
      <c r="AA1214" t="inlineStr">
        <is>
          <t>Source=Copeland 2D/3D/4D/4R/6D/8D/9R compressors (pdf) p56; PWS_RLA=21.4</t>
        </is>
      </c>
      <c r="AB1214" t="inlineStr">
        <is>
          <t>Copeland_RLA_230_460_3ph_60Hz.xlsx</t>
        </is>
      </c>
      <c r="AC1214" t="inlineStr">
        <is>
          <t>Recip_2D-9R</t>
        </is>
      </c>
    </row>
    <row r="1215">
      <c r="A1215" t="inlineStr">
        <is>
          <t>COPELAND</t>
        </is>
      </c>
      <c r="B1215" t="inlineStr">
        <is>
          <t>6DE3A300L-TSK</t>
        </is>
      </c>
      <c r="D1215" t="inlineStr">
        <is>
          <t>Reciprocating Semi-hermetic</t>
        </is>
      </c>
      <c r="E1215" s="2" t="n">
        <v>3</v>
      </c>
      <c r="F1215" s="2" t="n">
        <v>60</v>
      </c>
      <c r="G1215" s="2" t="n">
        <v>230</v>
      </c>
      <c r="H1215" t="inlineStr">
        <is>
          <t>208/230</t>
        </is>
      </c>
      <c r="I1215" s="2" t="n">
        <v>208</v>
      </c>
      <c r="J1215" s="2" t="n">
        <v>230</v>
      </c>
      <c r="L1215" s="3" t="n"/>
      <c r="M1215" s="3" t="n"/>
      <c r="N1215" s="3" t="n">
        <v>95.59999999999999</v>
      </c>
      <c r="O1215" s="3" t="n"/>
      <c r="P1215" s="3">
        <f>IF(L1215&lt;&gt;"",L1215/1.4,"")</f>
        <v/>
      </c>
      <c r="Q1215" s="3">
        <f>IF(L1215&lt;&gt;"",L1215/1.56,"")</f>
        <v/>
      </c>
      <c r="R1215" s="3">
        <f>IF(M1215&lt;&gt;"",M1215/1.4,"")</f>
        <v/>
      </c>
      <c r="S1215" s="3">
        <f>IF(M1215&lt;&gt;"",M1215/1.56,"")</f>
        <v/>
      </c>
      <c r="T1215" s="3">
        <f>IF(N1215&lt;&gt;"",N1215,IF(O1215&lt;&gt;"",O1215,IF(L1215&lt;&gt;"",L1215/1.56,IF(M1215&lt;&gt;"",M1215/1.56,""))))</f>
        <v/>
      </c>
      <c r="U1215" s="3" t="n">
        <v>470</v>
      </c>
      <c r="V1215" s="3" t="n">
        <v>292</v>
      </c>
      <c r="W1215" s="3" t="n"/>
      <c r="X1215" s="4" t="n"/>
      <c r="Y1215" s="5" t="n">
        <v>0.111</v>
      </c>
      <c r="Z1215" s="4">
        <f>IF(L1215&lt;&gt;"",SQRT(3)*G1215*L1215/1000,"")</f>
        <v/>
      </c>
      <c r="AA1215" t="inlineStr">
        <is>
          <t>Source=Copeland 2D/3D/4D/4R/6D/8D/9R compressors (pdf) p56; PWS_RLA=47.8</t>
        </is>
      </c>
      <c r="AB1215" t="inlineStr">
        <is>
          <t>Copeland_RLA_230_460_3ph_60Hz.xlsx</t>
        </is>
      </c>
      <c r="AC1215" t="inlineStr">
        <is>
          <t>Recip_2D-9R</t>
        </is>
      </c>
    </row>
    <row r="1216">
      <c r="A1216" t="inlineStr">
        <is>
          <t>COPELAND</t>
        </is>
      </c>
      <c r="B1216" t="inlineStr">
        <is>
          <t>6DE3A300L-TSK</t>
        </is>
      </c>
      <c r="D1216" t="inlineStr">
        <is>
          <t>Reciprocating Semi-hermetic</t>
        </is>
      </c>
      <c r="E1216" s="2" t="n">
        <v>3</v>
      </c>
      <c r="F1216" s="2" t="n">
        <v>60</v>
      </c>
      <c r="G1216" s="2" t="n">
        <v>460</v>
      </c>
      <c r="H1216" t="inlineStr">
        <is>
          <t>460</t>
        </is>
      </c>
      <c r="I1216" s="2" t="n">
        <v>460</v>
      </c>
      <c r="J1216" s="2" t="n">
        <v>460</v>
      </c>
      <c r="L1216" s="3" t="n"/>
      <c r="M1216" s="3" t="n"/>
      <c r="N1216" s="3" t="n">
        <v>47.8</v>
      </c>
      <c r="O1216" s="3" t="n"/>
      <c r="P1216" s="3">
        <f>IF(L1216&lt;&gt;"",L1216/1.4,"")</f>
        <v/>
      </c>
      <c r="Q1216" s="3">
        <f>IF(L1216&lt;&gt;"",L1216/1.56,"")</f>
        <v/>
      </c>
      <c r="R1216" s="3">
        <f>IF(M1216&lt;&gt;"",M1216/1.4,"")</f>
        <v/>
      </c>
      <c r="S1216" s="3">
        <f>IF(M1216&lt;&gt;"",M1216/1.56,"")</f>
        <v/>
      </c>
      <c r="T1216" s="3">
        <f>IF(N1216&lt;&gt;"",N1216,IF(O1216&lt;&gt;"",O1216,IF(L1216&lt;&gt;"",L1216/1.56,IF(M1216&lt;&gt;"",M1216/1.56,""))))</f>
        <v/>
      </c>
      <c r="U1216" s="3" t="n">
        <v>235</v>
      </c>
      <c r="V1216" s="3" t="n"/>
      <c r="W1216" s="3" t="n"/>
      <c r="X1216" s="4" t="n"/>
      <c r="Y1216" s="5" t="n">
        <v>0.444</v>
      </c>
      <c r="Z1216" s="4">
        <f>IF(L1216&lt;&gt;"",SQRT(3)*G1216*L1216/1000,"")</f>
        <v/>
      </c>
      <c r="AA1216" t="inlineStr">
        <is>
          <t>Source=Copeland 2D/3D/4D/4R/6D/8D/9R compressors (pdf) p56</t>
        </is>
      </c>
      <c r="AB1216" t="inlineStr">
        <is>
          <t>Copeland_RLA_230_460_3ph_60Hz.xlsx</t>
        </is>
      </c>
      <c r="AC1216" t="inlineStr">
        <is>
          <t>Recip_2D-9R</t>
        </is>
      </c>
    </row>
    <row r="1217">
      <c r="A1217" t="inlineStr">
        <is>
          <t>COPELAND</t>
        </is>
      </c>
      <c r="B1217" t="inlineStr">
        <is>
          <t>6DE3F11M0-FSD</t>
        </is>
      </c>
      <c r="D1217" t="inlineStr">
        <is>
          <t>Reciprocating Semi-hermetic</t>
        </is>
      </c>
      <c r="E1217" s="2" t="n">
        <v>3</v>
      </c>
      <c r="F1217" s="2" t="n">
        <v>60</v>
      </c>
      <c r="G1217" s="2" t="n">
        <v>460</v>
      </c>
      <c r="H1217" t="inlineStr">
        <is>
          <t>460</t>
        </is>
      </c>
      <c r="I1217" s="2" t="n">
        <v>460</v>
      </c>
      <c r="J1217" s="2" t="n">
        <v>460</v>
      </c>
      <c r="L1217" s="3" t="n"/>
      <c r="M1217" s="3" t="n"/>
      <c r="N1217" s="3" t="n">
        <v>42.9</v>
      </c>
      <c r="O1217" s="3" t="n"/>
      <c r="P1217" s="3">
        <f>IF(L1217&lt;&gt;"",L1217/1.4,"")</f>
        <v/>
      </c>
      <c r="Q1217" s="3">
        <f>IF(L1217&lt;&gt;"",L1217/1.56,"")</f>
        <v/>
      </c>
      <c r="R1217" s="3">
        <f>IF(M1217&lt;&gt;"",M1217/1.4,"")</f>
        <v/>
      </c>
      <c r="S1217" s="3">
        <f>IF(M1217&lt;&gt;"",M1217/1.56,"")</f>
        <v/>
      </c>
      <c r="T1217" s="3">
        <f>IF(N1217&lt;&gt;"",N1217,IF(O1217&lt;&gt;"",O1217,IF(L1217&lt;&gt;"",L1217/1.56,IF(M1217&lt;&gt;"",M1217/1.56,""))))</f>
        <v/>
      </c>
      <c r="U1217" s="3" t="n">
        <v>235</v>
      </c>
      <c r="V1217" s="3" t="n">
        <v>141</v>
      </c>
      <c r="W1217" s="3" t="n"/>
      <c r="X1217" s="4" t="n"/>
      <c r="Y1217" s="5" t="n">
        <v>0.45</v>
      </c>
      <c r="Z1217" s="4">
        <f>IF(L1217&lt;&gt;"",SQRT(3)*G1217*L1217/1000,"")</f>
        <v/>
      </c>
      <c r="AA1217" t="inlineStr">
        <is>
          <t>Source=Copeland 2D/3D/4D/4R/6D/8D/9R compressors (pdf) p56; PWS_RLA=21.4</t>
        </is>
      </c>
      <c r="AB1217" t="inlineStr">
        <is>
          <t>Copeland_RLA_230_460_3ph_60Hz.xlsx</t>
        </is>
      </c>
      <c r="AC1217" t="inlineStr">
        <is>
          <t>Recip_2D-9R</t>
        </is>
      </c>
    </row>
    <row r="1218">
      <c r="A1218" t="inlineStr">
        <is>
          <t>COPELAND</t>
        </is>
      </c>
      <c r="B1218" t="inlineStr">
        <is>
          <t>6DE3F11M0-TSK</t>
        </is>
      </c>
      <c r="D1218" t="inlineStr">
        <is>
          <t>Reciprocating Semi-hermetic</t>
        </is>
      </c>
      <c r="E1218" s="2" t="n">
        <v>3</v>
      </c>
      <c r="F1218" s="2" t="n">
        <v>60</v>
      </c>
      <c r="G1218" s="2" t="n">
        <v>230</v>
      </c>
      <c r="H1218" t="inlineStr">
        <is>
          <t>208/230</t>
        </is>
      </c>
      <c r="I1218" s="2" t="n">
        <v>208</v>
      </c>
      <c r="J1218" s="2" t="n">
        <v>230</v>
      </c>
      <c r="L1218" s="3" t="n"/>
      <c r="M1218" s="3" t="n"/>
      <c r="N1218" s="3" t="n">
        <v>95.59999999999999</v>
      </c>
      <c r="O1218" s="3" t="n"/>
      <c r="P1218" s="3">
        <f>IF(L1218&lt;&gt;"",L1218/1.4,"")</f>
        <v/>
      </c>
      <c r="Q1218" s="3">
        <f>IF(L1218&lt;&gt;"",L1218/1.56,"")</f>
        <v/>
      </c>
      <c r="R1218" s="3">
        <f>IF(M1218&lt;&gt;"",M1218/1.4,"")</f>
        <v/>
      </c>
      <c r="S1218" s="3">
        <f>IF(M1218&lt;&gt;"",M1218/1.56,"")</f>
        <v/>
      </c>
      <c r="T1218" s="3">
        <f>IF(N1218&lt;&gt;"",N1218,IF(O1218&lt;&gt;"",O1218,IF(L1218&lt;&gt;"",L1218/1.56,IF(M1218&lt;&gt;"",M1218/1.56,""))))</f>
        <v/>
      </c>
      <c r="U1218" s="3" t="n">
        <v>470</v>
      </c>
      <c r="V1218" s="3" t="n">
        <v>292</v>
      </c>
      <c r="W1218" s="3" t="n"/>
      <c r="X1218" s="4" t="n"/>
      <c r="Y1218" s="5" t="n">
        <v>0.111</v>
      </c>
      <c r="Z1218" s="4">
        <f>IF(L1218&lt;&gt;"",SQRT(3)*G1218*L1218/1000,"")</f>
        <v/>
      </c>
      <c r="AA1218" t="inlineStr">
        <is>
          <t>Source=Copeland 2D/3D/4D/4R/6D/8D/9R compressors (pdf) p57; PWS_RLA=47.8</t>
        </is>
      </c>
      <c r="AB1218" t="inlineStr">
        <is>
          <t>Copeland_RLA_230_460_3ph_60Hz.xlsx</t>
        </is>
      </c>
      <c r="AC1218" t="inlineStr">
        <is>
          <t>Recip_2D-9R</t>
        </is>
      </c>
    </row>
    <row r="1219">
      <c r="A1219" t="inlineStr">
        <is>
          <t>COPELAND</t>
        </is>
      </c>
      <c r="B1219" t="inlineStr">
        <is>
          <t>6DE3F11M0-TSK</t>
        </is>
      </c>
      <c r="D1219" t="inlineStr">
        <is>
          <t>Reciprocating Semi-hermetic</t>
        </is>
      </c>
      <c r="E1219" s="2" t="n">
        <v>3</v>
      </c>
      <c r="F1219" s="2" t="n">
        <v>60</v>
      </c>
      <c r="G1219" s="2" t="n">
        <v>460</v>
      </c>
      <c r="H1219" t="inlineStr">
        <is>
          <t>460</t>
        </is>
      </c>
      <c r="I1219" s="2" t="n">
        <v>460</v>
      </c>
      <c r="J1219" s="2" t="n">
        <v>460</v>
      </c>
      <c r="L1219" s="3" t="n"/>
      <c r="M1219" s="3" t="n"/>
      <c r="N1219" s="3" t="n">
        <v>47.8</v>
      </c>
      <c r="O1219" s="3" t="n"/>
      <c r="P1219" s="3">
        <f>IF(L1219&lt;&gt;"",L1219/1.4,"")</f>
        <v/>
      </c>
      <c r="Q1219" s="3">
        <f>IF(L1219&lt;&gt;"",L1219/1.56,"")</f>
        <v/>
      </c>
      <c r="R1219" s="3">
        <f>IF(M1219&lt;&gt;"",M1219/1.4,"")</f>
        <v/>
      </c>
      <c r="S1219" s="3">
        <f>IF(M1219&lt;&gt;"",M1219/1.56,"")</f>
        <v/>
      </c>
      <c r="T1219" s="3">
        <f>IF(N1219&lt;&gt;"",N1219,IF(O1219&lt;&gt;"",O1219,IF(L1219&lt;&gt;"",L1219/1.56,IF(M1219&lt;&gt;"",M1219/1.56,""))))</f>
        <v/>
      </c>
      <c r="U1219" s="3" t="n">
        <v>235</v>
      </c>
      <c r="V1219" s="3" t="n"/>
      <c r="W1219" s="3" t="n"/>
      <c r="X1219" s="4" t="n"/>
      <c r="Y1219" s="5" t="n">
        <v>0.444</v>
      </c>
      <c r="Z1219" s="4">
        <f>IF(L1219&lt;&gt;"",SQRT(3)*G1219*L1219/1000,"")</f>
        <v/>
      </c>
      <c r="AA1219" t="inlineStr">
        <is>
          <t>Source=Copeland 2D/3D/4D/4R/6D/8D/9R compressors (pdf) p57</t>
        </is>
      </c>
      <c r="AB1219" t="inlineStr">
        <is>
          <t>Copeland_RLA_230_460_3ph_60Hz.xlsx</t>
        </is>
      </c>
      <c r="AC1219" t="inlineStr">
        <is>
          <t>Recip_2D-9R</t>
        </is>
      </c>
    </row>
    <row r="1220">
      <c r="A1220" t="inlineStr">
        <is>
          <t>COPELAND</t>
        </is>
      </c>
      <c r="B1220" t="inlineStr">
        <is>
          <t>6DE3F11ME-FSD</t>
        </is>
      </c>
      <c r="D1220" t="inlineStr">
        <is>
          <t>Reciprocating Semi-hermetic</t>
        </is>
      </c>
      <c r="E1220" s="2" t="n">
        <v>3</v>
      </c>
      <c r="F1220" s="2" t="n">
        <v>60</v>
      </c>
      <c r="G1220" s="2" t="n">
        <v>460</v>
      </c>
      <c r="H1220" t="inlineStr">
        <is>
          <t>460</t>
        </is>
      </c>
      <c r="I1220" s="2" t="n">
        <v>460</v>
      </c>
      <c r="J1220" s="2" t="n">
        <v>460</v>
      </c>
      <c r="L1220" s="3" t="n"/>
      <c r="M1220" s="3" t="n"/>
      <c r="N1220" s="3" t="n">
        <v>47.4</v>
      </c>
      <c r="O1220" s="3" t="n"/>
      <c r="P1220" s="3">
        <f>IF(L1220&lt;&gt;"",L1220/1.4,"")</f>
        <v/>
      </c>
      <c r="Q1220" s="3">
        <f>IF(L1220&lt;&gt;"",L1220/1.56,"")</f>
        <v/>
      </c>
      <c r="R1220" s="3">
        <f>IF(M1220&lt;&gt;"",M1220/1.4,"")</f>
        <v/>
      </c>
      <c r="S1220" s="3">
        <f>IF(M1220&lt;&gt;"",M1220/1.56,"")</f>
        <v/>
      </c>
      <c r="T1220" s="3">
        <f>IF(N1220&lt;&gt;"",N1220,IF(O1220&lt;&gt;"",O1220,IF(L1220&lt;&gt;"",L1220/1.56,IF(M1220&lt;&gt;"",M1220/1.56,""))))</f>
        <v/>
      </c>
      <c r="U1220" s="3" t="n">
        <v>235</v>
      </c>
      <c r="V1220" s="3" t="n">
        <v>141</v>
      </c>
      <c r="W1220" s="3" t="n"/>
      <c r="X1220" s="4" t="n"/>
      <c r="Y1220" s="5" t="n">
        <v>0.45</v>
      </c>
      <c r="Z1220" s="4">
        <f>IF(L1220&lt;&gt;"",SQRT(3)*G1220*L1220/1000,"")</f>
        <v/>
      </c>
      <c r="AA1220" t="inlineStr">
        <is>
          <t>Source=Copeland 2D/3D/4D/4R/6D/8D/9R compressors (pdf) p57; PWS_RLA=23.7</t>
        </is>
      </c>
      <c r="AB1220" t="inlineStr">
        <is>
          <t>Copeland_RLA_230_460_3ph_60Hz.xlsx</t>
        </is>
      </c>
      <c r="AC1220" t="inlineStr">
        <is>
          <t>Recip_2D-9R</t>
        </is>
      </c>
    </row>
    <row r="1221">
      <c r="A1221" t="inlineStr">
        <is>
          <t>COPELAND</t>
        </is>
      </c>
      <c r="B1221" t="inlineStr">
        <is>
          <t>6DE3F11ME-TSK</t>
        </is>
      </c>
      <c r="D1221" t="inlineStr">
        <is>
          <t>Reciprocating Semi-hermetic</t>
        </is>
      </c>
      <c r="E1221" s="2" t="n">
        <v>3</v>
      </c>
      <c r="F1221" s="2" t="n">
        <v>60</v>
      </c>
      <c r="G1221" s="2" t="n">
        <v>230</v>
      </c>
      <c r="H1221" t="inlineStr">
        <is>
          <t>208/230</t>
        </is>
      </c>
      <c r="I1221" s="2" t="n">
        <v>208</v>
      </c>
      <c r="J1221" s="2" t="n">
        <v>230</v>
      </c>
      <c r="L1221" s="3" t="n"/>
      <c r="M1221" s="3" t="n"/>
      <c r="N1221" s="3" t="n">
        <v>95.7</v>
      </c>
      <c r="O1221" s="3" t="n"/>
      <c r="P1221" s="3">
        <f>IF(L1221&lt;&gt;"",L1221/1.4,"")</f>
        <v/>
      </c>
      <c r="Q1221" s="3">
        <f>IF(L1221&lt;&gt;"",L1221/1.56,"")</f>
        <v/>
      </c>
      <c r="R1221" s="3">
        <f>IF(M1221&lt;&gt;"",M1221/1.4,"")</f>
        <v/>
      </c>
      <c r="S1221" s="3">
        <f>IF(M1221&lt;&gt;"",M1221/1.56,"")</f>
        <v/>
      </c>
      <c r="T1221" s="3">
        <f>IF(N1221&lt;&gt;"",N1221,IF(O1221&lt;&gt;"",O1221,IF(L1221&lt;&gt;"",L1221/1.56,IF(M1221&lt;&gt;"",M1221/1.56,""))))</f>
        <v/>
      </c>
      <c r="U1221" s="3" t="n">
        <v>470</v>
      </c>
      <c r="V1221" s="3" t="n">
        <v>292</v>
      </c>
      <c r="W1221" s="3" t="n"/>
      <c r="X1221" s="4" t="n"/>
      <c r="Y1221" s="5" t="n">
        <v>0.111</v>
      </c>
      <c r="Z1221" s="4">
        <f>IF(L1221&lt;&gt;"",SQRT(3)*G1221*L1221/1000,"")</f>
        <v/>
      </c>
      <c r="AA1221" t="inlineStr">
        <is>
          <t>Source=Copeland 2D/3D/4D/4R/6D/8D/9R compressors (pdf) p57; PWS_RLA=47.8</t>
        </is>
      </c>
      <c r="AB1221" t="inlineStr">
        <is>
          <t>Copeland_RLA_230_460_3ph_60Hz.xlsx</t>
        </is>
      </c>
      <c r="AC1221" t="inlineStr">
        <is>
          <t>Recip_2D-9R</t>
        </is>
      </c>
    </row>
    <row r="1222">
      <c r="A1222" t="inlineStr">
        <is>
          <t>COPELAND</t>
        </is>
      </c>
      <c r="B1222" t="inlineStr">
        <is>
          <t>6DE3F11ME-TSK</t>
        </is>
      </c>
      <c r="D1222" t="inlineStr">
        <is>
          <t>Reciprocating Semi-hermetic</t>
        </is>
      </c>
      <c r="E1222" s="2" t="n">
        <v>3</v>
      </c>
      <c r="F1222" s="2" t="n">
        <v>60</v>
      </c>
      <c r="G1222" s="2" t="n">
        <v>460</v>
      </c>
      <c r="H1222" t="inlineStr">
        <is>
          <t>460</t>
        </is>
      </c>
      <c r="I1222" s="2" t="n">
        <v>460</v>
      </c>
      <c r="J1222" s="2" t="n">
        <v>460</v>
      </c>
      <c r="L1222" s="3" t="n"/>
      <c r="M1222" s="3" t="n"/>
      <c r="N1222" s="3" t="n">
        <v>47.9</v>
      </c>
      <c r="O1222" s="3" t="n"/>
      <c r="P1222" s="3">
        <f>IF(L1222&lt;&gt;"",L1222/1.4,"")</f>
        <v/>
      </c>
      <c r="Q1222" s="3">
        <f>IF(L1222&lt;&gt;"",L1222/1.56,"")</f>
        <v/>
      </c>
      <c r="R1222" s="3">
        <f>IF(M1222&lt;&gt;"",M1222/1.4,"")</f>
        <v/>
      </c>
      <c r="S1222" s="3">
        <f>IF(M1222&lt;&gt;"",M1222/1.56,"")</f>
        <v/>
      </c>
      <c r="T1222" s="3">
        <f>IF(N1222&lt;&gt;"",N1222,IF(O1222&lt;&gt;"",O1222,IF(L1222&lt;&gt;"",L1222/1.56,IF(M1222&lt;&gt;"",M1222/1.56,""))))</f>
        <v/>
      </c>
      <c r="U1222" s="3" t="n">
        <v>235</v>
      </c>
      <c r="V1222" s="3" t="n"/>
      <c r="W1222" s="3" t="n"/>
      <c r="X1222" s="4" t="n"/>
      <c r="Y1222" s="5" t="n">
        <v>0.444</v>
      </c>
      <c r="Z1222" s="4">
        <f>IF(L1222&lt;&gt;"",SQRT(3)*G1222*L1222/1000,"")</f>
        <v/>
      </c>
      <c r="AA1222" t="inlineStr">
        <is>
          <t>Source=Copeland 2D/3D/4D/4R/6D/8D/9R compressors (pdf) p57</t>
        </is>
      </c>
      <c r="AB1222" t="inlineStr">
        <is>
          <t>Copeland_RLA_230_460_3ph_60Hz.xlsx</t>
        </is>
      </c>
      <c r="AC1222" t="inlineStr">
        <is>
          <t>Recip_2D-9R</t>
        </is>
      </c>
    </row>
    <row r="1223">
      <c r="A1223" t="inlineStr">
        <is>
          <t>COPELAND</t>
        </is>
      </c>
      <c r="B1223" t="inlineStr">
        <is>
          <t>6DE3F11ML-FSD</t>
        </is>
      </c>
      <c r="D1223" t="inlineStr">
        <is>
          <t>Reciprocating Semi-hermetic</t>
        </is>
      </c>
      <c r="E1223" s="2" t="n">
        <v>3</v>
      </c>
      <c r="F1223" s="2" t="n">
        <v>60</v>
      </c>
      <c r="G1223" s="2" t="n">
        <v>460</v>
      </c>
      <c r="H1223" t="inlineStr">
        <is>
          <t>460</t>
        </is>
      </c>
      <c r="I1223" s="2" t="n">
        <v>460</v>
      </c>
      <c r="J1223" s="2" t="n">
        <v>460</v>
      </c>
      <c r="L1223" s="3" t="n"/>
      <c r="M1223" s="3" t="n"/>
      <c r="N1223" s="3" t="n">
        <v>47.4</v>
      </c>
      <c r="O1223" s="3" t="n"/>
      <c r="P1223" s="3">
        <f>IF(L1223&lt;&gt;"",L1223/1.4,"")</f>
        <v/>
      </c>
      <c r="Q1223" s="3">
        <f>IF(L1223&lt;&gt;"",L1223/1.56,"")</f>
        <v/>
      </c>
      <c r="R1223" s="3">
        <f>IF(M1223&lt;&gt;"",M1223/1.4,"")</f>
        <v/>
      </c>
      <c r="S1223" s="3">
        <f>IF(M1223&lt;&gt;"",M1223/1.56,"")</f>
        <v/>
      </c>
      <c r="T1223" s="3">
        <f>IF(N1223&lt;&gt;"",N1223,IF(O1223&lt;&gt;"",O1223,IF(L1223&lt;&gt;"",L1223/1.56,IF(M1223&lt;&gt;"",M1223/1.56,""))))</f>
        <v/>
      </c>
      <c r="U1223" s="3" t="n">
        <v>235</v>
      </c>
      <c r="V1223" s="3" t="n">
        <v>141</v>
      </c>
      <c r="W1223" s="3" t="n"/>
      <c r="X1223" s="4" t="n"/>
      <c r="Y1223" s="5" t="n">
        <v>0.45</v>
      </c>
      <c r="Z1223" s="4">
        <f>IF(L1223&lt;&gt;"",SQRT(3)*G1223*L1223/1000,"")</f>
        <v/>
      </c>
      <c r="AA1223" t="inlineStr">
        <is>
          <t>Source=Copeland 2D/3D/4D/4R/6D/8D/9R compressors (pdf) p57; PWS_RLA=23.7</t>
        </is>
      </c>
      <c r="AB1223" t="inlineStr">
        <is>
          <t>Copeland_RLA_230_460_3ph_60Hz.xlsx</t>
        </is>
      </c>
      <c r="AC1223" t="inlineStr">
        <is>
          <t>Recip_2D-9R</t>
        </is>
      </c>
    </row>
    <row r="1224">
      <c r="A1224" t="inlineStr">
        <is>
          <t>COPELAND</t>
        </is>
      </c>
      <c r="B1224" t="inlineStr">
        <is>
          <t>6DE3F11ML-TSK</t>
        </is>
      </c>
      <c r="D1224" t="inlineStr">
        <is>
          <t>Reciprocating Semi-hermetic</t>
        </is>
      </c>
      <c r="E1224" s="2" t="n">
        <v>3</v>
      </c>
      <c r="F1224" s="2" t="n">
        <v>60</v>
      </c>
      <c r="G1224" s="2" t="n">
        <v>230</v>
      </c>
      <c r="H1224" t="inlineStr">
        <is>
          <t>208/230</t>
        </is>
      </c>
      <c r="I1224" s="2" t="n">
        <v>208</v>
      </c>
      <c r="J1224" s="2" t="n">
        <v>230</v>
      </c>
      <c r="L1224" s="3" t="n"/>
      <c r="M1224" s="3" t="n"/>
      <c r="N1224" s="3" t="n">
        <v>95.7</v>
      </c>
      <c r="O1224" s="3" t="n"/>
      <c r="P1224" s="3">
        <f>IF(L1224&lt;&gt;"",L1224/1.4,"")</f>
        <v/>
      </c>
      <c r="Q1224" s="3">
        <f>IF(L1224&lt;&gt;"",L1224/1.56,"")</f>
        <v/>
      </c>
      <c r="R1224" s="3">
        <f>IF(M1224&lt;&gt;"",M1224/1.4,"")</f>
        <v/>
      </c>
      <c r="S1224" s="3">
        <f>IF(M1224&lt;&gt;"",M1224/1.56,"")</f>
        <v/>
      </c>
      <c r="T1224" s="3">
        <f>IF(N1224&lt;&gt;"",N1224,IF(O1224&lt;&gt;"",O1224,IF(L1224&lt;&gt;"",L1224/1.56,IF(M1224&lt;&gt;"",M1224/1.56,""))))</f>
        <v/>
      </c>
      <c r="U1224" s="3" t="n">
        <v>470</v>
      </c>
      <c r="V1224" s="3" t="n">
        <v>292</v>
      </c>
      <c r="W1224" s="3" t="n"/>
      <c r="X1224" s="4" t="n"/>
      <c r="Y1224" s="5" t="n">
        <v>0.111</v>
      </c>
      <c r="Z1224" s="4">
        <f>IF(L1224&lt;&gt;"",SQRT(3)*G1224*L1224/1000,"")</f>
        <v/>
      </c>
      <c r="AA1224" t="inlineStr">
        <is>
          <t>Source=Copeland 2D/3D/4D/4R/6D/8D/9R compressors (pdf) p57; PWS_RLA=47.8</t>
        </is>
      </c>
      <c r="AB1224" t="inlineStr">
        <is>
          <t>Copeland_RLA_230_460_3ph_60Hz.xlsx</t>
        </is>
      </c>
      <c r="AC1224" t="inlineStr">
        <is>
          <t>Recip_2D-9R</t>
        </is>
      </c>
    </row>
    <row r="1225">
      <c r="A1225" t="inlineStr">
        <is>
          <t>COPELAND</t>
        </is>
      </c>
      <c r="B1225" t="inlineStr">
        <is>
          <t>6DE3F11ML-TSK</t>
        </is>
      </c>
      <c r="D1225" t="inlineStr">
        <is>
          <t>Reciprocating Semi-hermetic</t>
        </is>
      </c>
      <c r="E1225" s="2" t="n">
        <v>3</v>
      </c>
      <c r="F1225" s="2" t="n">
        <v>60</v>
      </c>
      <c r="G1225" s="2" t="n">
        <v>460</v>
      </c>
      <c r="H1225" t="inlineStr">
        <is>
          <t>460</t>
        </is>
      </c>
      <c r="I1225" s="2" t="n">
        <v>460</v>
      </c>
      <c r="J1225" s="2" t="n">
        <v>460</v>
      </c>
      <c r="L1225" s="3" t="n"/>
      <c r="M1225" s="3" t="n"/>
      <c r="N1225" s="3" t="n">
        <v>47.9</v>
      </c>
      <c r="O1225" s="3" t="n"/>
      <c r="P1225" s="3">
        <f>IF(L1225&lt;&gt;"",L1225/1.4,"")</f>
        <v/>
      </c>
      <c r="Q1225" s="3">
        <f>IF(L1225&lt;&gt;"",L1225/1.56,"")</f>
        <v/>
      </c>
      <c r="R1225" s="3">
        <f>IF(M1225&lt;&gt;"",M1225/1.4,"")</f>
        <v/>
      </c>
      <c r="S1225" s="3">
        <f>IF(M1225&lt;&gt;"",M1225/1.56,"")</f>
        <v/>
      </c>
      <c r="T1225" s="3">
        <f>IF(N1225&lt;&gt;"",N1225,IF(O1225&lt;&gt;"",O1225,IF(L1225&lt;&gt;"",L1225/1.56,IF(M1225&lt;&gt;"",M1225/1.56,""))))</f>
        <v/>
      </c>
      <c r="U1225" s="3" t="n">
        <v>235</v>
      </c>
      <c r="V1225" s="3" t="n"/>
      <c r="W1225" s="3" t="n"/>
      <c r="X1225" s="4" t="n"/>
      <c r="Y1225" s="5" t="n">
        <v>0.444</v>
      </c>
      <c r="Z1225" s="4">
        <f>IF(L1225&lt;&gt;"",SQRT(3)*G1225*L1225/1000,"")</f>
        <v/>
      </c>
      <c r="AA1225" t="inlineStr">
        <is>
          <t>Source=Copeland 2D/3D/4D/4R/6D/8D/9R compressors (pdf) p57</t>
        </is>
      </c>
      <c r="AB1225" t="inlineStr">
        <is>
          <t>Copeland_RLA_230_460_3ph_60Hz.xlsx</t>
        </is>
      </c>
      <c r="AC1225" t="inlineStr">
        <is>
          <t>Recip_2D-9R</t>
        </is>
      </c>
    </row>
    <row r="1226">
      <c r="A1226" t="inlineStr">
        <is>
          <t>COPELAND</t>
        </is>
      </c>
      <c r="B1226" t="inlineStr">
        <is>
          <t>6DEG-3000-FSD</t>
        </is>
      </c>
      <c r="D1226" t="inlineStr">
        <is>
          <t>Reciprocating Semi-hermetic</t>
        </is>
      </c>
      <c r="E1226" s="2" t="n">
        <v>3</v>
      </c>
      <c r="F1226" s="2" t="n">
        <v>60</v>
      </c>
      <c r="G1226" s="2" t="n">
        <v>460</v>
      </c>
      <c r="H1226" t="inlineStr">
        <is>
          <t>460</t>
        </is>
      </c>
      <c r="I1226" s="2" t="n">
        <v>460</v>
      </c>
      <c r="J1226" s="2" t="n">
        <v>460</v>
      </c>
      <c r="L1226" s="3" t="n"/>
      <c r="M1226" s="3" t="n"/>
      <c r="N1226" s="3" t="n">
        <v>42.9</v>
      </c>
      <c r="O1226" s="3" t="n"/>
      <c r="P1226" s="3">
        <f>IF(L1226&lt;&gt;"",L1226/1.4,"")</f>
        <v/>
      </c>
      <c r="Q1226" s="3">
        <f>IF(L1226&lt;&gt;"",L1226/1.56,"")</f>
        <v/>
      </c>
      <c r="R1226" s="3">
        <f>IF(M1226&lt;&gt;"",M1226/1.4,"")</f>
        <v/>
      </c>
      <c r="S1226" s="3">
        <f>IF(M1226&lt;&gt;"",M1226/1.56,"")</f>
        <v/>
      </c>
      <c r="T1226" s="3">
        <f>IF(N1226&lt;&gt;"",N1226,IF(O1226&lt;&gt;"",O1226,IF(L1226&lt;&gt;"",L1226/1.56,IF(M1226&lt;&gt;"",M1226/1.56,""))))</f>
        <v/>
      </c>
      <c r="U1226" s="3" t="n">
        <v>235</v>
      </c>
      <c r="V1226" s="3" t="n">
        <v>141</v>
      </c>
      <c r="W1226" s="3" t="n"/>
      <c r="X1226" s="4" t="n"/>
      <c r="Y1226" s="5" t="n">
        <v>0.45</v>
      </c>
      <c r="Z1226" s="4">
        <f>IF(L1226&lt;&gt;"",SQRT(3)*G1226*L1226/1000,"")</f>
        <v/>
      </c>
      <c r="AA1226" t="inlineStr">
        <is>
          <t>Source=Copeland 2D/3D/4D/4R/6D/8D/9R compressors (pdf) p57; PWS_RLA=21.4</t>
        </is>
      </c>
      <c r="AB1226" t="inlineStr">
        <is>
          <t>Copeland_RLA_230_460_3ph_60Hz.xlsx</t>
        </is>
      </c>
      <c r="AC1226" t="inlineStr">
        <is>
          <t>Recip_2D-9R</t>
        </is>
      </c>
    </row>
    <row r="1227">
      <c r="A1227" t="inlineStr">
        <is>
          <t>COPELAND</t>
        </is>
      </c>
      <c r="B1227" t="inlineStr">
        <is>
          <t>6DEG-300L-FSD</t>
        </is>
      </c>
      <c r="D1227" t="inlineStr">
        <is>
          <t>Reciprocating Semi-hermetic</t>
        </is>
      </c>
      <c r="E1227" s="2" t="n">
        <v>3</v>
      </c>
      <c r="F1227" s="2" t="n">
        <v>60</v>
      </c>
      <c r="G1227" s="2" t="n">
        <v>460</v>
      </c>
      <c r="H1227" t="inlineStr">
        <is>
          <t>460</t>
        </is>
      </c>
      <c r="I1227" s="2" t="n">
        <v>460</v>
      </c>
      <c r="J1227" s="2" t="n">
        <v>460</v>
      </c>
      <c r="L1227" s="3" t="n"/>
      <c r="M1227" s="3" t="n"/>
      <c r="N1227" s="3" t="n">
        <v>42.9</v>
      </c>
      <c r="O1227" s="3" t="n"/>
      <c r="P1227" s="3">
        <f>IF(L1227&lt;&gt;"",L1227/1.4,"")</f>
        <v/>
      </c>
      <c r="Q1227" s="3">
        <f>IF(L1227&lt;&gt;"",L1227/1.56,"")</f>
        <v/>
      </c>
      <c r="R1227" s="3">
        <f>IF(M1227&lt;&gt;"",M1227/1.4,"")</f>
        <v/>
      </c>
      <c r="S1227" s="3">
        <f>IF(M1227&lt;&gt;"",M1227/1.56,"")</f>
        <v/>
      </c>
      <c r="T1227" s="3">
        <f>IF(N1227&lt;&gt;"",N1227,IF(O1227&lt;&gt;"",O1227,IF(L1227&lt;&gt;"",L1227/1.56,IF(M1227&lt;&gt;"",M1227/1.56,""))))</f>
        <v/>
      </c>
      <c r="U1227" s="3" t="n">
        <v>235</v>
      </c>
      <c r="V1227" s="3" t="n">
        <v>141</v>
      </c>
      <c r="W1227" s="3" t="n"/>
      <c r="X1227" s="4" t="n"/>
      <c r="Y1227" s="5" t="n">
        <v>0.45</v>
      </c>
      <c r="Z1227" s="4">
        <f>IF(L1227&lt;&gt;"",SQRT(3)*G1227*L1227/1000,"")</f>
        <v/>
      </c>
      <c r="AA1227" t="inlineStr">
        <is>
          <t>Source=Copeland 2D/3D/4D/4R/6D/8D/9R compressors (pdf) p57; PWS_RLA=21.4</t>
        </is>
      </c>
      <c r="AB1227" t="inlineStr">
        <is>
          <t>Copeland_RLA_230_460_3ph_60Hz.xlsx</t>
        </is>
      </c>
      <c r="AC1227" t="inlineStr">
        <is>
          <t>Recip_2D-9R</t>
        </is>
      </c>
    </row>
    <row r="1228">
      <c r="A1228" t="inlineStr">
        <is>
          <t>COPELAND</t>
        </is>
      </c>
      <c r="B1228" t="inlineStr">
        <is>
          <t>6DF1-3000-FSD</t>
        </is>
      </c>
      <c r="D1228" t="inlineStr">
        <is>
          <t>Reciprocating Semi-hermetic</t>
        </is>
      </c>
      <c r="E1228" s="2" t="n">
        <v>3</v>
      </c>
      <c r="F1228" s="2" t="n">
        <v>60</v>
      </c>
      <c r="G1228" s="2" t="n">
        <v>460</v>
      </c>
      <c r="H1228" t="inlineStr">
        <is>
          <t>460</t>
        </is>
      </c>
      <c r="I1228" s="2" t="n">
        <v>460</v>
      </c>
      <c r="J1228" s="2" t="n">
        <v>460</v>
      </c>
      <c r="L1228" s="3" t="n"/>
      <c r="M1228" s="3" t="n"/>
      <c r="N1228" s="3" t="n">
        <v>53.6</v>
      </c>
      <c r="O1228" s="3" t="n"/>
      <c r="P1228" s="3">
        <f>IF(L1228&lt;&gt;"",L1228/1.4,"")</f>
        <v/>
      </c>
      <c r="Q1228" s="3">
        <f>IF(L1228&lt;&gt;"",L1228/1.56,"")</f>
        <v/>
      </c>
      <c r="R1228" s="3">
        <f>IF(M1228&lt;&gt;"",M1228/1.4,"")</f>
        <v/>
      </c>
      <c r="S1228" s="3">
        <f>IF(M1228&lt;&gt;"",M1228/1.56,"")</f>
        <v/>
      </c>
      <c r="T1228" s="3">
        <f>IF(N1228&lt;&gt;"",N1228,IF(O1228&lt;&gt;"",O1228,IF(L1228&lt;&gt;"",L1228/1.56,IF(M1228&lt;&gt;"",M1228/1.56,""))))</f>
        <v/>
      </c>
      <c r="U1228" s="3" t="n">
        <v>235</v>
      </c>
      <c r="V1228" s="3" t="n">
        <v>141</v>
      </c>
      <c r="W1228" s="3" t="n"/>
      <c r="X1228" s="4" t="n"/>
      <c r="Y1228" s="5" t="n">
        <v>0.45</v>
      </c>
      <c r="Z1228" s="4">
        <f>IF(L1228&lt;&gt;"",SQRT(3)*G1228*L1228/1000,"")</f>
        <v/>
      </c>
      <c r="AA1228" t="inlineStr">
        <is>
          <t>Source=Copeland 2D/3D/4D/4R/6D/8D/9R compressors (pdf) p57; PWS_RLA=26.8</t>
        </is>
      </c>
      <c r="AB1228" t="inlineStr">
        <is>
          <t>Copeland_RLA_230_460_3ph_60Hz.xlsx</t>
        </is>
      </c>
      <c r="AC1228" t="inlineStr">
        <is>
          <t>Recip_2D-9R</t>
        </is>
      </c>
    </row>
    <row r="1229">
      <c r="A1229" t="inlineStr">
        <is>
          <t>COPELAND</t>
        </is>
      </c>
      <c r="B1229" t="inlineStr">
        <is>
          <t>6DF1-3000-TSK</t>
        </is>
      </c>
      <c r="D1229" t="inlineStr">
        <is>
          <t>Reciprocating Semi-hermetic</t>
        </is>
      </c>
      <c r="E1229" s="2" t="n">
        <v>3</v>
      </c>
      <c r="F1229" s="2" t="n">
        <v>60</v>
      </c>
      <c r="G1229" s="2" t="n">
        <v>230</v>
      </c>
      <c r="H1229" t="inlineStr">
        <is>
          <t>208/230</t>
        </is>
      </c>
      <c r="I1229" s="2" t="n">
        <v>208</v>
      </c>
      <c r="J1229" s="2" t="n">
        <v>230</v>
      </c>
      <c r="L1229" s="3" t="n"/>
      <c r="M1229" s="3" t="n"/>
      <c r="N1229" s="3" t="n">
        <v>110.9</v>
      </c>
      <c r="O1229" s="3" t="n"/>
      <c r="P1229" s="3">
        <f>IF(L1229&lt;&gt;"",L1229/1.4,"")</f>
        <v/>
      </c>
      <c r="Q1229" s="3">
        <f>IF(L1229&lt;&gt;"",L1229/1.56,"")</f>
        <v/>
      </c>
      <c r="R1229" s="3">
        <f>IF(M1229&lt;&gt;"",M1229/1.4,"")</f>
        <v/>
      </c>
      <c r="S1229" s="3">
        <f>IF(M1229&lt;&gt;"",M1229/1.56,"")</f>
        <v/>
      </c>
      <c r="T1229" s="3">
        <f>IF(N1229&lt;&gt;"",N1229,IF(O1229&lt;&gt;"",O1229,IF(L1229&lt;&gt;"",L1229/1.56,IF(M1229&lt;&gt;"",M1229/1.56,""))))</f>
        <v/>
      </c>
      <c r="U1229" s="3" t="n">
        <v>470</v>
      </c>
      <c r="V1229" s="3" t="n">
        <v>292</v>
      </c>
      <c r="W1229" s="3" t="n"/>
      <c r="X1229" s="4" t="n"/>
      <c r="Y1229" s="5" t="n">
        <v>0.111</v>
      </c>
      <c r="Z1229" s="4">
        <f>IF(L1229&lt;&gt;"",SQRT(3)*G1229*L1229/1000,"")</f>
        <v/>
      </c>
      <c r="AA1229" t="inlineStr">
        <is>
          <t>Source=Copeland 2D/3D/4D/4R/6D/8D/9R compressors (pdf) p57; PWS_RLA=55.5</t>
        </is>
      </c>
      <c r="AB1229" t="inlineStr">
        <is>
          <t>Copeland_RLA_230_460_3ph_60Hz.xlsx</t>
        </is>
      </c>
      <c r="AC1229" t="inlineStr">
        <is>
          <t>Recip_2D-9R</t>
        </is>
      </c>
    </row>
    <row r="1230">
      <c r="A1230" t="inlineStr">
        <is>
          <t>COPELAND</t>
        </is>
      </c>
      <c r="B1230" t="inlineStr">
        <is>
          <t>6DF1-3000-TSK</t>
        </is>
      </c>
      <c r="D1230" t="inlineStr">
        <is>
          <t>Reciprocating Semi-hermetic</t>
        </is>
      </c>
      <c r="E1230" s="2" t="n">
        <v>3</v>
      </c>
      <c r="F1230" s="2" t="n">
        <v>60</v>
      </c>
      <c r="G1230" s="2" t="n">
        <v>460</v>
      </c>
      <c r="H1230" t="inlineStr">
        <is>
          <t>460</t>
        </is>
      </c>
      <c r="I1230" s="2" t="n">
        <v>460</v>
      </c>
      <c r="J1230" s="2" t="n">
        <v>460</v>
      </c>
      <c r="L1230" s="3" t="n"/>
      <c r="M1230" s="3" t="n"/>
      <c r="N1230" s="3" t="n">
        <v>55.5</v>
      </c>
      <c r="O1230" s="3" t="n"/>
      <c r="P1230" s="3">
        <f>IF(L1230&lt;&gt;"",L1230/1.4,"")</f>
        <v/>
      </c>
      <c r="Q1230" s="3">
        <f>IF(L1230&lt;&gt;"",L1230/1.56,"")</f>
        <v/>
      </c>
      <c r="R1230" s="3">
        <f>IF(M1230&lt;&gt;"",M1230/1.4,"")</f>
        <v/>
      </c>
      <c r="S1230" s="3">
        <f>IF(M1230&lt;&gt;"",M1230/1.56,"")</f>
        <v/>
      </c>
      <c r="T1230" s="3">
        <f>IF(N1230&lt;&gt;"",N1230,IF(O1230&lt;&gt;"",O1230,IF(L1230&lt;&gt;"",L1230/1.56,IF(M1230&lt;&gt;"",M1230/1.56,""))))</f>
        <v/>
      </c>
      <c r="U1230" s="3" t="n">
        <v>235</v>
      </c>
      <c r="V1230" s="3" t="n"/>
      <c r="W1230" s="3" t="n"/>
      <c r="X1230" s="4" t="n"/>
      <c r="Y1230" s="5" t="n">
        <v>0.444</v>
      </c>
      <c r="Z1230" s="4">
        <f>IF(L1230&lt;&gt;"",SQRT(3)*G1230*L1230/1000,"")</f>
        <v/>
      </c>
      <c r="AA1230" t="inlineStr">
        <is>
          <t>Source=Copeland 2D/3D/4D/4R/6D/8D/9R compressors (pdf) p57</t>
        </is>
      </c>
      <c r="AB1230" t="inlineStr">
        <is>
          <t>Copeland_RLA_230_460_3ph_60Hz.xlsx</t>
        </is>
      </c>
      <c r="AC1230" t="inlineStr">
        <is>
          <t>Recip_2D-9R</t>
        </is>
      </c>
    </row>
    <row r="1231">
      <c r="A1231" t="inlineStr">
        <is>
          <t>COPELAND</t>
        </is>
      </c>
      <c r="B1231" t="inlineStr">
        <is>
          <t>6DF1A3000-FSD</t>
        </is>
      </c>
      <c r="D1231" t="inlineStr">
        <is>
          <t>Reciprocating Semi-hermetic</t>
        </is>
      </c>
      <c r="E1231" s="2" t="n">
        <v>3</v>
      </c>
      <c r="F1231" s="2" t="n">
        <v>60</v>
      </c>
      <c r="G1231" s="2" t="n">
        <v>460</v>
      </c>
      <c r="H1231" t="inlineStr">
        <is>
          <t>460</t>
        </is>
      </c>
      <c r="I1231" s="2" t="n">
        <v>460</v>
      </c>
      <c r="J1231" s="2" t="n">
        <v>460</v>
      </c>
      <c r="L1231" s="3" t="n"/>
      <c r="M1231" s="3" t="n"/>
      <c r="N1231" s="3" t="n">
        <v>53.6</v>
      </c>
      <c r="O1231" s="3" t="n"/>
      <c r="P1231" s="3">
        <f>IF(L1231&lt;&gt;"",L1231/1.4,"")</f>
        <v/>
      </c>
      <c r="Q1231" s="3">
        <f>IF(L1231&lt;&gt;"",L1231/1.56,"")</f>
        <v/>
      </c>
      <c r="R1231" s="3">
        <f>IF(M1231&lt;&gt;"",M1231/1.4,"")</f>
        <v/>
      </c>
      <c r="S1231" s="3">
        <f>IF(M1231&lt;&gt;"",M1231/1.56,"")</f>
        <v/>
      </c>
      <c r="T1231" s="3">
        <f>IF(N1231&lt;&gt;"",N1231,IF(O1231&lt;&gt;"",O1231,IF(L1231&lt;&gt;"",L1231/1.56,IF(M1231&lt;&gt;"",M1231/1.56,""))))</f>
        <v/>
      </c>
      <c r="U1231" s="3" t="n">
        <v>235</v>
      </c>
      <c r="V1231" s="3" t="n">
        <v>141</v>
      </c>
      <c r="W1231" s="3" t="n"/>
      <c r="X1231" s="4" t="n"/>
      <c r="Y1231" s="5" t="n">
        <v>0.45</v>
      </c>
      <c r="Z1231" s="4">
        <f>IF(L1231&lt;&gt;"",SQRT(3)*G1231*L1231/1000,"")</f>
        <v/>
      </c>
      <c r="AA1231" t="inlineStr">
        <is>
          <t>Source=Copeland 2D/3D/4D/4R/6D/8D/9R compressors (pdf) p57; PWS_RLA=26.8</t>
        </is>
      </c>
      <c r="AB1231" t="inlineStr">
        <is>
          <t>Copeland_RLA_230_460_3ph_60Hz.xlsx</t>
        </is>
      </c>
      <c r="AC1231" t="inlineStr">
        <is>
          <t>Recip_2D-9R</t>
        </is>
      </c>
    </row>
    <row r="1232">
      <c r="A1232" t="inlineStr">
        <is>
          <t>COPELAND</t>
        </is>
      </c>
      <c r="B1232" t="inlineStr">
        <is>
          <t>6DF1A3000-TSK</t>
        </is>
      </c>
      <c r="D1232" t="inlineStr">
        <is>
          <t>Reciprocating Semi-hermetic</t>
        </is>
      </c>
      <c r="E1232" s="2" t="n">
        <v>3</v>
      </c>
      <c r="F1232" s="2" t="n">
        <v>60</v>
      </c>
      <c r="G1232" s="2" t="n">
        <v>230</v>
      </c>
      <c r="H1232" t="inlineStr">
        <is>
          <t>208/230</t>
        </is>
      </c>
      <c r="I1232" s="2" t="n">
        <v>208</v>
      </c>
      <c r="J1232" s="2" t="n">
        <v>230</v>
      </c>
      <c r="L1232" s="3" t="n"/>
      <c r="M1232" s="3" t="n"/>
      <c r="N1232" s="3" t="n">
        <v>110.9</v>
      </c>
      <c r="O1232" s="3" t="n"/>
      <c r="P1232" s="3">
        <f>IF(L1232&lt;&gt;"",L1232/1.4,"")</f>
        <v/>
      </c>
      <c r="Q1232" s="3">
        <f>IF(L1232&lt;&gt;"",L1232/1.56,"")</f>
        <v/>
      </c>
      <c r="R1232" s="3">
        <f>IF(M1232&lt;&gt;"",M1232/1.4,"")</f>
        <v/>
      </c>
      <c r="S1232" s="3">
        <f>IF(M1232&lt;&gt;"",M1232/1.56,"")</f>
        <v/>
      </c>
      <c r="T1232" s="3">
        <f>IF(N1232&lt;&gt;"",N1232,IF(O1232&lt;&gt;"",O1232,IF(L1232&lt;&gt;"",L1232/1.56,IF(M1232&lt;&gt;"",M1232/1.56,""))))</f>
        <v/>
      </c>
      <c r="U1232" s="3" t="n">
        <v>470</v>
      </c>
      <c r="V1232" s="3" t="n">
        <v>292</v>
      </c>
      <c r="W1232" s="3" t="n"/>
      <c r="X1232" s="4" t="n"/>
      <c r="Y1232" s="5" t="n">
        <v>0.111</v>
      </c>
      <c r="Z1232" s="4">
        <f>IF(L1232&lt;&gt;"",SQRT(3)*G1232*L1232/1000,"")</f>
        <v/>
      </c>
      <c r="AA1232" t="inlineStr">
        <is>
          <t>Source=Copeland 2D/3D/4D/4R/6D/8D/9R compressors (pdf) p57; PWS_RLA=55.5</t>
        </is>
      </c>
      <c r="AB1232" t="inlineStr">
        <is>
          <t>Copeland_RLA_230_460_3ph_60Hz.xlsx</t>
        </is>
      </c>
      <c r="AC1232" t="inlineStr">
        <is>
          <t>Recip_2D-9R</t>
        </is>
      </c>
    </row>
    <row r="1233">
      <c r="A1233" t="inlineStr">
        <is>
          <t>COPELAND</t>
        </is>
      </c>
      <c r="B1233" t="inlineStr">
        <is>
          <t>6DF1A3000-TSK</t>
        </is>
      </c>
      <c r="D1233" t="inlineStr">
        <is>
          <t>Reciprocating Semi-hermetic</t>
        </is>
      </c>
      <c r="E1233" s="2" t="n">
        <v>3</v>
      </c>
      <c r="F1233" s="2" t="n">
        <v>60</v>
      </c>
      <c r="G1233" s="2" t="n">
        <v>460</v>
      </c>
      <c r="H1233" t="inlineStr">
        <is>
          <t>460</t>
        </is>
      </c>
      <c r="I1233" s="2" t="n">
        <v>460</v>
      </c>
      <c r="J1233" s="2" t="n">
        <v>460</v>
      </c>
      <c r="L1233" s="3" t="n"/>
      <c r="M1233" s="3" t="n"/>
      <c r="N1233" s="3" t="n">
        <v>55.5</v>
      </c>
      <c r="O1233" s="3" t="n"/>
      <c r="P1233" s="3">
        <f>IF(L1233&lt;&gt;"",L1233/1.4,"")</f>
        <v/>
      </c>
      <c r="Q1233" s="3">
        <f>IF(L1233&lt;&gt;"",L1233/1.56,"")</f>
        <v/>
      </c>
      <c r="R1233" s="3">
        <f>IF(M1233&lt;&gt;"",M1233/1.4,"")</f>
        <v/>
      </c>
      <c r="S1233" s="3">
        <f>IF(M1233&lt;&gt;"",M1233/1.56,"")</f>
        <v/>
      </c>
      <c r="T1233" s="3">
        <f>IF(N1233&lt;&gt;"",N1233,IF(O1233&lt;&gt;"",O1233,IF(L1233&lt;&gt;"",L1233/1.56,IF(M1233&lt;&gt;"",M1233/1.56,""))))</f>
        <v/>
      </c>
      <c r="U1233" s="3" t="n">
        <v>235</v>
      </c>
      <c r="V1233" s="3" t="n"/>
      <c r="W1233" s="3" t="n"/>
      <c r="X1233" s="4" t="n"/>
      <c r="Y1233" s="5" t="n">
        <v>0.444</v>
      </c>
      <c r="Z1233" s="4">
        <f>IF(L1233&lt;&gt;"",SQRT(3)*G1233*L1233/1000,"")</f>
        <v/>
      </c>
      <c r="AA1233" t="inlineStr">
        <is>
          <t>Source=Copeland 2D/3D/4D/4R/6D/8D/9R compressors (pdf) p57</t>
        </is>
      </c>
      <c r="AB1233" t="inlineStr">
        <is>
          <t>Copeland_RLA_230_460_3ph_60Hz.xlsx</t>
        </is>
      </c>
      <c r="AC1233" t="inlineStr">
        <is>
          <t>Recip_2D-9R</t>
        </is>
      </c>
    </row>
    <row r="1234">
      <c r="A1234" t="inlineStr">
        <is>
          <t>COPELAND</t>
        </is>
      </c>
      <c r="B1234" t="inlineStr">
        <is>
          <t>6DF3-3000-FSD</t>
        </is>
      </c>
      <c r="D1234" t="inlineStr">
        <is>
          <t>Reciprocating Semi-hermetic</t>
        </is>
      </c>
      <c r="E1234" s="2" t="n">
        <v>3</v>
      </c>
      <c r="F1234" s="2" t="n">
        <v>60</v>
      </c>
      <c r="G1234" s="2" t="n">
        <v>460</v>
      </c>
      <c r="H1234" t="inlineStr">
        <is>
          <t>460</t>
        </is>
      </c>
      <c r="I1234" s="2" t="n">
        <v>460</v>
      </c>
      <c r="J1234" s="2" t="n">
        <v>460</v>
      </c>
      <c r="L1234" s="3" t="n"/>
      <c r="M1234" s="3" t="n"/>
      <c r="N1234" s="3" t="n">
        <v>42.9</v>
      </c>
      <c r="O1234" s="3" t="n"/>
      <c r="P1234" s="3">
        <f>IF(L1234&lt;&gt;"",L1234/1.4,"")</f>
        <v/>
      </c>
      <c r="Q1234" s="3">
        <f>IF(L1234&lt;&gt;"",L1234/1.56,"")</f>
        <v/>
      </c>
      <c r="R1234" s="3">
        <f>IF(M1234&lt;&gt;"",M1234/1.4,"")</f>
        <v/>
      </c>
      <c r="S1234" s="3">
        <f>IF(M1234&lt;&gt;"",M1234/1.56,"")</f>
        <v/>
      </c>
      <c r="T1234" s="3">
        <f>IF(N1234&lt;&gt;"",N1234,IF(O1234&lt;&gt;"",O1234,IF(L1234&lt;&gt;"",L1234/1.56,IF(M1234&lt;&gt;"",M1234/1.56,""))))</f>
        <v/>
      </c>
      <c r="U1234" s="3" t="n">
        <v>235</v>
      </c>
      <c r="V1234" s="3" t="n">
        <v>141</v>
      </c>
      <c r="W1234" s="3" t="n"/>
      <c r="X1234" s="4" t="n"/>
      <c r="Y1234" s="5" t="n">
        <v>0.45</v>
      </c>
      <c r="Z1234" s="4">
        <f>IF(L1234&lt;&gt;"",SQRT(3)*G1234*L1234/1000,"")</f>
        <v/>
      </c>
      <c r="AA1234" t="inlineStr">
        <is>
          <t>Source=Copeland 2D/3D/4D/4R/6D/8D/9R compressors (pdf) p57; PWS_RLA=21.4</t>
        </is>
      </c>
      <c r="AB1234" t="inlineStr">
        <is>
          <t>Copeland_RLA_230_460_3ph_60Hz.xlsx</t>
        </is>
      </c>
      <c r="AC1234" t="inlineStr">
        <is>
          <t>Recip_2D-9R</t>
        </is>
      </c>
    </row>
    <row r="1235">
      <c r="A1235" t="inlineStr">
        <is>
          <t>COPELAND</t>
        </is>
      </c>
      <c r="B1235" t="inlineStr">
        <is>
          <t>6DF3-3000-TSK</t>
        </is>
      </c>
      <c r="D1235" t="inlineStr">
        <is>
          <t>Reciprocating Semi-hermetic</t>
        </is>
      </c>
      <c r="E1235" s="2" t="n">
        <v>3</v>
      </c>
      <c r="F1235" s="2" t="n">
        <v>60</v>
      </c>
      <c r="G1235" s="2" t="n">
        <v>230</v>
      </c>
      <c r="H1235" t="inlineStr">
        <is>
          <t>208/230</t>
        </is>
      </c>
      <c r="I1235" s="2" t="n">
        <v>208</v>
      </c>
      <c r="J1235" s="2" t="n">
        <v>230</v>
      </c>
      <c r="L1235" s="3" t="n"/>
      <c r="M1235" s="3" t="n"/>
      <c r="N1235" s="3" t="n">
        <v>95.59999999999999</v>
      </c>
      <c r="O1235" s="3" t="n"/>
      <c r="P1235" s="3">
        <f>IF(L1235&lt;&gt;"",L1235/1.4,"")</f>
        <v/>
      </c>
      <c r="Q1235" s="3">
        <f>IF(L1235&lt;&gt;"",L1235/1.56,"")</f>
        <v/>
      </c>
      <c r="R1235" s="3">
        <f>IF(M1235&lt;&gt;"",M1235/1.4,"")</f>
        <v/>
      </c>
      <c r="S1235" s="3">
        <f>IF(M1235&lt;&gt;"",M1235/1.56,"")</f>
        <v/>
      </c>
      <c r="T1235" s="3">
        <f>IF(N1235&lt;&gt;"",N1235,IF(O1235&lt;&gt;"",O1235,IF(L1235&lt;&gt;"",L1235/1.56,IF(M1235&lt;&gt;"",M1235/1.56,""))))</f>
        <v/>
      </c>
      <c r="U1235" s="3" t="n">
        <v>470</v>
      </c>
      <c r="V1235" s="3" t="n">
        <v>292</v>
      </c>
      <c r="W1235" s="3" t="n"/>
      <c r="X1235" s="4" t="n"/>
      <c r="Y1235" s="5" t="n">
        <v>0.111</v>
      </c>
      <c r="Z1235" s="4">
        <f>IF(L1235&lt;&gt;"",SQRT(3)*G1235*L1235/1000,"")</f>
        <v/>
      </c>
      <c r="AA1235" t="inlineStr">
        <is>
          <t>Source=Copeland 2D/3D/4D/4R/6D/8D/9R compressors (pdf) p58; PWS_RLA=47.8</t>
        </is>
      </c>
      <c r="AB1235" t="inlineStr">
        <is>
          <t>Copeland_RLA_230_460_3ph_60Hz.xlsx</t>
        </is>
      </c>
      <c r="AC1235" t="inlineStr">
        <is>
          <t>Recip_2D-9R</t>
        </is>
      </c>
    </row>
    <row r="1236">
      <c r="A1236" t="inlineStr">
        <is>
          <t>COPELAND</t>
        </is>
      </c>
      <c r="B1236" t="inlineStr">
        <is>
          <t>6DF3-3000-TSK</t>
        </is>
      </c>
      <c r="D1236" t="inlineStr">
        <is>
          <t>Reciprocating Semi-hermetic</t>
        </is>
      </c>
      <c r="E1236" s="2" t="n">
        <v>3</v>
      </c>
      <c r="F1236" s="2" t="n">
        <v>60</v>
      </c>
      <c r="G1236" s="2" t="n">
        <v>460</v>
      </c>
      <c r="H1236" t="inlineStr">
        <is>
          <t>460</t>
        </is>
      </c>
      <c r="I1236" s="2" t="n">
        <v>460</v>
      </c>
      <c r="J1236" s="2" t="n">
        <v>460</v>
      </c>
      <c r="L1236" s="3" t="n"/>
      <c r="M1236" s="3" t="n"/>
      <c r="N1236" s="3" t="n">
        <v>47.8</v>
      </c>
      <c r="O1236" s="3" t="n"/>
      <c r="P1236" s="3">
        <f>IF(L1236&lt;&gt;"",L1236/1.4,"")</f>
        <v/>
      </c>
      <c r="Q1236" s="3">
        <f>IF(L1236&lt;&gt;"",L1236/1.56,"")</f>
        <v/>
      </c>
      <c r="R1236" s="3">
        <f>IF(M1236&lt;&gt;"",M1236/1.4,"")</f>
        <v/>
      </c>
      <c r="S1236" s="3">
        <f>IF(M1236&lt;&gt;"",M1236/1.56,"")</f>
        <v/>
      </c>
      <c r="T1236" s="3">
        <f>IF(N1236&lt;&gt;"",N1236,IF(O1236&lt;&gt;"",O1236,IF(L1236&lt;&gt;"",L1236/1.56,IF(M1236&lt;&gt;"",M1236/1.56,""))))</f>
        <v/>
      </c>
      <c r="U1236" s="3" t="n">
        <v>235</v>
      </c>
      <c r="V1236" s="3" t="n"/>
      <c r="W1236" s="3" t="n"/>
      <c r="X1236" s="4" t="n"/>
      <c r="Y1236" s="5" t="n">
        <v>0.444</v>
      </c>
      <c r="Z1236" s="4">
        <f>IF(L1236&lt;&gt;"",SQRT(3)*G1236*L1236/1000,"")</f>
        <v/>
      </c>
      <c r="AA1236" t="inlineStr">
        <is>
          <t>Source=Copeland 2D/3D/4D/4R/6D/8D/9R compressors (pdf) p58</t>
        </is>
      </c>
      <c r="AB1236" t="inlineStr">
        <is>
          <t>Copeland_RLA_230_460_3ph_60Hz.xlsx</t>
        </is>
      </c>
      <c r="AC1236" t="inlineStr">
        <is>
          <t>Recip_2D-9R</t>
        </is>
      </c>
    </row>
    <row r="1237">
      <c r="A1237" t="inlineStr">
        <is>
          <t>COPELAND</t>
        </is>
      </c>
      <c r="B1237" t="inlineStr">
        <is>
          <t>6DF3-300E-FSD</t>
        </is>
      </c>
      <c r="D1237" t="inlineStr">
        <is>
          <t>Reciprocating Semi-hermetic</t>
        </is>
      </c>
      <c r="E1237" s="2" t="n">
        <v>3</v>
      </c>
      <c r="F1237" s="2" t="n">
        <v>60</v>
      </c>
      <c r="G1237" s="2" t="n">
        <v>460</v>
      </c>
      <c r="H1237" t="inlineStr">
        <is>
          <t>460</t>
        </is>
      </c>
      <c r="I1237" s="2" t="n">
        <v>460</v>
      </c>
      <c r="J1237" s="2" t="n">
        <v>460</v>
      </c>
      <c r="L1237" s="3" t="n"/>
      <c r="M1237" s="3" t="n"/>
      <c r="N1237" s="3" t="n">
        <v>42.9</v>
      </c>
      <c r="O1237" s="3" t="n"/>
      <c r="P1237" s="3">
        <f>IF(L1237&lt;&gt;"",L1237/1.4,"")</f>
        <v/>
      </c>
      <c r="Q1237" s="3">
        <f>IF(L1237&lt;&gt;"",L1237/1.56,"")</f>
        <v/>
      </c>
      <c r="R1237" s="3">
        <f>IF(M1237&lt;&gt;"",M1237/1.4,"")</f>
        <v/>
      </c>
      <c r="S1237" s="3">
        <f>IF(M1237&lt;&gt;"",M1237/1.56,"")</f>
        <v/>
      </c>
      <c r="T1237" s="3">
        <f>IF(N1237&lt;&gt;"",N1237,IF(O1237&lt;&gt;"",O1237,IF(L1237&lt;&gt;"",L1237/1.56,IF(M1237&lt;&gt;"",M1237/1.56,""))))</f>
        <v/>
      </c>
      <c r="U1237" s="3" t="n">
        <v>235</v>
      </c>
      <c r="V1237" s="3" t="n">
        <v>141</v>
      </c>
      <c r="W1237" s="3" t="n"/>
      <c r="X1237" s="4" t="n"/>
      <c r="Y1237" s="5" t="n">
        <v>0.45</v>
      </c>
      <c r="Z1237" s="4">
        <f>IF(L1237&lt;&gt;"",SQRT(3)*G1237*L1237/1000,"")</f>
        <v/>
      </c>
      <c r="AA1237" t="inlineStr">
        <is>
          <t>Source=Copeland 2D/3D/4D/4R/6D/8D/9R compressors (pdf) p58; PWS_RLA=21.4</t>
        </is>
      </c>
      <c r="AB1237" t="inlineStr">
        <is>
          <t>Copeland_RLA_230_460_3ph_60Hz.xlsx</t>
        </is>
      </c>
      <c r="AC1237" t="inlineStr">
        <is>
          <t>Recip_2D-9R</t>
        </is>
      </c>
    </row>
    <row r="1238">
      <c r="A1238" t="inlineStr">
        <is>
          <t>COPELAND</t>
        </is>
      </c>
      <c r="B1238" t="inlineStr">
        <is>
          <t>6DF3-300E-TSK</t>
        </is>
      </c>
      <c r="D1238" t="inlineStr">
        <is>
          <t>Reciprocating Semi-hermetic</t>
        </is>
      </c>
      <c r="E1238" s="2" t="n">
        <v>3</v>
      </c>
      <c r="F1238" s="2" t="n">
        <v>60</v>
      </c>
      <c r="G1238" s="2" t="n">
        <v>230</v>
      </c>
      <c r="H1238" t="inlineStr">
        <is>
          <t>208/230</t>
        </is>
      </c>
      <c r="I1238" s="2" t="n">
        <v>208</v>
      </c>
      <c r="J1238" s="2" t="n">
        <v>230</v>
      </c>
      <c r="L1238" s="3" t="n"/>
      <c r="M1238" s="3" t="n"/>
      <c r="N1238" s="3" t="n">
        <v>95.59999999999999</v>
      </c>
      <c r="O1238" s="3" t="n"/>
      <c r="P1238" s="3">
        <f>IF(L1238&lt;&gt;"",L1238/1.4,"")</f>
        <v/>
      </c>
      <c r="Q1238" s="3">
        <f>IF(L1238&lt;&gt;"",L1238/1.56,"")</f>
        <v/>
      </c>
      <c r="R1238" s="3">
        <f>IF(M1238&lt;&gt;"",M1238/1.4,"")</f>
        <v/>
      </c>
      <c r="S1238" s="3">
        <f>IF(M1238&lt;&gt;"",M1238/1.56,"")</f>
        <v/>
      </c>
      <c r="T1238" s="3">
        <f>IF(N1238&lt;&gt;"",N1238,IF(O1238&lt;&gt;"",O1238,IF(L1238&lt;&gt;"",L1238/1.56,IF(M1238&lt;&gt;"",M1238/1.56,""))))</f>
        <v/>
      </c>
      <c r="U1238" s="3" t="n">
        <v>470</v>
      </c>
      <c r="V1238" s="3" t="n">
        <v>292</v>
      </c>
      <c r="W1238" s="3" t="n"/>
      <c r="X1238" s="4" t="n"/>
      <c r="Y1238" s="5" t="n">
        <v>0.111</v>
      </c>
      <c r="Z1238" s="4">
        <f>IF(L1238&lt;&gt;"",SQRT(3)*G1238*L1238/1000,"")</f>
        <v/>
      </c>
      <c r="AA1238" t="inlineStr">
        <is>
          <t>Source=Copeland 2D/3D/4D/4R/6D/8D/9R compressors (pdf) p58; PWS_RLA=47.8</t>
        </is>
      </c>
      <c r="AB1238" t="inlineStr">
        <is>
          <t>Copeland_RLA_230_460_3ph_60Hz.xlsx</t>
        </is>
      </c>
      <c r="AC1238" t="inlineStr">
        <is>
          <t>Recip_2D-9R</t>
        </is>
      </c>
    </row>
    <row r="1239">
      <c r="A1239" t="inlineStr">
        <is>
          <t>COPELAND</t>
        </is>
      </c>
      <c r="B1239" t="inlineStr">
        <is>
          <t>6DF3-300E-TSK</t>
        </is>
      </c>
      <c r="D1239" t="inlineStr">
        <is>
          <t>Reciprocating Semi-hermetic</t>
        </is>
      </c>
      <c r="E1239" s="2" t="n">
        <v>3</v>
      </c>
      <c r="F1239" s="2" t="n">
        <v>60</v>
      </c>
      <c r="G1239" s="2" t="n">
        <v>460</v>
      </c>
      <c r="H1239" t="inlineStr">
        <is>
          <t>460</t>
        </is>
      </c>
      <c r="I1239" s="2" t="n">
        <v>460</v>
      </c>
      <c r="J1239" s="2" t="n">
        <v>460</v>
      </c>
      <c r="L1239" s="3" t="n"/>
      <c r="M1239" s="3" t="n"/>
      <c r="N1239" s="3" t="n">
        <v>47.8</v>
      </c>
      <c r="O1239" s="3" t="n"/>
      <c r="P1239" s="3">
        <f>IF(L1239&lt;&gt;"",L1239/1.4,"")</f>
        <v/>
      </c>
      <c r="Q1239" s="3">
        <f>IF(L1239&lt;&gt;"",L1239/1.56,"")</f>
        <v/>
      </c>
      <c r="R1239" s="3">
        <f>IF(M1239&lt;&gt;"",M1239/1.4,"")</f>
        <v/>
      </c>
      <c r="S1239" s="3">
        <f>IF(M1239&lt;&gt;"",M1239/1.56,"")</f>
        <v/>
      </c>
      <c r="T1239" s="3">
        <f>IF(N1239&lt;&gt;"",N1239,IF(O1239&lt;&gt;"",O1239,IF(L1239&lt;&gt;"",L1239/1.56,IF(M1239&lt;&gt;"",M1239/1.56,""))))</f>
        <v/>
      </c>
      <c r="U1239" s="3" t="n">
        <v>235</v>
      </c>
      <c r="V1239" s="3" t="n"/>
      <c r="W1239" s="3" t="n"/>
      <c r="X1239" s="4" t="n"/>
      <c r="Y1239" s="5" t="n">
        <v>0.444</v>
      </c>
      <c r="Z1239" s="4">
        <f>IF(L1239&lt;&gt;"",SQRT(3)*G1239*L1239/1000,"")</f>
        <v/>
      </c>
      <c r="AA1239" t="inlineStr">
        <is>
          <t>Source=Copeland 2D/3D/4D/4R/6D/8D/9R compressors (pdf) p58</t>
        </is>
      </c>
      <c r="AB1239" t="inlineStr">
        <is>
          <t>Copeland_RLA_230_460_3ph_60Hz.xlsx</t>
        </is>
      </c>
      <c r="AC1239" t="inlineStr">
        <is>
          <t>Recip_2D-9R</t>
        </is>
      </c>
    </row>
    <row r="1240">
      <c r="A1240" t="inlineStr">
        <is>
          <t>COPELAND</t>
        </is>
      </c>
      <c r="B1240" t="inlineStr">
        <is>
          <t>6DF3-300L-FSD</t>
        </is>
      </c>
      <c r="D1240" t="inlineStr">
        <is>
          <t>Reciprocating Semi-hermetic</t>
        </is>
      </c>
      <c r="E1240" s="2" t="n">
        <v>3</v>
      </c>
      <c r="F1240" s="2" t="n">
        <v>60</v>
      </c>
      <c r="G1240" s="2" t="n">
        <v>460</v>
      </c>
      <c r="H1240" t="inlineStr">
        <is>
          <t>460</t>
        </is>
      </c>
      <c r="I1240" s="2" t="n">
        <v>460</v>
      </c>
      <c r="J1240" s="2" t="n">
        <v>460</v>
      </c>
      <c r="L1240" s="3" t="n"/>
      <c r="M1240" s="3" t="n"/>
      <c r="N1240" s="3" t="n">
        <v>42.9</v>
      </c>
      <c r="O1240" s="3" t="n"/>
      <c r="P1240" s="3">
        <f>IF(L1240&lt;&gt;"",L1240/1.4,"")</f>
        <v/>
      </c>
      <c r="Q1240" s="3">
        <f>IF(L1240&lt;&gt;"",L1240/1.56,"")</f>
        <v/>
      </c>
      <c r="R1240" s="3">
        <f>IF(M1240&lt;&gt;"",M1240/1.4,"")</f>
        <v/>
      </c>
      <c r="S1240" s="3">
        <f>IF(M1240&lt;&gt;"",M1240/1.56,"")</f>
        <v/>
      </c>
      <c r="T1240" s="3">
        <f>IF(N1240&lt;&gt;"",N1240,IF(O1240&lt;&gt;"",O1240,IF(L1240&lt;&gt;"",L1240/1.56,IF(M1240&lt;&gt;"",M1240/1.56,""))))</f>
        <v/>
      </c>
      <c r="U1240" s="3" t="n">
        <v>235</v>
      </c>
      <c r="V1240" s="3" t="n">
        <v>141</v>
      </c>
      <c r="W1240" s="3" t="n"/>
      <c r="X1240" s="4" t="n"/>
      <c r="Y1240" s="5" t="n">
        <v>0.45</v>
      </c>
      <c r="Z1240" s="4">
        <f>IF(L1240&lt;&gt;"",SQRT(3)*G1240*L1240/1000,"")</f>
        <v/>
      </c>
      <c r="AA1240" t="inlineStr">
        <is>
          <t>Source=Copeland 2D/3D/4D/4R/6D/8D/9R compressors (pdf) p58; PWS_RLA=21.4</t>
        </is>
      </c>
      <c r="AB1240" t="inlineStr">
        <is>
          <t>Copeland_RLA_230_460_3ph_60Hz.xlsx</t>
        </is>
      </c>
      <c r="AC1240" t="inlineStr">
        <is>
          <t>Recip_2D-9R</t>
        </is>
      </c>
    </row>
    <row r="1241">
      <c r="A1241" t="inlineStr">
        <is>
          <t>COPELAND</t>
        </is>
      </c>
      <c r="B1241" t="inlineStr">
        <is>
          <t>6DF3-300L-TSK</t>
        </is>
      </c>
      <c r="D1241" t="inlineStr">
        <is>
          <t>Reciprocating Semi-hermetic</t>
        </is>
      </c>
      <c r="E1241" s="2" t="n">
        <v>3</v>
      </c>
      <c r="F1241" s="2" t="n">
        <v>60</v>
      </c>
      <c r="G1241" s="2" t="n">
        <v>230</v>
      </c>
      <c r="H1241" t="inlineStr">
        <is>
          <t>208/230</t>
        </is>
      </c>
      <c r="I1241" s="2" t="n">
        <v>208</v>
      </c>
      <c r="J1241" s="2" t="n">
        <v>230</v>
      </c>
      <c r="L1241" s="3" t="n"/>
      <c r="M1241" s="3" t="n"/>
      <c r="N1241" s="3" t="n">
        <v>95.59999999999999</v>
      </c>
      <c r="O1241" s="3" t="n"/>
      <c r="P1241" s="3">
        <f>IF(L1241&lt;&gt;"",L1241/1.4,"")</f>
        <v/>
      </c>
      <c r="Q1241" s="3">
        <f>IF(L1241&lt;&gt;"",L1241/1.56,"")</f>
        <v/>
      </c>
      <c r="R1241" s="3">
        <f>IF(M1241&lt;&gt;"",M1241/1.4,"")</f>
        <v/>
      </c>
      <c r="S1241" s="3">
        <f>IF(M1241&lt;&gt;"",M1241/1.56,"")</f>
        <v/>
      </c>
      <c r="T1241" s="3">
        <f>IF(N1241&lt;&gt;"",N1241,IF(O1241&lt;&gt;"",O1241,IF(L1241&lt;&gt;"",L1241/1.56,IF(M1241&lt;&gt;"",M1241/1.56,""))))</f>
        <v/>
      </c>
      <c r="U1241" s="3" t="n">
        <v>470</v>
      </c>
      <c r="V1241" s="3" t="n">
        <v>292</v>
      </c>
      <c r="W1241" s="3" t="n"/>
      <c r="X1241" s="4" t="n"/>
      <c r="Y1241" s="5" t="n">
        <v>0.111</v>
      </c>
      <c r="Z1241" s="4">
        <f>IF(L1241&lt;&gt;"",SQRT(3)*G1241*L1241/1000,"")</f>
        <v/>
      </c>
      <c r="AA1241" t="inlineStr">
        <is>
          <t>Source=Copeland 2D/3D/4D/4R/6D/8D/9R compressors (pdf) p58; PWS_RLA=47.8</t>
        </is>
      </c>
      <c r="AB1241" t="inlineStr">
        <is>
          <t>Copeland_RLA_230_460_3ph_60Hz.xlsx</t>
        </is>
      </c>
      <c r="AC1241" t="inlineStr">
        <is>
          <t>Recip_2D-9R</t>
        </is>
      </c>
    </row>
    <row r="1242">
      <c r="A1242" t="inlineStr">
        <is>
          <t>COPELAND</t>
        </is>
      </c>
      <c r="B1242" t="inlineStr">
        <is>
          <t>6DF3-300L-TSK</t>
        </is>
      </c>
      <c r="D1242" t="inlineStr">
        <is>
          <t>Reciprocating Semi-hermetic</t>
        </is>
      </c>
      <c r="E1242" s="2" t="n">
        <v>3</v>
      </c>
      <c r="F1242" s="2" t="n">
        <v>60</v>
      </c>
      <c r="G1242" s="2" t="n">
        <v>460</v>
      </c>
      <c r="H1242" t="inlineStr">
        <is>
          <t>460</t>
        </is>
      </c>
      <c r="I1242" s="2" t="n">
        <v>460</v>
      </c>
      <c r="J1242" s="2" t="n">
        <v>460</v>
      </c>
      <c r="L1242" s="3" t="n"/>
      <c r="M1242" s="3" t="n"/>
      <c r="N1242" s="3" t="n">
        <v>47.8</v>
      </c>
      <c r="O1242" s="3" t="n"/>
      <c r="P1242" s="3">
        <f>IF(L1242&lt;&gt;"",L1242/1.4,"")</f>
        <v/>
      </c>
      <c r="Q1242" s="3">
        <f>IF(L1242&lt;&gt;"",L1242/1.56,"")</f>
        <v/>
      </c>
      <c r="R1242" s="3">
        <f>IF(M1242&lt;&gt;"",M1242/1.4,"")</f>
        <v/>
      </c>
      <c r="S1242" s="3">
        <f>IF(M1242&lt;&gt;"",M1242/1.56,"")</f>
        <v/>
      </c>
      <c r="T1242" s="3">
        <f>IF(N1242&lt;&gt;"",N1242,IF(O1242&lt;&gt;"",O1242,IF(L1242&lt;&gt;"",L1242/1.56,IF(M1242&lt;&gt;"",M1242/1.56,""))))</f>
        <v/>
      </c>
      <c r="U1242" s="3" t="n">
        <v>235</v>
      </c>
      <c r="V1242" s="3" t="n"/>
      <c r="W1242" s="3" t="n"/>
      <c r="X1242" s="4" t="n"/>
      <c r="Y1242" s="5" t="n">
        <v>0.444</v>
      </c>
      <c r="Z1242" s="4">
        <f>IF(L1242&lt;&gt;"",SQRT(3)*G1242*L1242/1000,"")</f>
        <v/>
      </c>
      <c r="AA1242" t="inlineStr">
        <is>
          <t>Source=Copeland 2D/3D/4D/4R/6D/8D/9R compressors (pdf) p58</t>
        </is>
      </c>
      <c r="AB1242" t="inlineStr">
        <is>
          <t>Copeland_RLA_230_460_3ph_60Hz.xlsx</t>
        </is>
      </c>
      <c r="AC1242" t="inlineStr">
        <is>
          <t>Recip_2D-9R</t>
        </is>
      </c>
    </row>
    <row r="1243">
      <c r="A1243" t="inlineStr">
        <is>
          <t>COPELAND</t>
        </is>
      </c>
      <c r="B1243" t="inlineStr">
        <is>
          <t>6DF3A3000-FSD</t>
        </is>
      </c>
      <c r="D1243" t="inlineStr">
        <is>
          <t>Reciprocating Semi-hermetic</t>
        </is>
      </c>
      <c r="E1243" s="2" t="n">
        <v>3</v>
      </c>
      <c r="F1243" s="2" t="n">
        <v>60</v>
      </c>
      <c r="G1243" s="2" t="n">
        <v>460</v>
      </c>
      <c r="H1243" t="inlineStr">
        <is>
          <t>460</t>
        </is>
      </c>
      <c r="I1243" s="2" t="n">
        <v>460</v>
      </c>
      <c r="J1243" s="2" t="n">
        <v>460</v>
      </c>
      <c r="L1243" s="3" t="n"/>
      <c r="M1243" s="3" t="n"/>
      <c r="N1243" s="3" t="n">
        <v>42.9</v>
      </c>
      <c r="O1243" s="3" t="n"/>
      <c r="P1243" s="3">
        <f>IF(L1243&lt;&gt;"",L1243/1.4,"")</f>
        <v/>
      </c>
      <c r="Q1243" s="3">
        <f>IF(L1243&lt;&gt;"",L1243/1.56,"")</f>
        <v/>
      </c>
      <c r="R1243" s="3">
        <f>IF(M1243&lt;&gt;"",M1243/1.4,"")</f>
        <v/>
      </c>
      <c r="S1243" s="3">
        <f>IF(M1243&lt;&gt;"",M1243/1.56,"")</f>
        <v/>
      </c>
      <c r="T1243" s="3">
        <f>IF(N1243&lt;&gt;"",N1243,IF(O1243&lt;&gt;"",O1243,IF(L1243&lt;&gt;"",L1243/1.56,IF(M1243&lt;&gt;"",M1243/1.56,""))))</f>
        <v/>
      </c>
      <c r="U1243" s="3" t="n">
        <v>235</v>
      </c>
      <c r="V1243" s="3" t="n">
        <v>141</v>
      </c>
      <c r="W1243" s="3" t="n"/>
      <c r="X1243" s="4" t="n"/>
      <c r="Y1243" s="5" t="n">
        <v>0.45</v>
      </c>
      <c r="Z1243" s="4">
        <f>IF(L1243&lt;&gt;"",SQRT(3)*G1243*L1243/1000,"")</f>
        <v/>
      </c>
      <c r="AA1243" t="inlineStr">
        <is>
          <t>Source=Copeland 2D/3D/4D/4R/6D/8D/9R compressors (pdf) p58; PWS_RLA=21.4</t>
        </is>
      </c>
      <c r="AB1243" t="inlineStr">
        <is>
          <t>Copeland_RLA_230_460_3ph_60Hz.xlsx</t>
        </is>
      </c>
      <c r="AC1243" t="inlineStr">
        <is>
          <t>Recip_2D-9R</t>
        </is>
      </c>
    </row>
    <row r="1244">
      <c r="A1244" t="inlineStr">
        <is>
          <t>COPELAND</t>
        </is>
      </c>
      <c r="B1244" t="inlineStr">
        <is>
          <t>6DF3A3000-TSK</t>
        </is>
      </c>
      <c r="D1244" t="inlineStr">
        <is>
          <t>Reciprocating Semi-hermetic</t>
        </is>
      </c>
      <c r="E1244" s="2" t="n">
        <v>3</v>
      </c>
      <c r="F1244" s="2" t="n">
        <v>60</v>
      </c>
      <c r="G1244" s="2" t="n">
        <v>230</v>
      </c>
      <c r="H1244" t="inlineStr">
        <is>
          <t>208/230</t>
        </is>
      </c>
      <c r="I1244" s="2" t="n">
        <v>208</v>
      </c>
      <c r="J1244" s="2" t="n">
        <v>230</v>
      </c>
      <c r="L1244" s="3" t="n"/>
      <c r="M1244" s="3" t="n"/>
      <c r="N1244" s="3" t="n">
        <v>95.59999999999999</v>
      </c>
      <c r="O1244" s="3" t="n"/>
      <c r="P1244" s="3">
        <f>IF(L1244&lt;&gt;"",L1244/1.4,"")</f>
        <v/>
      </c>
      <c r="Q1244" s="3">
        <f>IF(L1244&lt;&gt;"",L1244/1.56,"")</f>
        <v/>
      </c>
      <c r="R1244" s="3">
        <f>IF(M1244&lt;&gt;"",M1244/1.4,"")</f>
        <v/>
      </c>
      <c r="S1244" s="3">
        <f>IF(M1244&lt;&gt;"",M1244/1.56,"")</f>
        <v/>
      </c>
      <c r="T1244" s="3">
        <f>IF(N1244&lt;&gt;"",N1244,IF(O1244&lt;&gt;"",O1244,IF(L1244&lt;&gt;"",L1244/1.56,IF(M1244&lt;&gt;"",M1244/1.56,""))))</f>
        <v/>
      </c>
      <c r="U1244" s="3" t="n">
        <v>470</v>
      </c>
      <c r="V1244" s="3" t="n">
        <v>292</v>
      </c>
      <c r="W1244" s="3" t="n"/>
      <c r="X1244" s="4" t="n"/>
      <c r="Y1244" s="5" t="n">
        <v>0.111</v>
      </c>
      <c r="Z1244" s="4">
        <f>IF(L1244&lt;&gt;"",SQRT(3)*G1244*L1244/1000,"")</f>
        <v/>
      </c>
      <c r="AA1244" t="inlineStr">
        <is>
          <t>Source=Copeland 2D/3D/4D/4R/6D/8D/9R compressors (pdf) p58; PWS_RLA=47.8</t>
        </is>
      </c>
      <c r="AB1244" t="inlineStr">
        <is>
          <t>Copeland_RLA_230_460_3ph_60Hz.xlsx</t>
        </is>
      </c>
      <c r="AC1244" t="inlineStr">
        <is>
          <t>Recip_2D-9R</t>
        </is>
      </c>
    </row>
    <row r="1245">
      <c r="A1245" t="inlineStr">
        <is>
          <t>COPELAND</t>
        </is>
      </c>
      <c r="B1245" t="inlineStr">
        <is>
          <t>6DF3A3000-TSK</t>
        </is>
      </c>
      <c r="D1245" t="inlineStr">
        <is>
          <t>Reciprocating Semi-hermetic</t>
        </is>
      </c>
      <c r="E1245" s="2" t="n">
        <v>3</v>
      </c>
      <c r="F1245" s="2" t="n">
        <v>60</v>
      </c>
      <c r="G1245" s="2" t="n">
        <v>460</v>
      </c>
      <c r="H1245" t="inlineStr">
        <is>
          <t>460</t>
        </is>
      </c>
      <c r="I1245" s="2" t="n">
        <v>460</v>
      </c>
      <c r="J1245" s="2" t="n">
        <v>460</v>
      </c>
      <c r="L1245" s="3" t="n"/>
      <c r="M1245" s="3" t="n"/>
      <c r="N1245" s="3" t="n">
        <v>47.8</v>
      </c>
      <c r="O1245" s="3" t="n"/>
      <c r="P1245" s="3">
        <f>IF(L1245&lt;&gt;"",L1245/1.4,"")</f>
        <v/>
      </c>
      <c r="Q1245" s="3">
        <f>IF(L1245&lt;&gt;"",L1245/1.56,"")</f>
        <v/>
      </c>
      <c r="R1245" s="3">
        <f>IF(M1245&lt;&gt;"",M1245/1.4,"")</f>
        <v/>
      </c>
      <c r="S1245" s="3">
        <f>IF(M1245&lt;&gt;"",M1245/1.56,"")</f>
        <v/>
      </c>
      <c r="T1245" s="3">
        <f>IF(N1245&lt;&gt;"",N1245,IF(O1245&lt;&gt;"",O1245,IF(L1245&lt;&gt;"",L1245/1.56,IF(M1245&lt;&gt;"",M1245/1.56,""))))</f>
        <v/>
      </c>
      <c r="U1245" s="3" t="n">
        <v>235</v>
      </c>
      <c r="V1245" s="3" t="n"/>
      <c r="W1245" s="3" t="n"/>
      <c r="X1245" s="4" t="n"/>
      <c r="Y1245" s="5" t="n">
        <v>0.444</v>
      </c>
      <c r="Z1245" s="4">
        <f>IF(L1245&lt;&gt;"",SQRT(3)*G1245*L1245/1000,"")</f>
        <v/>
      </c>
      <c r="AA1245" t="inlineStr">
        <is>
          <t>Source=Copeland 2D/3D/4D/4R/6D/8D/9R compressors (pdf) p58</t>
        </is>
      </c>
      <c r="AB1245" t="inlineStr">
        <is>
          <t>Copeland_RLA_230_460_3ph_60Hz.xlsx</t>
        </is>
      </c>
      <c r="AC1245" t="inlineStr">
        <is>
          <t>Recip_2D-9R</t>
        </is>
      </c>
    </row>
    <row r="1246">
      <c r="A1246" t="inlineStr">
        <is>
          <t>COPELAND</t>
        </is>
      </c>
      <c r="B1246" t="inlineStr">
        <is>
          <t>6DF3A300E-FSD</t>
        </is>
      </c>
      <c r="D1246" t="inlineStr">
        <is>
          <t>Reciprocating Semi-hermetic</t>
        </is>
      </c>
      <c r="E1246" s="2" t="n">
        <v>3</v>
      </c>
      <c r="F1246" s="2" t="n">
        <v>60</v>
      </c>
      <c r="G1246" s="2" t="n">
        <v>460</v>
      </c>
      <c r="H1246" t="inlineStr">
        <is>
          <t>460</t>
        </is>
      </c>
      <c r="I1246" s="2" t="n">
        <v>460</v>
      </c>
      <c r="J1246" s="2" t="n">
        <v>460</v>
      </c>
      <c r="L1246" s="3" t="n"/>
      <c r="M1246" s="3" t="n"/>
      <c r="N1246" s="3" t="n">
        <v>42.9</v>
      </c>
      <c r="O1246" s="3" t="n"/>
      <c r="P1246" s="3">
        <f>IF(L1246&lt;&gt;"",L1246/1.4,"")</f>
        <v/>
      </c>
      <c r="Q1246" s="3">
        <f>IF(L1246&lt;&gt;"",L1246/1.56,"")</f>
        <v/>
      </c>
      <c r="R1246" s="3">
        <f>IF(M1246&lt;&gt;"",M1246/1.4,"")</f>
        <v/>
      </c>
      <c r="S1246" s="3">
        <f>IF(M1246&lt;&gt;"",M1246/1.56,"")</f>
        <v/>
      </c>
      <c r="T1246" s="3">
        <f>IF(N1246&lt;&gt;"",N1246,IF(O1246&lt;&gt;"",O1246,IF(L1246&lt;&gt;"",L1246/1.56,IF(M1246&lt;&gt;"",M1246/1.56,""))))</f>
        <v/>
      </c>
      <c r="U1246" s="3" t="n">
        <v>235</v>
      </c>
      <c r="V1246" s="3" t="n">
        <v>141</v>
      </c>
      <c r="W1246" s="3" t="n"/>
      <c r="X1246" s="4" t="n"/>
      <c r="Y1246" s="5" t="n">
        <v>0.45</v>
      </c>
      <c r="Z1246" s="4">
        <f>IF(L1246&lt;&gt;"",SQRT(3)*G1246*L1246/1000,"")</f>
        <v/>
      </c>
      <c r="AA1246" t="inlineStr">
        <is>
          <t>Source=Copeland 2D/3D/4D/4R/6D/8D/9R compressors (pdf) p58; PWS_RLA=21.4</t>
        </is>
      </c>
      <c r="AB1246" t="inlineStr">
        <is>
          <t>Copeland_RLA_230_460_3ph_60Hz.xlsx</t>
        </is>
      </c>
      <c r="AC1246" t="inlineStr">
        <is>
          <t>Recip_2D-9R</t>
        </is>
      </c>
    </row>
    <row r="1247">
      <c r="A1247" t="inlineStr">
        <is>
          <t>COPELAND</t>
        </is>
      </c>
      <c r="B1247" t="inlineStr">
        <is>
          <t>6DF3A300E-TSK</t>
        </is>
      </c>
      <c r="D1247" t="inlineStr">
        <is>
          <t>Reciprocating Semi-hermetic</t>
        </is>
      </c>
      <c r="E1247" s="2" t="n">
        <v>3</v>
      </c>
      <c r="F1247" s="2" t="n">
        <v>60</v>
      </c>
      <c r="G1247" s="2" t="n">
        <v>230</v>
      </c>
      <c r="H1247" t="inlineStr">
        <is>
          <t>208/230</t>
        </is>
      </c>
      <c r="I1247" s="2" t="n">
        <v>208</v>
      </c>
      <c r="J1247" s="2" t="n">
        <v>230</v>
      </c>
      <c r="L1247" s="3" t="n"/>
      <c r="M1247" s="3" t="n"/>
      <c r="N1247" s="3" t="n">
        <v>95.59999999999999</v>
      </c>
      <c r="O1247" s="3" t="n"/>
      <c r="P1247" s="3">
        <f>IF(L1247&lt;&gt;"",L1247/1.4,"")</f>
        <v/>
      </c>
      <c r="Q1247" s="3">
        <f>IF(L1247&lt;&gt;"",L1247/1.56,"")</f>
        <v/>
      </c>
      <c r="R1247" s="3">
        <f>IF(M1247&lt;&gt;"",M1247/1.4,"")</f>
        <v/>
      </c>
      <c r="S1247" s="3">
        <f>IF(M1247&lt;&gt;"",M1247/1.56,"")</f>
        <v/>
      </c>
      <c r="T1247" s="3">
        <f>IF(N1247&lt;&gt;"",N1247,IF(O1247&lt;&gt;"",O1247,IF(L1247&lt;&gt;"",L1247/1.56,IF(M1247&lt;&gt;"",M1247/1.56,""))))</f>
        <v/>
      </c>
      <c r="U1247" s="3" t="n">
        <v>470</v>
      </c>
      <c r="V1247" s="3" t="n">
        <v>292</v>
      </c>
      <c r="W1247" s="3" t="n"/>
      <c r="X1247" s="4" t="n"/>
      <c r="Y1247" s="5" t="n">
        <v>0.111</v>
      </c>
      <c r="Z1247" s="4">
        <f>IF(L1247&lt;&gt;"",SQRT(3)*G1247*L1247/1000,"")</f>
        <v/>
      </c>
      <c r="AA1247" t="inlineStr">
        <is>
          <t>Source=Copeland 2D/3D/4D/4R/6D/8D/9R compressors (pdf) p58; PWS_RLA=47.8</t>
        </is>
      </c>
      <c r="AB1247" t="inlineStr">
        <is>
          <t>Copeland_RLA_230_460_3ph_60Hz.xlsx</t>
        </is>
      </c>
      <c r="AC1247" t="inlineStr">
        <is>
          <t>Recip_2D-9R</t>
        </is>
      </c>
    </row>
    <row r="1248">
      <c r="A1248" t="inlineStr">
        <is>
          <t>COPELAND</t>
        </is>
      </c>
      <c r="B1248" t="inlineStr">
        <is>
          <t>6DF3A300E-TSK</t>
        </is>
      </c>
      <c r="D1248" t="inlineStr">
        <is>
          <t>Reciprocating Semi-hermetic</t>
        </is>
      </c>
      <c r="E1248" s="2" t="n">
        <v>3</v>
      </c>
      <c r="F1248" s="2" t="n">
        <v>60</v>
      </c>
      <c r="G1248" s="2" t="n">
        <v>460</v>
      </c>
      <c r="H1248" t="inlineStr">
        <is>
          <t>460</t>
        </is>
      </c>
      <c r="I1248" s="2" t="n">
        <v>460</v>
      </c>
      <c r="J1248" s="2" t="n">
        <v>460</v>
      </c>
      <c r="L1248" s="3" t="n"/>
      <c r="M1248" s="3" t="n"/>
      <c r="N1248" s="3" t="n">
        <v>47.8</v>
      </c>
      <c r="O1248" s="3" t="n"/>
      <c r="P1248" s="3">
        <f>IF(L1248&lt;&gt;"",L1248/1.4,"")</f>
        <v/>
      </c>
      <c r="Q1248" s="3">
        <f>IF(L1248&lt;&gt;"",L1248/1.56,"")</f>
        <v/>
      </c>
      <c r="R1248" s="3">
        <f>IF(M1248&lt;&gt;"",M1248/1.4,"")</f>
        <v/>
      </c>
      <c r="S1248" s="3">
        <f>IF(M1248&lt;&gt;"",M1248/1.56,"")</f>
        <v/>
      </c>
      <c r="T1248" s="3">
        <f>IF(N1248&lt;&gt;"",N1248,IF(O1248&lt;&gt;"",O1248,IF(L1248&lt;&gt;"",L1248/1.56,IF(M1248&lt;&gt;"",M1248/1.56,""))))</f>
        <v/>
      </c>
      <c r="U1248" s="3" t="n">
        <v>235</v>
      </c>
      <c r="V1248" s="3" t="n"/>
      <c r="W1248" s="3" t="n"/>
      <c r="X1248" s="4" t="n"/>
      <c r="Y1248" s="5" t="n">
        <v>0.444</v>
      </c>
      <c r="Z1248" s="4">
        <f>IF(L1248&lt;&gt;"",SQRT(3)*G1248*L1248/1000,"")</f>
        <v/>
      </c>
      <c r="AA1248" t="inlineStr">
        <is>
          <t>Source=Copeland 2D/3D/4D/4R/6D/8D/9R compressors (pdf) p58</t>
        </is>
      </c>
      <c r="AB1248" t="inlineStr">
        <is>
          <t>Copeland_RLA_230_460_3ph_60Hz.xlsx</t>
        </is>
      </c>
      <c r="AC1248" t="inlineStr">
        <is>
          <t>Recip_2D-9R</t>
        </is>
      </c>
    </row>
    <row r="1249">
      <c r="A1249" t="inlineStr">
        <is>
          <t>COPELAND</t>
        </is>
      </c>
      <c r="B1249" t="inlineStr">
        <is>
          <t>6DF3A300L-FSD</t>
        </is>
      </c>
      <c r="D1249" t="inlineStr">
        <is>
          <t>Reciprocating Semi-hermetic</t>
        </is>
      </c>
      <c r="E1249" s="2" t="n">
        <v>3</v>
      </c>
      <c r="F1249" s="2" t="n">
        <v>60</v>
      </c>
      <c r="G1249" s="2" t="n">
        <v>460</v>
      </c>
      <c r="H1249" t="inlineStr">
        <is>
          <t>460</t>
        </is>
      </c>
      <c r="I1249" s="2" t="n">
        <v>460</v>
      </c>
      <c r="J1249" s="2" t="n">
        <v>460</v>
      </c>
      <c r="L1249" s="3" t="n"/>
      <c r="M1249" s="3" t="n"/>
      <c r="N1249" s="3" t="n">
        <v>42.9</v>
      </c>
      <c r="O1249" s="3" t="n"/>
      <c r="P1249" s="3">
        <f>IF(L1249&lt;&gt;"",L1249/1.4,"")</f>
        <v/>
      </c>
      <c r="Q1249" s="3">
        <f>IF(L1249&lt;&gt;"",L1249/1.56,"")</f>
        <v/>
      </c>
      <c r="R1249" s="3">
        <f>IF(M1249&lt;&gt;"",M1249/1.4,"")</f>
        <v/>
      </c>
      <c r="S1249" s="3">
        <f>IF(M1249&lt;&gt;"",M1249/1.56,"")</f>
        <v/>
      </c>
      <c r="T1249" s="3">
        <f>IF(N1249&lt;&gt;"",N1249,IF(O1249&lt;&gt;"",O1249,IF(L1249&lt;&gt;"",L1249/1.56,IF(M1249&lt;&gt;"",M1249/1.56,""))))</f>
        <v/>
      </c>
      <c r="U1249" s="3" t="n">
        <v>235</v>
      </c>
      <c r="V1249" s="3" t="n">
        <v>141</v>
      </c>
      <c r="W1249" s="3" t="n"/>
      <c r="X1249" s="4" t="n"/>
      <c r="Y1249" s="5" t="n">
        <v>0.45</v>
      </c>
      <c r="Z1249" s="4">
        <f>IF(L1249&lt;&gt;"",SQRT(3)*G1249*L1249/1000,"")</f>
        <v/>
      </c>
      <c r="AA1249" t="inlineStr">
        <is>
          <t>Source=Copeland 2D/3D/4D/4R/6D/8D/9R compressors (pdf) p58; PWS_RLA=21.4</t>
        </is>
      </c>
      <c r="AB1249" t="inlineStr">
        <is>
          <t>Copeland_RLA_230_460_3ph_60Hz.xlsx</t>
        </is>
      </c>
      <c r="AC1249" t="inlineStr">
        <is>
          <t>Recip_2D-9R</t>
        </is>
      </c>
    </row>
    <row r="1250">
      <c r="A1250" t="inlineStr">
        <is>
          <t>COPELAND</t>
        </is>
      </c>
      <c r="B1250" t="inlineStr">
        <is>
          <t>6DF3A300L-TSK</t>
        </is>
      </c>
      <c r="D1250" t="inlineStr">
        <is>
          <t>Reciprocating Semi-hermetic</t>
        </is>
      </c>
      <c r="E1250" s="2" t="n">
        <v>3</v>
      </c>
      <c r="F1250" s="2" t="n">
        <v>60</v>
      </c>
      <c r="G1250" s="2" t="n">
        <v>230</v>
      </c>
      <c r="H1250" t="inlineStr">
        <is>
          <t>208/230</t>
        </is>
      </c>
      <c r="I1250" s="2" t="n">
        <v>208</v>
      </c>
      <c r="J1250" s="2" t="n">
        <v>230</v>
      </c>
      <c r="L1250" s="3" t="n"/>
      <c r="M1250" s="3" t="n"/>
      <c r="N1250" s="3" t="n">
        <v>95.59999999999999</v>
      </c>
      <c r="O1250" s="3" t="n"/>
      <c r="P1250" s="3">
        <f>IF(L1250&lt;&gt;"",L1250/1.4,"")</f>
        <v/>
      </c>
      <c r="Q1250" s="3">
        <f>IF(L1250&lt;&gt;"",L1250/1.56,"")</f>
        <v/>
      </c>
      <c r="R1250" s="3">
        <f>IF(M1250&lt;&gt;"",M1250/1.4,"")</f>
        <v/>
      </c>
      <c r="S1250" s="3">
        <f>IF(M1250&lt;&gt;"",M1250/1.56,"")</f>
        <v/>
      </c>
      <c r="T1250" s="3">
        <f>IF(N1250&lt;&gt;"",N1250,IF(O1250&lt;&gt;"",O1250,IF(L1250&lt;&gt;"",L1250/1.56,IF(M1250&lt;&gt;"",M1250/1.56,""))))</f>
        <v/>
      </c>
      <c r="U1250" s="3" t="n">
        <v>470</v>
      </c>
      <c r="V1250" s="3" t="n">
        <v>292</v>
      </c>
      <c r="W1250" s="3" t="n"/>
      <c r="X1250" s="4" t="n"/>
      <c r="Y1250" s="5" t="n">
        <v>0.111</v>
      </c>
      <c r="Z1250" s="4">
        <f>IF(L1250&lt;&gt;"",SQRT(3)*G1250*L1250/1000,"")</f>
        <v/>
      </c>
      <c r="AA1250" t="inlineStr">
        <is>
          <t>Source=Copeland 2D/3D/4D/4R/6D/8D/9R compressors (pdf) p58; PWS_RLA=47.8</t>
        </is>
      </c>
      <c r="AB1250" t="inlineStr">
        <is>
          <t>Copeland_RLA_230_460_3ph_60Hz.xlsx</t>
        </is>
      </c>
      <c r="AC1250" t="inlineStr">
        <is>
          <t>Recip_2D-9R</t>
        </is>
      </c>
    </row>
    <row r="1251">
      <c r="A1251" t="inlineStr">
        <is>
          <t>COPELAND</t>
        </is>
      </c>
      <c r="B1251" t="inlineStr">
        <is>
          <t>6DF3A300L-TSK</t>
        </is>
      </c>
      <c r="D1251" t="inlineStr">
        <is>
          <t>Reciprocating Semi-hermetic</t>
        </is>
      </c>
      <c r="E1251" s="2" t="n">
        <v>3</v>
      </c>
      <c r="F1251" s="2" t="n">
        <v>60</v>
      </c>
      <c r="G1251" s="2" t="n">
        <v>460</v>
      </c>
      <c r="H1251" t="inlineStr">
        <is>
          <t>460</t>
        </is>
      </c>
      <c r="I1251" s="2" t="n">
        <v>460</v>
      </c>
      <c r="J1251" s="2" t="n">
        <v>460</v>
      </c>
      <c r="L1251" s="3" t="n"/>
      <c r="M1251" s="3" t="n"/>
      <c r="N1251" s="3" t="n">
        <v>47.8</v>
      </c>
      <c r="O1251" s="3" t="n"/>
      <c r="P1251" s="3">
        <f>IF(L1251&lt;&gt;"",L1251/1.4,"")</f>
        <v/>
      </c>
      <c r="Q1251" s="3">
        <f>IF(L1251&lt;&gt;"",L1251/1.56,"")</f>
        <v/>
      </c>
      <c r="R1251" s="3">
        <f>IF(M1251&lt;&gt;"",M1251/1.4,"")</f>
        <v/>
      </c>
      <c r="S1251" s="3">
        <f>IF(M1251&lt;&gt;"",M1251/1.56,"")</f>
        <v/>
      </c>
      <c r="T1251" s="3">
        <f>IF(N1251&lt;&gt;"",N1251,IF(O1251&lt;&gt;"",O1251,IF(L1251&lt;&gt;"",L1251/1.56,IF(M1251&lt;&gt;"",M1251/1.56,""))))</f>
        <v/>
      </c>
      <c r="U1251" s="3" t="n">
        <v>235</v>
      </c>
      <c r="V1251" s="3" t="n"/>
      <c r="W1251" s="3" t="n"/>
      <c r="X1251" s="4" t="n"/>
      <c r="Y1251" s="5" t="n">
        <v>0.444</v>
      </c>
      <c r="Z1251" s="4">
        <f>IF(L1251&lt;&gt;"",SQRT(3)*G1251*L1251/1000,"")</f>
        <v/>
      </c>
      <c r="AA1251" t="inlineStr">
        <is>
          <t>Source=Copeland 2D/3D/4D/4R/6D/8D/9R compressors (pdf) p58</t>
        </is>
      </c>
      <c r="AB1251" t="inlineStr">
        <is>
          <t>Copeland_RLA_230_460_3ph_60Hz.xlsx</t>
        </is>
      </c>
      <c r="AC1251" t="inlineStr">
        <is>
          <t>Recip_2D-9R</t>
        </is>
      </c>
    </row>
    <row r="1252">
      <c r="A1252" t="inlineStr">
        <is>
          <t>COPELAND</t>
        </is>
      </c>
      <c r="B1252" t="inlineStr">
        <is>
          <t>6DF3F11M0-FSD</t>
        </is>
      </c>
      <c r="D1252" t="inlineStr">
        <is>
          <t>Reciprocating Semi-hermetic</t>
        </is>
      </c>
      <c r="E1252" s="2" t="n">
        <v>3</v>
      </c>
      <c r="F1252" s="2" t="n">
        <v>60</v>
      </c>
      <c r="G1252" s="2" t="n">
        <v>460</v>
      </c>
      <c r="H1252" t="inlineStr">
        <is>
          <t>460</t>
        </is>
      </c>
      <c r="I1252" s="2" t="n">
        <v>460</v>
      </c>
      <c r="J1252" s="2" t="n">
        <v>460</v>
      </c>
      <c r="L1252" s="3" t="n"/>
      <c r="M1252" s="3" t="n"/>
      <c r="N1252" s="3" t="n">
        <v>42.9</v>
      </c>
      <c r="O1252" s="3" t="n"/>
      <c r="P1252" s="3">
        <f>IF(L1252&lt;&gt;"",L1252/1.4,"")</f>
        <v/>
      </c>
      <c r="Q1252" s="3">
        <f>IF(L1252&lt;&gt;"",L1252/1.56,"")</f>
        <v/>
      </c>
      <c r="R1252" s="3">
        <f>IF(M1252&lt;&gt;"",M1252/1.4,"")</f>
        <v/>
      </c>
      <c r="S1252" s="3">
        <f>IF(M1252&lt;&gt;"",M1252/1.56,"")</f>
        <v/>
      </c>
      <c r="T1252" s="3">
        <f>IF(N1252&lt;&gt;"",N1252,IF(O1252&lt;&gt;"",O1252,IF(L1252&lt;&gt;"",L1252/1.56,IF(M1252&lt;&gt;"",M1252/1.56,""))))</f>
        <v/>
      </c>
      <c r="U1252" s="3" t="n">
        <v>235</v>
      </c>
      <c r="V1252" s="3" t="n">
        <v>141</v>
      </c>
      <c r="W1252" s="3" t="n"/>
      <c r="X1252" s="4" t="n"/>
      <c r="Y1252" s="5" t="n">
        <v>0.45</v>
      </c>
      <c r="Z1252" s="4">
        <f>IF(L1252&lt;&gt;"",SQRT(3)*G1252*L1252/1000,"")</f>
        <v/>
      </c>
      <c r="AA1252" t="inlineStr">
        <is>
          <t>Source=Copeland 2D/3D/4D/4R/6D/8D/9R compressors (pdf) p58; PWS_RLA=21.4</t>
        </is>
      </c>
      <c r="AB1252" t="inlineStr">
        <is>
          <t>Copeland_RLA_230_460_3ph_60Hz.xlsx</t>
        </is>
      </c>
      <c r="AC1252" t="inlineStr">
        <is>
          <t>Recip_2D-9R</t>
        </is>
      </c>
    </row>
    <row r="1253">
      <c r="A1253" t="inlineStr">
        <is>
          <t>COPELAND</t>
        </is>
      </c>
      <c r="B1253" t="inlineStr">
        <is>
          <t>6DF3F11M0-TSK</t>
        </is>
      </c>
      <c r="D1253" t="inlineStr">
        <is>
          <t>Reciprocating Semi-hermetic</t>
        </is>
      </c>
      <c r="E1253" s="2" t="n">
        <v>3</v>
      </c>
      <c r="F1253" s="2" t="n">
        <v>60</v>
      </c>
      <c r="G1253" s="2" t="n">
        <v>230</v>
      </c>
      <c r="H1253" t="inlineStr">
        <is>
          <t>208/230</t>
        </is>
      </c>
      <c r="I1253" s="2" t="n">
        <v>208</v>
      </c>
      <c r="J1253" s="2" t="n">
        <v>230</v>
      </c>
      <c r="L1253" s="3" t="n"/>
      <c r="M1253" s="3" t="n"/>
      <c r="N1253" s="3" t="n">
        <v>95.59999999999999</v>
      </c>
      <c r="O1253" s="3" t="n"/>
      <c r="P1253" s="3">
        <f>IF(L1253&lt;&gt;"",L1253/1.4,"")</f>
        <v/>
      </c>
      <c r="Q1253" s="3">
        <f>IF(L1253&lt;&gt;"",L1253/1.56,"")</f>
        <v/>
      </c>
      <c r="R1253" s="3">
        <f>IF(M1253&lt;&gt;"",M1253/1.4,"")</f>
        <v/>
      </c>
      <c r="S1253" s="3">
        <f>IF(M1253&lt;&gt;"",M1253/1.56,"")</f>
        <v/>
      </c>
      <c r="T1253" s="3">
        <f>IF(N1253&lt;&gt;"",N1253,IF(O1253&lt;&gt;"",O1253,IF(L1253&lt;&gt;"",L1253/1.56,IF(M1253&lt;&gt;"",M1253/1.56,""))))</f>
        <v/>
      </c>
      <c r="U1253" s="3" t="n">
        <v>470</v>
      </c>
      <c r="V1253" s="3" t="n">
        <v>292</v>
      </c>
      <c r="W1253" s="3" t="n"/>
      <c r="X1253" s="4" t="n"/>
      <c r="Y1253" s="5" t="n">
        <v>0.111</v>
      </c>
      <c r="Z1253" s="4">
        <f>IF(L1253&lt;&gt;"",SQRT(3)*G1253*L1253/1000,"")</f>
        <v/>
      </c>
      <c r="AA1253" t="inlineStr">
        <is>
          <t>Source=Copeland 2D/3D/4D/4R/6D/8D/9R compressors (pdf) p59; PWS_RLA=47.8</t>
        </is>
      </c>
      <c r="AB1253" t="inlineStr">
        <is>
          <t>Copeland_RLA_230_460_3ph_60Hz.xlsx</t>
        </is>
      </c>
      <c r="AC1253" t="inlineStr">
        <is>
          <t>Recip_2D-9R</t>
        </is>
      </c>
    </row>
    <row r="1254">
      <c r="A1254" t="inlineStr">
        <is>
          <t>COPELAND</t>
        </is>
      </c>
      <c r="B1254" t="inlineStr">
        <is>
          <t>6DF3F11M0-TSK</t>
        </is>
      </c>
      <c r="D1254" t="inlineStr">
        <is>
          <t>Reciprocating Semi-hermetic</t>
        </is>
      </c>
      <c r="E1254" s="2" t="n">
        <v>3</v>
      </c>
      <c r="F1254" s="2" t="n">
        <v>60</v>
      </c>
      <c r="G1254" s="2" t="n">
        <v>460</v>
      </c>
      <c r="H1254" t="inlineStr">
        <is>
          <t>460</t>
        </is>
      </c>
      <c r="I1254" s="2" t="n">
        <v>460</v>
      </c>
      <c r="J1254" s="2" t="n">
        <v>460</v>
      </c>
      <c r="L1254" s="3" t="n"/>
      <c r="M1254" s="3" t="n"/>
      <c r="N1254" s="3" t="n">
        <v>47.8</v>
      </c>
      <c r="O1254" s="3" t="n"/>
      <c r="P1254" s="3">
        <f>IF(L1254&lt;&gt;"",L1254/1.4,"")</f>
        <v/>
      </c>
      <c r="Q1254" s="3">
        <f>IF(L1254&lt;&gt;"",L1254/1.56,"")</f>
        <v/>
      </c>
      <c r="R1254" s="3">
        <f>IF(M1254&lt;&gt;"",M1254/1.4,"")</f>
        <v/>
      </c>
      <c r="S1254" s="3">
        <f>IF(M1254&lt;&gt;"",M1254/1.56,"")</f>
        <v/>
      </c>
      <c r="T1254" s="3">
        <f>IF(N1254&lt;&gt;"",N1254,IF(O1254&lt;&gt;"",O1254,IF(L1254&lt;&gt;"",L1254/1.56,IF(M1254&lt;&gt;"",M1254/1.56,""))))</f>
        <v/>
      </c>
      <c r="U1254" s="3" t="n">
        <v>235</v>
      </c>
      <c r="V1254" s="3" t="n"/>
      <c r="W1254" s="3" t="n"/>
      <c r="X1254" s="4" t="n"/>
      <c r="Y1254" s="5" t="n">
        <v>0.444</v>
      </c>
      <c r="Z1254" s="4">
        <f>IF(L1254&lt;&gt;"",SQRT(3)*G1254*L1254/1000,"")</f>
        <v/>
      </c>
      <c r="AA1254" t="inlineStr">
        <is>
          <t>Source=Copeland 2D/3D/4D/4R/6D/8D/9R compressors (pdf) p59</t>
        </is>
      </c>
      <c r="AB1254" t="inlineStr">
        <is>
          <t>Copeland_RLA_230_460_3ph_60Hz.xlsx</t>
        </is>
      </c>
      <c r="AC1254" t="inlineStr">
        <is>
          <t>Recip_2D-9R</t>
        </is>
      </c>
    </row>
    <row r="1255">
      <c r="A1255" t="inlineStr">
        <is>
          <t>COPELAND</t>
        </is>
      </c>
      <c r="B1255" t="inlineStr">
        <is>
          <t>6DF3F11ME-FSD</t>
        </is>
      </c>
      <c r="D1255" t="inlineStr">
        <is>
          <t>Reciprocating Semi-hermetic</t>
        </is>
      </c>
      <c r="E1255" s="2" t="n">
        <v>3</v>
      </c>
      <c r="F1255" s="2" t="n">
        <v>60</v>
      </c>
      <c r="G1255" s="2" t="n">
        <v>460</v>
      </c>
      <c r="H1255" t="inlineStr">
        <is>
          <t>460</t>
        </is>
      </c>
      <c r="I1255" s="2" t="n">
        <v>460</v>
      </c>
      <c r="J1255" s="2" t="n">
        <v>460</v>
      </c>
      <c r="L1255" s="3" t="n"/>
      <c r="M1255" s="3" t="n"/>
      <c r="N1255" s="3" t="n">
        <v>47.4</v>
      </c>
      <c r="O1255" s="3" t="n"/>
      <c r="P1255" s="3">
        <f>IF(L1255&lt;&gt;"",L1255/1.4,"")</f>
        <v/>
      </c>
      <c r="Q1255" s="3">
        <f>IF(L1255&lt;&gt;"",L1255/1.56,"")</f>
        <v/>
      </c>
      <c r="R1255" s="3">
        <f>IF(M1255&lt;&gt;"",M1255/1.4,"")</f>
        <v/>
      </c>
      <c r="S1255" s="3">
        <f>IF(M1255&lt;&gt;"",M1255/1.56,"")</f>
        <v/>
      </c>
      <c r="T1255" s="3">
        <f>IF(N1255&lt;&gt;"",N1255,IF(O1255&lt;&gt;"",O1255,IF(L1255&lt;&gt;"",L1255/1.56,IF(M1255&lt;&gt;"",M1255/1.56,""))))</f>
        <v/>
      </c>
      <c r="U1255" s="3" t="n">
        <v>235</v>
      </c>
      <c r="V1255" s="3" t="n">
        <v>141</v>
      </c>
      <c r="W1255" s="3" t="n"/>
      <c r="X1255" s="4" t="n"/>
      <c r="Y1255" s="5" t="n">
        <v>0.45</v>
      </c>
      <c r="Z1255" s="4">
        <f>IF(L1255&lt;&gt;"",SQRT(3)*G1255*L1255/1000,"")</f>
        <v/>
      </c>
      <c r="AA1255" t="inlineStr">
        <is>
          <t>Source=Copeland 2D/3D/4D/4R/6D/8D/9R compressors (pdf) p59; PWS_RLA=23.7</t>
        </is>
      </c>
      <c r="AB1255" t="inlineStr">
        <is>
          <t>Copeland_RLA_230_460_3ph_60Hz.xlsx</t>
        </is>
      </c>
      <c r="AC1255" t="inlineStr">
        <is>
          <t>Recip_2D-9R</t>
        </is>
      </c>
    </row>
    <row r="1256">
      <c r="A1256" t="inlineStr">
        <is>
          <t>COPELAND</t>
        </is>
      </c>
      <c r="B1256" t="inlineStr">
        <is>
          <t>6DF3F11ME-TSK</t>
        </is>
      </c>
      <c r="D1256" t="inlineStr">
        <is>
          <t>Reciprocating Semi-hermetic</t>
        </is>
      </c>
      <c r="E1256" s="2" t="n">
        <v>3</v>
      </c>
      <c r="F1256" s="2" t="n">
        <v>60</v>
      </c>
      <c r="G1256" s="2" t="n">
        <v>230</v>
      </c>
      <c r="H1256" t="inlineStr">
        <is>
          <t>208/230</t>
        </is>
      </c>
      <c r="I1256" s="2" t="n">
        <v>208</v>
      </c>
      <c r="J1256" s="2" t="n">
        <v>230</v>
      </c>
      <c r="L1256" s="3" t="n"/>
      <c r="M1256" s="3" t="n"/>
      <c r="N1256" s="3" t="n">
        <v>95.7</v>
      </c>
      <c r="O1256" s="3" t="n"/>
      <c r="P1256" s="3">
        <f>IF(L1256&lt;&gt;"",L1256/1.4,"")</f>
        <v/>
      </c>
      <c r="Q1256" s="3">
        <f>IF(L1256&lt;&gt;"",L1256/1.56,"")</f>
        <v/>
      </c>
      <c r="R1256" s="3">
        <f>IF(M1256&lt;&gt;"",M1256/1.4,"")</f>
        <v/>
      </c>
      <c r="S1256" s="3">
        <f>IF(M1256&lt;&gt;"",M1256/1.56,"")</f>
        <v/>
      </c>
      <c r="T1256" s="3">
        <f>IF(N1256&lt;&gt;"",N1256,IF(O1256&lt;&gt;"",O1256,IF(L1256&lt;&gt;"",L1256/1.56,IF(M1256&lt;&gt;"",M1256/1.56,""))))</f>
        <v/>
      </c>
      <c r="U1256" s="3" t="n">
        <v>470</v>
      </c>
      <c r="V1256" s="3" t="n">
        <v>292</v>
      </c>
      <c r="W1256" s="3" t="n"/>
      <c r="X1256" s="4" t="n"/>
      <c r="Y1256" s="5" t="n">
        <v>0.111</v>
      </c>
      <c r="Z1256" s="4">
        <f>IF(L1256&lt;&gt;"",SQRT(3)*G1256*L1256/1000,"")</f>
        <v/>
      </c>
      <c r="AA1256" t="inlineStr">
        <is>
          <t>Source=Copeland 2D/3D/4D/4R/6D/8D/9R compressors (pdf) p59; PWS_RLA=47.8</t>
        </is>
      </c>
      <c r="AB1256" t="inlineStr">
        <is>
          <t>Copeland_RLA_230_460_3ph_60Hz.xlsx</t>
        </is>
      </c>
      <c r="AC1256" t="inlineStr">
        <is>
          <t>Recip_2D-9R</t>
        </is>
      </c>
    </row>
    <row r="1257">
      <c r="A1257" t="inlineStr">
        <is>
          <t>COPELAND</t>
        </is>
      </c>
      <c r="B1257" t="inlineStr">
        <is>
          <t>6DF3F11ME-TSK</t>
        </is>
      </c>
      <c r="D1257" t="inlineStr">
        <is>
          <t>Reciprocating Semi-hermetic</t>
        </is>
      </c>
      <c r="E1257" s="2" t="n">
        <v>3</v>
      </c>
      <c r="F1257" s="2" t="n">
        <v>60</v>
      </c>
      <c r="G1257" s="2" t="n">
        <v>460</v>
      </c>
      <c r="H1257" t="inlineStr">
        <is>
          <t>460</t>
        </is>
      </c>
      <c r="I1257" s="2" t="n">
        <v>460</v>
      </c>
      <c r="J1257" s="2" t="n">
        <v>460</v>
      </c>
      <c r="L1257" s="3" t="n"/>
      <c r="M1257" s="3" t="n"/>
      <c r="N1257" s="3" t="n">
        <v>47.9</v>
      </c>
      <c r="O1257" s="3" t="n"/>
      <c r="P1257" s="3">
        <f>IF(L1257&lt;&gt;"",L1257/1.4,"")</f>
        <v/>
      </c>
      <c r="Q1257" s="3">
        <f>IF(L1257&lt;&gt;"",L1257/1.56,"")</f>
        <v/>
      </c>
      <c r="R1257" s="3">
        <f>IF(M1257&lt;&gt;"",M1257/1.4,"")</f>
        <v/>
      </c>
      <c r="S1257" s="3">
        <f>IF(M1257&lt;&gt;"",M1257/1.56,"")</f>
        <v/>
      </c>
      <c r="T1257" s="3">
        <f>IF(N1257&lt;&gt;"",N1257,IF(O1257&lt;&gt;"",O1257,IF(L1257&lt;&gt;"",L1257/1.56,IF(M1257&lt;&gt;"",M1257/1.56,""))))</f>
        <v/>
      </c>
      <c r="U1257" s="3" t="n">
        <v>235</v>
      </c>
      <c r="V1257" s="3" t="n"/>
      <c r="W1257" s="3" t="n"/>
      <c r="X1257" s="4" t="n"/>
      <c r="Y1257" s="5" t="n">
        <v>0.444</v>
      </c>
      <c r="Z1257" s="4">
        <f>IF(L1257&lt;&gt;"",SQRT(3)*G1257*L1257/1000,"")</f>
        <v/>
      </c>
      <c r="AA1257" t="inlineStr">
        <is>
          <t>Source=Copeland 2D/3D/4D/4R/6D/8D/9R compressors (pdf) p59</t>
        </is>
      </c>
      <c r="AB1257" t="inlineStr">
        <is>
          <t>Copeland_RLA_230_460_3ph_60Hz.xlsx</t>
        </is>
      </c>
      <c r="AC1257" t="inlineStr">
        <is>
          <t>Recip_2D-9R</t>
        </is>
      </c>
    </row>
    <row r="1258">
      <c r="A1258" t="inlineStr">
        <is>
          <t>COPELAND</t>
        </is>
      </c>
      <c r="B1258" t="inlineStr">
        <is>
          <t>6DF3F11ML-FSD</t>
        </is>
      </c>
      <c r="D1258" t="inlineStr">
        <is>
          <t>Reciprocating Semi-hermetic</t>
        </is>
      </c>
      <c r="E1258" s="2" t="n">
        <v>3</v>
      </c>
      <c r="F1258" s="2" t="n">
        <v>60</v>
      </c>
      <c r="G1258" s="2" t="n">
        <v>460</v>
      </c>
      <c r="H1258" t="inlineStr">
        <is>
          <t>460</t>
        </is>
      </c>
      <c r="I1258" s="2" t="n">
        <v>460</v>
      </c>
      <c r="J1258" s="2" t="n">
        <v>460</v>
      </c>
      <c r="L1258" s="3" t="n"/>
      <c r="M1258" s="3" t="n"/>
      <c r="N1258" s="3" t="n">
        <v>47.4</v>
      </c>
      <c r="O1258" s="3" t="n"/>
      <c r="P1258" s="3">
        <f>IF(L1258&lt;&gt;"",L1258/1.4,"")</f>
        <v/>
      </c>
      <c r="Q1258" s="3">
        <f>IF(L1258&lt;&gt;"",L1258/1.56,"")</f>
        <v/>
      </c>
      <c r="R1258" s="3">
        <f>IF(M1258&lt;&gt;"",M1258/1.4,"")</f>
        <v/>
      </c>
      <c r="S1258" s="3">
        <f>IF(M1258&lt;&gt;"",M1258/1.56,"")</f>
        <v/>
      </c>
      <c r="T1258" s="3">
        <f>IF(N1258&lt;&gt;"",N1258,IF(O1258&lt;&gt;"",O1258,IF(L1258&lt;&gt;"",L1258/1.56,IF(M1258&lt;&gt;"",M1258/1.56,""))))</f>
        <v/>
      </c>
      <c r="U1258" s="3" t="n">
        <v>235</v>
      </c>
      <c r="V1258" s="3" t="n">
        <v>141</v>
      </c>
      <c r="W1258" s="3" t="n"/>
      <c r="X1258" s="4" t="n"/>
      <c r="Y1258" s="5" t="n">
        <v>0.45</v>
      </c>
      <c r="Z1258" s="4">
        <f>IF(L1258&lt;&gt;"",SQRT(3)*G1258*L1258/1000,"")</f>
        <v/>
      </c>
      <c r="AA1258" t="inlineStr">
        <is>
          <t>Source=Copeland 2D/3D/4D/4R/6D/8D/9R compressors (pdf) p59; PWS_RLA=23.7</t>
        </is>
      </c>
      <c r="AB1258" t="inlineStr">
        <is>
          <t>Copeland_RLA_230_460_3ph_60Hz.xlsx</t>
        </is>
      </c>
      <c r="AC1258" t="inlineStr">
        <is>
          <t>Recip_2D-9R</t>
        </is>
      </c>
    </row>
    <row r="1259">
      <c r="A1259" t="inlineStr">
        <is>
          <t>COPELAND</t>
        </is>
      </c>
      <c r="B1259" t="inlineStr">
        <is>
          <t>6DF3F11ML-TSK</t>
        </is>
      </c>
      <c r="D1259" t="inlineStr">
        <is>
          <t>Reciprocating Semi-hermetic</t>
        </is>
      </c>
      <c r="E1259" s="2" t="n">
        <v>3</v>
      </c>
      <c r="F1259" s="2" t="n">
        <v>60</v>
      </c>
      <c r="G1259" s="2" t="n">
        <v>230</v>
      </c>
      <c r="H1259" t="inlineStr">
        <is>
          <t>208/230</t>
        </is>
      </c>
      <c r="I1259" s="2" t="n">
        <v>208</v>
      </c>
      <c r="J1259" s="2" t="n">
        <v>230</v>
      </c>
      <c r="L1259" s="3" t="n"/>
      <c r="M1259" s="3" t="n"/>
      <c r="N1259" s="3" t="n">
        <v>95.7</v>
      </c>
      <c r="O1259" s="3" t="n"/>
      <c r="P1259" s="3">
        <f>IF(L1259&lt;&gt;"",L1259/1.4,"")</f>
        <v/>
      </c>
      <c r="Q1259" s="3">
        <f>IF(L1259&lt;&gt;"",L1259/1.56,"")</f>
        <v/>
      </c>
      <c r="R1259" s="3">
        <f>IF(M1259&lt;&gt;"",M1259/1.4,"")</f>
        <v/>
      </c>
      <c r="S1259" s="3">
        <f>IF(M1259&lt;&gt;"",M1259/1.56,"")</f>
        <v/>
      </c>
      <c r="T1259" s="3">
        <f>IF(N1259&lt;&gt;"",N1259,IF(O1259&lt;&gt;"",O1259,IF(L1259&lt;&gt;"",L1259/1.56,IF(M1259&lt;&gt;"",M1259/1.56,""))))</f>
        <v/>
      </c>
      <c r="U1259" s="3" t="n">
        <v>470</v>
      </c>
      <c r="V1259" s="3" t="n">
        <v>292</v>
      </c>
      <c r="W1259" s="3" t="n"/>
      <c r="X1259" s="4" t="n"/>
      <c r="Y1259" s="5" t="n">
        <v>0.111</v>
      </c>
      <c r="Z1259" s="4">
        <f>IF(L1259&lt;&gt;"",SQRT(3)*G1259*L1259/1000,"")</f>
        <v/>
      </c>
      <c r="AA1259" t="inlineStr">
        <is>
          <t>Source=Copeland 2D/3D/4D/4R/6D/8D/9R compressors (pdf) p59; PWS_RLA=47.8</t>
        </is>
      </c>
      <c r="AB1259" t="inlineStr">
        <is>
          <t>Copeland_RLA_230_460_3ph_60Hz.xlsx</t>
        </is>
      </c>
      <c r="AC1259" t="inlineStr">
        <is>
          <t>Recip_2D-9R</t>
        </is>
      </c>
    </row>
    <row r="1260">
      <c r="A1260" t="inlineStr">
        <is>
          <t>COPELAND</t>
        </is>
      </c>
      <c r="B1260" t="inlineStr">
        <is>
          <t>6DF3F11ML-TSK</t>
        </is>
      </c>
      <c r="D1260" t="inlineStr">
        <is>
          <t>Reciprocating Semi-hermetic</t>
        </is>
      </c>
      <c r="E1260" s="2" t="n">
        <v>3</v>
      </c>
      <c r="F1260" s="2" t="n">
        <v>60</v>
      </c>
      <c r="G1260" s="2" t="n">
        <v>460</v>
      </c>
      <c r="H1260" t="inlineStr">
        <is>
          <t>460</t>
        </is>
      </c>
      <c r="I1260" s="2" t="n">
        <v>460</v>
      </c>
      <c r="J1260" s="2" t="n">
        <v>460</v>
      </c>
      <c r="L1260" s="3" t="n"/>
      <c r="M1260" s="3" t="n"/>
      <c r="N1260" s="3" t="n">
        <v>47.9</v>
      </c>
      <c r="O1260" s="3" t="n"/>
      <c r="P1260" s="3">
        <f>IF(L1260&lt;&gt;"",L1260/1.4,"")</f>
        <v/>
      </c>
      <c r="Q1260" s="3">
        <f>IF(L1260&lt;&gt;"",L1260/1.56,"")</f>
        <v/>
      </c>
      <c r="R1260" s="3">
        <f>IF(M1260&lt;&gt;"",M1260/1.4,"")</f>
        <v/>
      </c>
      <c r="S1260" s="3">
        <f>IF(M1260&lt;&gt;"",M1260/1.56,"")</f>
        <v/>
      </c>
      <c r="T1260" s="3">
        <f>IF(N1260&lt;&gt;"",N1260,IF(O1260&lt;&gt;"",O1260,IF(L1260&lt;&gt;"",L1260/1.56,IF(M1260&lt;&gt;"",M1260/1.56,""))))</f>
        <v/>
      </c>
      <c r="U1260" s="3" t="n">
        <v>235</v>
      </c>
      <c r="V1260" s="3" t="n"/>
      <c r="W1260" s="3" t="n"/>
      <c r="X1260" s="4" t="n"/>
      <c r="Y1260" s="5" t="n">
        <v>0.444</v>
      </c>
      <c r="Z1260" s="4">
        <f>IF(L1260&lt;&gt;"",SQRT(3)*G1260*L1260/1000,"")</f>
        <v/>
      </c>
      <c r="AA1260" t="inlineStr">
        <is>
          <t>Source=Copeland 2D/3D/4D/4R/6D/8D/9R compressors (pdf) p59</t>
        </is>
      </c>
      <c r="AB1260" t="inlineStr">
        <is>
          <t>Copeland_RLA_230_460_3ph_60Hz.xlsx</t>
        </is>
      </c>
      <c r="AC1260" t="inlineStr">
        <is>
          <t>Recip_2D-9R</t>
        </is>
      </c>
    </row>
    <row r="1261">
      <c r="A1261" t="inlineStr">
        <is>
          <t>COPELAND</t>
        </is>
      </c>
      <c r="B1261" t="inlineStr">
        <is>
          <t>6DFG-3000-FSD</t>
        </is>
      </c>
      <c r="D1261" t="inlineStr">
        <is>
          <t>Reciprocating Semi-hermetic</t>
        </is>
      </c>
      <c r="E1261" s="2" t="n">
        <v>3</v>
      </c>
      <c r="F1261" s="2" t="n">
        <v>60</v>
      </c>
      <c r="G1261" s="2" t="n">
        <v>460</v>
      </c>
      <c r="H1261" t="inlineStr">
        <is>
          <t>460</t>
        </is>
      </c>
      <c r="I1261" s="2" t="n">
        <v>460</v>
      </c>
      <c r="J1261" s="2" t="n">
        <v>460</v>
      </c>
      <c r="L1261" s="3" t="n"/>
      <c r="M1261" s="3" t="n"/>
      <c r="N1261" s="3" t="n">
        <v>42.9</v>
      </c>
      <c r="O1261" s="3" t="n"/>
      <c r="P1261" s="3">
        <f>IF(L1261&lt;&gt;"",L1261/1.4,"")</f>
        <v/>
      </c>
      <c r="Q1261" s="3">
        <f>IF(L1261&lt;&gt;"",L1261/1.56,"")</f>
        <v/>
      </c>
      <c r="R1261" s="3">
        <f>IF(M1261&lt;&gt;"",M1261/1.4,"")</f>
        <v/>
      </c>
      <c r="S1261" s="3">
        <f>IF(M1261&lt;&gt;"",M1261/1.56,"")</f>
        <v/>
      </c>
      <c r="T1261" s="3">
        <f>IF(N1261&lt;&gt;"",N1261,IF(O1261&lt;&gt;"",O1261,IF(L1261&lt;&gt;"",L1261/1.56,IF(M1261&lt;&gt;"",M1261/1.56,""))))</f>
        <v/>
      </c>
      <c r="U1261" s="3" t="n">
        <v>235</v>
      </c>
      <c r="V1261" s="3" t="n">
        <v>141</v>
      </c>
      <c r="W1261" s="3" t="n"/>
      <c r="X1261" s="4" t="n"/>
      <c r="Y1261" s="5" t="n">
        <v>0.45</v>
      </c>
      <c r="Z1261" s="4">
        <f>IF(L1261&lt;&gt;"",SQRT(3)*G1261*L1261/1000,"")</f>
        <v/>
      </c>
      <c r="AA1261" t="inlineStr">
        <is>
          <t>Source=Copeland 2D/3D/4D/4R/6D/8D/9R compressors (pdf) p59; PWS_RLA=21.4</t>
        </is>
      </c>
      <c r="AB1261" t="inlineStr">
        <is>
          <t>Copeland_RLA_230_460_3ph_60Hz.xlsx</t>
        </is>
      </c>
      <c r="AC1261" t="inlineStr">
        <is>
          <t>Recip_2D-9R</t>
        </is>
      </c>
    </row>
    <row r="1262">
      <c r="A1262" t="inlineStr">
        <is>
          <t>COPELAND</t>
        </is>
      </c>
      <c r="B1262" t="inlineStr">
        <is>
          <t>6DFG-3000-TSK</t>
        </is>
      </c>
      <c r="D1262" t="inlineStr">
        <is>
          <t>Reciprocating Semi-hermetic</t>
        </is>
      </c>
      <c r="E1262" s="2" t="n">
        <v>3</v>
      </c>
      <c r="F1262" s="2" t="n">
        <v>60</v>
      </c>
      <c r="G1262" s="2" t="n">
        <v>230</v>
      </c>
      <c r="H1262" t="inlineStr">
        <is>
          <t>208/230</t>
        </is>
      </c>
      <c r="I1262" s="2" t="n">
        <v>208</v>
      </c>
      <c r="J1262" s="2" t="n">
        <v>230</v>
      </c>
      <c r="L1262" s="3" t="n"/>
      <c r="M1262" s="3" t="n"/>
      <c r="N1262" s="3" t="n">
        <v>95.59999999999999</v>
      </c>
      <c r="O1262" s="3" t="n"/>
      <c r="P1262" s="3">
        <f>IF(L1262&lt;&gt;"",L1262/1.4,"")</f>
        <v/>
      </c>
      <c r="Q1262" s="3">
        <f>IF(L1262&lt;&gt;"",L1262/1.56,"")</f>
        <v/>
      </c>
      <c r="R1262" s="3">
        <f>IF(M1262&lt;&gt;"",M1262/1.4,"")</f>
        <v/>
      </c>
      <c r="S1262" s="3">
        <f>IF(M1262&lt;&gt;"",M1262/1.56,"")</f>
        <v/>
      </c>
      <c r="T1262" s="3">
        <f>IF(N1262&lt;&gt;"",N1262,IF(O1262&lt;&gt;"",O1262,IF(L1262&lt;&gt;"",L1262/1.56,IF(M1262&lt;&gt;"",M1262/1.56,""))))</f>
        <v/>
      </c>
      <c r="U1262" s="3" t="n">
        <v>470</v>
      </c>
      <c r="V1262" s="3" t="n">
        <v>292</v>
      </c>
      <c r="W1262" s="3" t="n"/>
      <c r="X1262" s="4" t="n"/>
      <c r="Y1262" s="5" t="n">
        <v>0.111</v>
      </c>
      <c r="Z1262" s="4">
        <f>IF(L1262&lt;&gt;"",SQRT(3)*G1262*L1262/1000,"")</f>
        <v/>
      </c>
      <c r="AA1262" t="inlineStr">
        <is>
          <t>Source=Copeland 2D/3D/4D/4R/6D/8D/9R compressors (pdf) p59; PWS_RLA=47.8</t>
        </is>
      </c>
      <c r="AB1262" t="inlineStr">
        <is>
          <t>Copeland_RLA_230_460_3ph_60Hz.xlsx</t>
        </is>
      </c>
      <c r="AC1262" t="inlineStr">
        <is>
          <t>Recip_2D-9R</t>
        </is>
      </c>
    </row>
    <row r="1263">
      <c r="A1263" t="inlineStr">
        <is>
          <t>COPELAND</t>
        </is>
      </c>
      <c r="B1263" t="inlineStr">
        <is>
          <t>6DFG-3000-TSK</t>
        </is>
      </c>
      <c r="D1263" t="inlineStr">
        <is>
          <t>Reciprocating Semi-hermetic</t>
        </is>
      </c>
      <c r="E1263" s="2" t="n">
        <v>3</v>
      </c>
      <c r="F1263" s="2" t="n">
        <v>60</v>
      </c>
      <c r="G1263" s="2" t="n">
        <v>460</v>
      </c>
      <c r="H1263" t="inlineStr">
        <is>
          <t>460</t>
        </is>
      </c>
      <c r="I1263" s="2" t="n">
        <v>460</v>
      </c>
      <c r="J1263" s="2" t="n">
        <v>460</v>
      </c>
      <c r="L1263" s="3" t="n"/>
      <c r="M1263" s="3" t="n"/>
      <c r="N1263" s="3" t="n">
        <v>47.8</v>
      </c>
      <c r="O1263" s="3" t="n"/>
      <c r="P1263" s="3">
        <f>IF(L1263&lt;&gt;"",L1263/1.4,"")</f>
        <v/>
      </c>
      <c r="Q1263" s="3">
        <f>IF(L1263&lt;&gt;"",L1263/1.56,"")</f>
        <v/>
      </c>
      <c r="R1263" s="3">
        <f>IF(M1263&lt;&gt;"",M1263/1.4,"")</f>
        <v/>
      </c>
      <c r="S1263" s="3">
        <f>IF(M1263&lt;&gt;"",M1263/1.56,"")</f>
        <v/>
      </c>
      <c r="T1263" s="3">
        <f>IF(N1263&lt;&gt;"",N1263,IF(O1263&lt;&gt;"",O1263,IF(L1263&lt;&gt;"",L1263/1.56,IF(M1263&lt;&gt;"",M1263/1.56,""))))</f>
        <v/>
      </c>
      <c r="U1263" s="3" t="n">
        <v>235</v>
      </c>
      <c r="V1263" s="3" t="n"/>
      <c r="W1263" s="3" t="n"/>
      <c r="X1263" s="4" t="n"/>
      <c r="Y1263" s="5" t="n">
        <v>0.444</v>
      </c>
      <c r="Z1263" s="4">
        <f>IF(L1263&lt;&gt;"",SQRT(3)*G1263*L1263/1000,"")</f>
        <v/>
      </c>
      <c r="AA1263" t="inlineStr">
        <is>
          <t>Source=Copeland 2D/3D/4D/4R/6D/8D/9R compressors (pdf) p59</t>
        </is>
      </c>
      <c r="AB1263" t="inlineStr">
        <is>
          <t>Copeland_RLA_230_460_3ph_60Hz.xlsx</t>
        </is>
      </c>
      <c r="AC1263" t="inlineStr">
        <is>
          <t>Recip_2D-9R</t>
        </is>
      </c>
    </row>
    <row r="1264">
      <c r="A1264" t="inlineStr">
        <is>
          <t>COPELAND</t>
        </is>
      </c>
      <c r="B1264" t="inlineStr">
        <is>
          <t>6DFG-300E-FSD</t>
        </is>
      </c>
      <c r="D1264" t="inlineStr">
        <is>
          <t>Reciprocating Semi-hermetic</t>
        </is>
      </c>
      <c r="E1264" s="2" t="n">
        <v>3</v>
      </c>
      <c r="F1264" s="2" t="n">
        <v>60</v>
      </c>
      <c r="G1264" s="2" t="n">
        <v>460</v>
      </c>
      <c r="H1264" t="inlineStr">
        <is>
          <t>460</t>
        </is>
      </c>
      <c r="I1264" s="2" t="n">
        <v>460</v>
      </c>
      <c r="J1264" s="2" t="n">
        <v>460</v>
      </c>
      <c r="L1264" s="3" t="n"/>
      <c r="M1264" s="3" t="n"/>
      <c r="N1264" s="3" t="n">
        <v>42.9</v>
      </c>
      <c r="O1264" s="3" t="n"/>
      <c r="P1264" s="3">
        <f>IF(L1264&lt;&gt;"",L1264/1.4,"")</f>
        <v/>
      </c>
      <c r="Q1264" s="3">
        <f>IF(L1264&lt;&gt;"",L1264/1.56,"")</f>
        <v/>
      </c>
      <c r="R1264" s="3">
        <f>IF(M1264&lt;&gt;"",M1264/1.4,"")</f>
        <v/>
      </c>
      <c r="S1264" s="3">
        <f>IF(M1264&lt;&gt;"",M1264/1.56,"")</f>
        <v/>
      </c>
      <c r="T1264" s="3">
        <f>IF(N1264&lt;&gt;"",N1264,IF(O1264&lt;&gt;"",O1264,IF(L1264&lt;&gt;"",L1264/1.56,IF(M1264&lt;&gt;"",M1264/1.56,""))))</f>
        <v/>
      </c>
      <c r="U1264" s="3" t="n">
        <v>235</v>
      </c>
      <c r="V1264" s="3" t="n">
        <v>141</v>
      </c>
      <c r="W1264" s="3" t="n"/>
      <c r="X1264" s="4" t="n"/>
      <c r="Y1264" s="5" t="n">
        <v>0.45</v>
      </c>
      <c r="Z1264" s="4">
        <f>IF(L1264&lt;&gt;"",SQRT(3)*G1264*L1264/1000,"")</f>
        <v/>
      </c>
      <c r="AA1264" t="inlineStr">
        <is>
          <t>Source=Copeland 2D/3D/4D/4R/6D/8D/9R compressors (pdf) p59; PWS_RLA=21.4</t>
        </is>
      </c>
      <c r="AB1264" t="inlineStr">
        <is>
          <t>Copeland_RLA_230_460_3ph_60Hz.xlsx</t>
        </is>
      </c>
      <c r="AC1264" t="inlineStr">
        <is>
          <t>Recip_2D-9R</t>
        </is>
      </c>
    </row>
    <row r="1265">
      <c r="A1265" t="inlineStr">
        <is>
          <t>COPELAND</t>
        </is>
      </c>
      <c r="B1265" t="inlineStr">
        <is>
          <t>6DG3-3500-FSD</t>
        </is>
      </c>
      <c r="D1265" t="inlineStr">
        <is>
          <t>Reciprocating Semi-hermetic</t>
        </is>
      </c>
      <c r="E1265" s="2" t="n">
        <v>3</v>
      </c>
      <c r="F1265" s="2" t="n">
        <v>60</v>
      </c>
      <c r="G1265" s="2" t="n">
        <v>460</v>
      </c>
      <c r="H1265" t="inlineStr">
        <is>
          <t>460</t>
        </is>
      </c>
      <c r="I1265" s="2" t="n">
        <v>460</v>
      </c>
      <c r="J1265" s="2" t="n">
        <v>460</v>
      </c>
      <c r="L1265" s="3" t="n"/>
      <c r="M1265" s="3" t="n"/>
      <c r="N1265" s="3" t="n">
        <v>66</v>
      </c>
      <c r="O1265" s="3" t="n"/>
      <c r="P1265" s="3">
        <f>IF(L1265&lt;&gt;"",L1265/1.4,"")</f>
        <v/>
      </c>
      <c r="Q1265" s="3">
        <f>IF(L1265&lt;&gt;"",L1265/1.56,"")</f>
        <v/>
      </c>
      <c r="R1265" s="3">
        <f>IF(M1265&lt;&gt;"",M1265/1.4,"")</f>
        <v/>
      </c>
      <c r="S1265" s="3">
        <f>IF(M1265&lt;&gt;"",M1265/1.56,"")</f>
        <v/>
      </c>
      <c r="T1265" s="3">
        <f>IF(N1265&lt;&gt;"",N1265,IF(O1265&lt;&gt;"",O1265,IF(L1265&lt;&gt;"",L1265/1.56,IF(M1265&lt;&gt;"",M1265/1.56,""))))</f>
        <v/>
      </c>
      <c r="U1265" s="3" t="n">
        <v>315</v>
      </c>
      <c r="V1265" s="3" t="n">
        <v>195</v>
      </c>
      <c r="W1265" s="3" t="n"/>
      <c r="X1265" s="4" t="n"/>
      <c r="Y1265" s="5" t="n">
        <v>0.32</v>
      </c>
      <c r="Z1265" s="4">
        <f>IF(L1265&lt;&gt;"",SQRT(3)*G1265*L1265/1000,"")</f>
        <v/>
      </c>
      <c r="AA1265" t="inlineStr">
        <is>
          <t>Source=Copeland 2D/3D/4D/4R/6D/8D/9R compressors (pdf) p59; PWS_RLA=33.0</t>
        </is>
      </c>
      <c r="AB1265" t="inlineStr">
        <is>
          <t>Copeland_RLA_230_460_3ph_60Hz.xlsx</t>
        </is>
      </c>
      <c r="AC1265" t="inlineStr">
        <is>
          <t>Recip_2D-9R</t>
        </is>
      </c>
    </row>
    <row r="1266">
      <c r="A1266" t="inlineStr">
        <is>
          <t>COPELAND</t>
        </is>
      </c>
      <c r="B1266" t="inlineStr">
        <is>
          <t>6DG3-3500-FXD</t>
        </is>
      </c>
      <c r="D1266" t="inlineStr">
        <is>
          <t>Reciprocating Semi-hermetic</t>
        </is>
      </c>
      <c r="E1266" s="2" t="n">
        <v>3</v>
      </c>
      <c r="F1266" s="2" t="n">
        <v>60</v>
      </c>
      <c r="G1266" s="2" t="n">
        <v>460</v>
      </c>
      <c r="H1266" t="inlineStr">
        <is>
          <t>460</t>
        </is>
      </c>
      <c r="I1266" s="2" t="n">
        <v>460</v>
      </c>
      <c r="J1266" s="2" t="n">
        <v>460</v>
      </c>
      <c r="L1266" s="3" t="n"/>
      <c r="M1266" s="3" t="n"/>
      <c r="N1266" s="3" t="n"/>
      <c r="O1266" s="3" t="n"/>
      <c r="P1266" s="3">
        <f>IF(L1266&lt;&gt;"",L1266/1.4,"")</f>
        <v/>
      </c>
      <c r="Q1266" s="3">
        <f>IF(L1266&lt;&gt;"",L1266/1.56,"")</f>
        <v/>
      </c>
      <c r="R1266" s="3">
        <f>IF(M1266&lt;&gt;"",M1266/1.4,"")</f>
        <v/>
      </c>
      <c r="S1266" s="3">
        <f>IF(M1266&lt;&gt;"",M1266/1.56,"")</f>
        <v/>
      </c>
      <c r="T1266" s="3">
        <f>IF(N1266&lt;&gt;"",N1266,IF(O1266&lt;&gt;"",O1266,IF(L1266&lt;&gt;"",L1266/1.56,IF(M1266&lt;&gt;"",M1266/1.56,""))))</f>
        <v/>
      </c>
      <c r="U1266" s="3" t="n">
        <v>315</v>
      </c>
      <c r="V1266" s="3" t="n">
        <v>195</v>
      </c>
      <c r="W1266" s="3" t="n"/>
      <c r="X1266" s="4" t="n"/>
      <c r="Y1266" s="5" t="n">
        <v>0.32</v>
      </c>
      <c r="Z1266" s="4">
        <f>IF(L1266&lt;&gt;"",SQRT(3)*G1266*L1266/1000,"")</f>
        <v/>
      </c>
      <c r="AA1266" t="inlineStr">
        <is>
          <t>Source=Copeland 2D/3D/4D/4R/6D/8D/9R compressors (pdf) p59</t>
        </is>
      </c>
      <c r="AB1266" t="inlineStr">
        <is>
          <t>Copeland_RLA_230_460_3ph_60Hz.xlsx</t>
        </is>
      </c>
      <c r="AC1266" t="inlineStr">
        <is>
          <t>Recip_2D-9R</t>
        </is>
      </c>
    </row>
    <row r="1267">
      <c r="A1267" t="inlineStr">
        <is>
          <t>COPELAND</t>
        </is>
      </c>
      <c r="B1267" t="inlineStr">
        <is>
          <t>6DG3-3500-TSN</t>
        </is>
      </c>
      <c r="D1267" t="inlineStr">
        <is>
          <t>Reciprocating Semi-hermetic</t>
        </is>
      </c>
      <c r="E1267" s="2" t="n">
        <v>3</v>
      </c>
      <c r="F1267" s="2" t="n">
        <v>60</v>
      </c>
      <c r="G1267" s="2" t="n">
        <v>230</v>
      </c>
      <c r="H1267" t="inlineStr">
        <is>
          <t>230</t>
        </is>
      </c>
      <c r="I1267" s="2" t="n">
        <v>230</v>
      </c>
      <c r="J1267" s="2" t="n">
        <v>230</v>
      </c>
      <c r="L1267" s="3" t="n"/>
      <c r="M1267" s="3" t="n"/>
      <c r="N1267" s="3" t="n">
        <v>125</v>
      </c>
      <c r="O1267" s="3" t="n"/>
      <c r="P1267" s="3">
        <f>IF(L1267&lt;&gt;"",L1267/1.4,"")</f>
        <v/>
      </c>
      <c r="Q1267" s="3">
        <f>IF(L1267&lt;&gt;"",L1267/1.56,"")</f>
        <v/>
      </c>
      <c r="R1267" s="3">
        <f>IF(M1267&lt;&gt;"",M1267/1.4,"")</f>
        <v/>
      </c>
      <c r="S1267" s="3">
        <f>IF(M1267&lt;&gt;"",M1267/1.56,"")</f>
        <v/>
      </c>
      <c r="T1267" s="3">
        <f>IF(N1267&lt;&gt;"",N1267,IF(O1267&lt;&gt;"",O1267,IF(L1267&lt;&gt;"",L1267/1.56,IF(M1267&lt;&gt;"",M1267/1.56,""))))</f>
        <v/>
      </c>
      <c r="U1267" s="3" t="n">
        <v>594</v>
      </c>
      <c r="V1267" s="3" t="n">
        <v>340</v>
      </c>
      <c r="W1267" s="3" t="n"/>
      <c r="X1267" s="4" t="n"/>
      <c r="Y1267" s="5" t="n">
        <v>0.08500000000000001</v>
      </c>
      <c r="Z1267" s="4">
        <f>IF(L1267&lt;&gt;"",SQRT(3)*G1267*L1267/1000,"")</f>
        <v/>
      </c>
      <c r="AA1267" t="inlineStr">
        <is>
          <t>Source=Copeland 2D/3D/4D/4R/6D/8D/9R compressors (pdf) p59; PWS_RLA=62.5</t>
        </is>
      </c>
      <c r="AB1267" t="inlineStr">
        <is>
          <t>Copeland_RLA_230_460_3ph_60Hz.xlsx</t>
        </is>
      </c>
      <c r="AC1267" t="inlineStr">
        <is>
          <t>Recip_2D-9R</t>
        </is>
      </c>
    </row>
    <row r="1268">
      <c r="A1268" t="inlineStr">
        <is>
          <t>COPELAND</t>
        </is>
      </c>
      <c r="B1268" t="inlineStr">
        <is>
          <t>6DG3-3500-TSN</t>
        </is>
      </c>
      <c r="D1268" t="inlineStr">
        <is>
          <t>Reciprocating Semi-hermetic</t>
        </is>
      </c>
      <c r="E1268" s="2" t="n">
        <v>3</v>
      </c>
      <c r="F1268" s="2" t="n">
        <v>60</v>
      </c>
      <c r="G1268" s="2" t="n">
        <v>460</v>
      </c>
      <c r="H1268" t="inlineStr">
        <is>
          <t>460</t>
        </is>
      </c>
      <c r="I1268" s="2" t="n">
        <v>460</v>
      </c>
      <c r="J1268" s="2" t="n">
        <v>460</v>
      </c>
      <c r="L1268" s="3" t="n"/>
      <c r="M1268" s="3" t="n"/>
      <c r="N1268" s="3" t="n">
        <v>62.5</v>
      </c>
      <c r="O1268" s="3" t="n"/>
      <c r="P1268" s="3">
        <f>IF(L1268&lt;&gt;"",L1268/1.4,"")</f>
        <v/>
      </c>
      <c r="Q1268" s="3">
        <f>IF(L1268&lt;&gt;"",L1268/1.56,"")</f>
        <v/>
      </c>
      <c r="R1268" s="3">
        <f>IF(M1268&lt;&gt;"",M1268/1.4,"")</f>
        <v/>
      </c>
      <c r="S1268" s="3">
        <f>IF(M1268&lt;&gt;"",M1268/1.56,"")</f>
        <v/>
      </c>
      <c r="T1268" s="3">
        <f>IF(N1268&lt;&gt;"",N1268,IF(O1268&lt;&gt;"",O1268,IF(L1268&lt;&gt;"",L1268/1.56,IF(M1268&lt;&gt;"",M1268/1.56,""))))</f>
        <v/>
      </c>
      <c r="U1268" s="3" t="n">
        <v>297</v>
      </c>
      <c r="V1268" s="3" t="n"/>
      <c r="W1268" s="3" t="n"/>
      <c r="X1268" s="4" t="n"/>
      <c r="Y1268" s="5" t="n">
        <v>0.34</v>
      </c>
      <c r="Z1268" s="4">
        <f>IF(L1268&lt;&gt;"",SQRT(3)*G1268*L1268/1000,"")</f>
        <v/>
      </c>
      <c r="AA1268" t="inlineStr">
        <is>
          <t>Source=Copeland 2D/3D/4D/4R/6D/8D/9R compressors (pdf) p59</t>
        </is>
      </c>
      <c r="AB1268" t="inlineStr">
        <is>
          <t>Copeland_RLA_230_460_3ph_60Hz.xlsx</t>
        </is>
      </c>
      <c r="AC1268" t="inlineStr">
        <is>
          <t>Recip_2D-9R</t>
        </is>
      </c>
    </row>
    <row r="1269">
      <c r="A1269" t="inlineStr">
        <is>
          <t>COPELAND</t>
        </is>
      </c>
      <c r="B1269" t="inlineStr">
        <is>
          <t>6DG3-3500-TXN</t>
        </is>
      </c>
      <c r="D1269" t="inlineStr">
        <is>
          <t>Reciprocating Semi-hermetic</t>
        </is>
      </c>
      <c r="E1269" s="2" t="n">
        <v>3</v>
      </c>
      <c r="F1269" s="2" t="n">
        <v>60</v>
      </c>
      <c r="G1269" s="2" t="n">
        <v>230</v>
      </c>
      <c r="H1269" t="inlineStr">
        <is>
          <t>230</t>
        </is>
      </c>
      <c r="I1269" s="2" t="n">
        <v>230</v>
      </c>
      <c r="J1269" s="2" t="n">
        <v>230</v>
      </c>
      <c r="L1269" s="3" t="n"/>
      <c r="M1269" s="3" t="n"/>
      <c r="N1269" s="3" t="n"/>
      <c r="O1269" s="3" t="n"/>
      <c r="P1269" s="3">
        <f>IF(L1269&lt;&gt;"",L1269/1.4,"")</f>
        <v/>
      </c>
      <c r="Q1269" s="3">
        <f>IF(L1269&lt;&gt;"",L1269/1.56,"")</f>
        <v/>
      </c>
      <c r="R1269" s="3">
        <f>IF(M1269&lt;&gt;"",M1269/1.4,"")</f>
        <v/>
      </c>
      <c r="S1269" s="3">
        <f>IF(M1269&lt;&gt;"",M1269/1.56,"")</f>
        <v/>
      </c>
      <c r="T1269" s="3">
        <f>IF(N1269&lt;&gt;"",N1269,IF(O1269&lt;&gt;"",O1269,IF(L1269&lt;&gt;"",L1269/1.56,IF(M1269&lt;&gt;"",M1269/1.56,""))))</f>
        <v/>
      </c>
      <c r="U1269" s="3" t="n">
        <v>594</v>
      </c>
      <c r="V1269" s="3" t="n">
        <v>340</v>
      </c>
      <c r="W1269" s="3" t="n"/>
      <c r="X1269" s="4" t="n"/>
      <c r="Y1269" s="5" t="n">
        <v>0.08500000000000001</v>
      </c>
      <c r="Z1269" s="4">
        <f>IF(L1269&lt;&gt;"",SQRT(3)*G1269*L1269/1000,"")</f>
        <v/>
      </c>
      <c r="AA1269" t="inlineStr">
        <is>
          <t>Source=Copeland 2D/3D/4D/4R/6D/8D/9R compressors (pdf) p60</t>
        </is>
      </c>
      <c r="AB1269" t="inlineStr">
        <is>
          <t>Copeland_RLA_230_460_3ph_60Hz.xlsx</t>
        </is>
      </c>
      <c r="AC1269" t="inlineStr">
        <is>
          <t>Recip_2D-9R</t>
        </is>
      </c>
    </row>
    <row r="1270">
      <c r="A1270" t="inlineStr">
        <is>
          <t>COPELAND</t>
        </is>
      </c>
      <c r="B1270" t="inlineStr">
        <is>
          <t>6DG3-3500-TXN</t>
        </is>
      </c>
      <c r="D1270" t="inlineStr">
        <is>
          <t>Reciprocating Semi-hermetic</t>
        </is>
      </c>
      <c r="E1270" s="2" t="n">
        <v>3</v>
      </c>
      <c r="F1270" s="2" t="n">
        <v>60</v>
      </c>
      <c r="G1270" s="2" t="n">
        <v>460</v>
      </c>
      <c r="H1270" t="inlineStr">
        <is>
          <t>460</t>
        </is>
      </c>
      <c r="I1270" s="2" t="n">
        <v>460</v>
      </c>
      <c r="J1270" s="2" t="n">
        <v>460</v>
      </c>
      <c r="L1270" s="3" t="n"/>
      <c r="M1270" s="3" t="n"/>
      <c r="N1270" s="3" t="n"/>
      <c r="O1270" s="3" t="n"/>
      <c r="P1270" s="3">
        <f>IF(L1270&lt;&gt;"",L1270/1.4,"")</f>
        <v/>
      </c>
      <c r="Q1270" s="3">
        <f>IF(L1270&lt;&gt;"",L1270/1.56,"")</f>
        <v/>
      </c>
      <c r="R1270" s="3">
        <f>IF(M1270&lt;&gt;"",M1270/1.4,"")</f>
        <v/>
      </c>
      <c r="S1270" s="3">
        <f>IF(M1270&lt;&gt;"",M1270/1.56,"")</f>
        <v/>
      </c>
      <c r="T1270" s="3">
        <f>IF(N1270&lt;&gt;"",N1270,IF(O1270&lt;&gt;"",O1270,IF(L1270&lt;&gt;"",L1270/1.56,IF(M1270&lt;&gt;"",M1270/1.56,""))))</f>
        <v/>
      </c>
      <c r="U1270" s="3" t="n">
        <v>297</v>
      </c>
      <c r="V1270" s="3" t="n"/>
      <c r="W1270" s="3" t="n"/>
      <c r="X1270" s="4" t="n"/>
      <c r="Y1270" s="5" t="n">
        <v>0.34</v>
      </c>
      <c r="Z1270" s="4">
        <f>IF(L1270&lt;&gt;"",SQRT(3)*G1270*L1270/1000,"")</f>
        <v/>
      </c>
      <c r="AA1270" t="inlineStr">
        <is>
          <t>Source=Copeland 2D/3D/4D/4R/6D/8D/9R compressors (pdf) p60</t>
        </is>
      </c>
      <c r="AB1270" t="inlineStr">
        <is>
          <t>Copeland_RLA_230_460_3ph_60Hz.xlsx</t>
        </is>
      </c>
      <c r="AC1270" t="inlineStr">
        <is>
          <t>Recip_2D-9R</t>
        </is>
      </c>
    </row>
    <row r="1271">
      <c r="A1271" t="inlineStr">
        <is>
          <t>COPELAND</t>
        </is>
      </c>
      <c r="B1271" t="inlineStr">
        <is>
          <t>6DG3-350E-FSD</t>
        </is>
      </c>
      <c r="D1271" t="inlineStr">
        <is>
          <t>Reciprocating Semi-hermetic</t>
        </is>
      </c>
      <c r="E1271" s="2" t="n">
        <v>3</v>
      </c>
      <c r="F1271" s="2" t="n">
        <v>60</v>
      </c>
      <c r="G1271" s="2" t="n">
        <v>460</v>
      </c>
      <c r="H1271" t="inlineStr">
        <is>
          <t>460</t>
        </is>
      </c>
      <c r="I1271" s="2" t="n">
        <v>460</v>
      </c>
      <c r="J1271" s="2" t="n">
        <v>460</v>
      </c>
      <c r="L1271" s="3" t="n"/>
      <c r="M1271" s="3" t="n"/>
      <c r="N1271" s="3" t="n">
        <v>66</v>
      </c>
      <c r="O1271" s="3" t="n"/>
      <c r="P1271" s="3">
        <f>IF(L1271&lt;&gt;"",L1271/1.4,"")</f>
        <v/>
      </c>
      <c r="Q1271" s="3">
        <f>IF(L1271&lt;&gt;"",L1271/1.56,"")</f>
        <v/>
      </c>
      <c r="R1271" s="3">
        <f>IF(M1271&lt;&gt;"",M1271/1.4,"")</f>
        <v/>
      </c>
      <c r="S1271" s="3">
        <f>IF(M1271&lt;&gt;"",M1271/1.56,"")</f>
        <v/>
      </c>
      <c r="T1271" s="3">
        <f>IF(N1271&lt;&gt;"",N1271,IF(O1271&lt;&gt;"",O1271,IF(L1271&lt;&gt;"",L1271/1.56,IF(M1271&lt;&gt;"",M1271/1.56,""))))</f>
        <v/>
      </c>
      <c r="U1271" s="3" t="n">
        <v>315</v>
      </c>
      <c r="V1271" s="3" t="n">
        <v>195</v>
      </c>
      <c r="W1271" s="3" t="n"/>
      <c r="X1271" s="4" t="n"/>
      <c r="Y1271" s="5" t="n">
        <v>0.32</v>
      </c>
      <c r="Z1271" s="4">
        <f>IF(L1271&lt;&gt;"",SQRT(3)*G1271*L1271/1000,"")</f>
        <v/>
      </c>
      <c r="AA1271" t="inlineStr">
        <is>
          <t>Source=Copeland 2D/3D/4D/4R/6D/8D/9R compressors (pdf) p60; PWS_RLA=33.0</t>
        </is>
      </c>
      <c r="AB1271" t="inlineStr">
        <is>
          <t>Copeland_RLA_230_460_3ph_60Hz.xlsx</t>
        </is>
      </c>
      <c r="AC1271" t="inlineStr">
        <is>
          <t>Recip_2D-9R</t>
        </is>
      </c>
    </row>
    <row r="1272">
      <c r="A1272" t="inlineStr">
        <is>
          <t>COPELAND</t>
        </is>
      </c>
      <c r="B1272" t="inlineStr">
        <is>
          <t>6DG3-350E-TSN</t>
        </is>
      </c>
      <c r="D1272" t="inlineStr">
        <is>
          <t>Reciprocating Semi-hermetic</t>
        </is>
      </c>
      <c r="E1272" s="2" t="n">
        <v>3</v>
      </c>
      <c r="F1272" s="2" t="n">
        <v>60</v>
      </c>
      <c r="G1272" s="2" t="n">
        <v>230</v>
      </c>
      <c r="H1272" t="inlineStr">
        <is>
          <t>230</t>
        </is>
      </c>
      <c r="I1272" s="2" t="n">
        <v>230</v>
      </c>
      <c r="J1272" s="2" t="n">
        <v>230</v>
      </c>
      <c r="L1272" s="3" t="n"/>
      <c r="M1272" s="3" t="n"/>
      <c r="N1272" s="3" t="n">
        <v>125</v>
      </c>
      <c r="O1272" s="3" t="n"/>
      <c r="P1272" s="3">
        <f>IF(L1272&lt;&gt;"",L1272/1.4,"")</f>
        <v/>
      </c>
      <c r="Q1272" s="3">
        <f>IF(L1272&lt;&gt;"",L1272/1.56,"")</f>
        <v/>
      </c>
      <c r="R1272" s="3">
        <f>IF(M1272&lt;&gt;"",M1272/1.4,"")</f>
        <v/>
      </c>
      <c r="S1272" s="3">
        <f>IF(M1272&lt;&gt;"",M1272/1.56,"")</f>
        <v/>
      </c>
      <c r="T1272" s="3">
        <f>IF(N1272&lt;&gt;"",N1272,IF(O1272&lt;&gt;"",O1272,IF(L1272&lt;&gt;"",L1272/1.56,IF(M1272&lt;&gt;"",M1272/1.56,""))))</f>
        <v/>
      </c>
      <c r="U1272" s="3" t="n">
        <v>594</v>
      </c>
      <c r="V1272" s="3" t="n">
        <v>340</v>
      </c>
      <c r="W1272" s="3" t="n"/>
      <c r="X1272" s="4" t="n"/>
      <c r="Y1272" s="5" t="n">
        <v>0.08500000000000001</v>
      </c>
      <c r="Z1272" s="4">
        <f>IF(L1272&lt;&gt;"",SQRT(3)*G1272*L1272/1000,"")</f>
        <v/>
      </c>
      <c r="AA1272" t="inlineStr">
        <is>
          <t>Source=Copeland 2D/3D/4D/4R/6D/8D/9R compressors (pdf) p60; PWS_RLA=62.5</t>
        </is>
      </c>
      <c r="AB1272" t="inlineStr">
        <is>
          <t>Copeland_RLA_230_460_3ph_60Hz.xlsx</t>
        </is>
      </c>
      <c r="AC1272" t="inlineStr">
        <is>
          <t>Recip_2D-9R</t>
        </is>
      </c>
    </row>
    <row r="1273">
      <c r="A1273" t="inlineStr">
        <is>
          <t>COPELAND</t>
        </is>
      </c>
      <c r="B1273" t="inlineStr">
        <is>
          <t>6DG3-350E-TSN</t>
        </is>
      </c>
      <c r="D1273" t="inlineStr">
        <is>
          <t>Reciprocating Semi-hermetic</t>
        </is>
      </c>
      <c r="E1273" s="2" t="n">
        <v>3</v>
      </c>
      <c r="F1273" s="2" t="n">
        <v>60</v>
      </c>
      <c r="G1273" s="2" t="n">
        <v>460</v>
      </c>
      <c r="H1273" t="inlineStr">
        <is>
          <t>460</t>
        </is>
      </c>
      <c r="I1273" s="2" t="n">
        <v>460</v>
      </c>
      <c r="J1273" s="2" t="n">
        <v>460</v>
      </c>
      <c r="L1273" s="3" t="n"/>
      <c r="M1273" s="3" t="n"/>
      <c r="N1273" s="3" t="n">
        <v>62.5</v>
      </c>
      <c r="O1273" s="3" t="n"/>
      <c r="P1273" s="3">
        <f>IF(L1273&lt;&gt;"",L1273/1.4,"")</f>
        <v/>
      </c>
      <c r="Q1273" s="3">
        <f>IF(L1273&lt;&gt;"",L1273/1.56,"")</f>
        <v/>
      </c>
      <c r="R1273" s="3">
        <f>IF(M1273&lt;&gt;"",M1273/1.4,"")</f>
        <v/>
      </c>
      <c r="S1273" s="3">
        <f>IF(M1273&lt;&gt;"",M1273/1.56,"")</f>
        <v/>
      </c>
      <c r="T1273" s="3">
        <f>IF(N1273&lt;&gt;"",N1273,IF(O1273&lt;&gt;"",O1273,IF(L1273&lt;&gt;"",L1273/1.56,IF(M1273&lt;&gt;"",M1273/1.56,""))))</f>
        <v/>
      </c>
      <c r="U1273" s="3" t="n">
        <v>297</v>
      </c>
      <c r="V1273" s="3" t="n"/>
      <c r="W1273" s="3" t="n"/>
      <c r="X1273" s="4" t="n"/>
      <c r="Y1273" s="5" t="n">
        <v>0.34</v>
      </c>
      <c r="Z1273" s="4">
        <f>IF(L1273&lt;&gt;"",SQRT(3)*G1273*L1273/1000,"")</f>
        <v/>
      </c>
      <c r="AA1273" t="inlineStr">
        <is>
          <t>Source=Copeland 2D/3D/4D/4R/6D/8D/9R compressors (pdf) p60</t>
        </is>
      </c>
      <c r="AB1273" t="inlineStr">
        <is>
          <t>Copeland_RLA_230_460_3ph_60Hz.xlsx</t>
        </is>
      </c>
      <c r="AC1273" t="inlineStr">
        <is>
          <t>Recip_2D-9R</t>
        </is>
      </c>
    </row>
    <row r="1274">
      <c r="A1274" t="inlineStr">
        <is>
          <t>COPELAND</t>
        </is>
      </c>
      <c r="B1274" t="inlineStr">
        <is>
          <t>6DG3-350L-FSD</t>
        </is>
      </c>
      <c r="D1274" t="inlineStr">
        <is>
          <t>Reciprocating Semi-hermetic</t>
        </is>
      </c>
      <c r="E1274" s="2" t="n">
        <v>3</v>
      </c>
      <c r="F1274" s="2" t="n">
        <v>60</v>
      </c>
      <c r="G1274" s="2" t="n">
        <v>460</v>
      </c>
      <c r="H1274" t="inlineStr">
        <is>
          <t>460</t>
        </is>
      </c>
      <c r="I1274" s="2" t="n">
        <v>460</v>
      </c>
      <c r="J1274" s="2" t="n">
        <v>460</v>
      </c>
      <c r="L1274" s="3" t="n"/>
      <c r="M1274" s="3" t="n"/>
      <c r="N1274" s="3" t="n">
        <v>66</v>
      </c>
      <c r="O1274" s="3" t="n"/>
      <c r="P1274" s="3">
        <f>IF(L1274&lt;&gt;"",L1274/1.4,"")</f>
        <v/>
      </c>
      <c r="Q1274" s="3">
        <f>IF(L1274&lt;&gt;"",L1274/1.56,"")</f>
        <v/>
      </c>
      <c r="R1274" s="3">
        <f>IF(M1274&lt;&gt;"",M1274/1.4,"")</f>
        <v/>
      </c>
      <c r="S1274" s="3">
        <f>IF(M1274&lt;&gt;"",M1274/1.56,"")</f>
        <v/>
      </c>
      <c r="T1274" s="3">
        <f>IF(N1274&lt;&gt;"",N1274,IF(O1274&lt;&gt;"",O1274,IF(L1274&lt;&gt;"",L1274/1.56,IF(M1274&lt;&gt;"",M1274/1.56,""))))</f>
        <v/>
      </c>
      <c r="U1274" s="3" t="n">
        <v>315</v>
      </c>
      <c r="V1274" s="3" t="n">
        <v>195</v>
      </c>
      <c r="W1274" s="3" t="n"/>
      <c r="X1274" s="4" t="n"/>
      <c r="Y1274" s="5" t="n">
        <v>0.32</v>
      </c>
      <c r="Z1274" s="4">
        <f>IF(L1274&lt;&gt;"",SQRT(3)*G1274*L1274/1000,"")</f>
        <v/>
      </c>
      <c r="AA1274" t="inlineStr">
        <is>
          <t>Source=Copeland 2D/3D/4D/4R/6D/8D/9R compressors (pdf) p60; PWS_RLA=33.0</t>
        </is>
      </c>
      <c r="AB1274" t="inlineStr">
        <is>
          <t>Copeland_RLA_230_460_3ph_60Hz.xlsx</t>
        </is>
      </c>
      <c r="AC1274" t="inlineStr">
        <is>
          <t>Recip_2D-9R</t>
        </is>
      </c>
    </row>
    <row r="1275">
      <c r="A1275" t="inlineStr">
        <is>
          <t>COPELAND</t>
        </is>
      </c>
      <c r="B1275" t="inlineStr">
        <is>
          <t>6DG3-350L-TSN</t>
        </is>
      </c>
      <c r="D1275" t="inlineStr">
        <is>
          <t>Reciprocating Semi-hermetic</t>
        </is>
      </c>
      <c r="E1275" s="2" t="n">
        <v>3</v>
      </c>
      <c r="F1275" s="2" t="n">
        <v>60</v>
      </c>
      <c r="G1275" s="2" t="n">
        <v>230</v>
      </c>
      <c r="H1275" t="inlineStr">
        <is>
          <t>230</t>
        </is>
      </c>
      <c r="I1275" s="2" t="n">
        <v>230</v>
      </c>
      <c r="J1275" s="2" t="n">
        <v>230</v>
      </c>
      <c r="L1275" s="3" t="n"/>
      <c r="M1275" s="3" t="n"/>
      <c r="N1275" s="3" t="n">
        <v>125</v>
      </c>
      <c r="O1275" s="3" t="n"/>
      <c r="P1275" s="3">
        <f>IF(L1275&lt;&gt;"",L1275/1.4,"")</f>
        <v/>
      </c>
      <c r="Q1275" s="3">
        <f>IF(L1275&lt;&gt;"",L1275/1.56,"")</f>
        <v/>
      </c>
      <c r="R1275" s="3">
        <f>IF(M1275&lt;&gt;"",M1275/1.4,"")</f>
        <v/>
      </c>
      <c r="S1275" s="3">
        <f>IF(M1275&lt;&gt;"",M1275/1.56,"")</f>
        <v/>
      </c>
      <c r="T1275" s="3">
        <f>IF(N1275&lt;&gt;"",N1275,IF(O1275&lt;&gt;"",O1275,IF(L1275&lt;&gt;"",L1275/1.56,IF(M1275&lt;&gt;"",M1275/1.56,""))))</f>
        <v/>
      </c>
      <c r="U1275" s="3" t="n">
        <v>594</v>
      </c>
      <c r="V1275" s="3" t="n">
        <v>340</v>
      </c>
      <c r="W1275" s="3" t="n"/>
      <c r="X1275" s="4" t="n"/>
      <c r="Y1275" s="5" t="n">
        <v>0.08500000000000001</v>
      </c>
      <c r="Z1275" s="4">
        <f>IF(L1275&lt;&gt;"",SQRT(3)*G1275*L1275/1000,"")</f>
        <v/>
      </c>
      <c r="AA1275" t="inlineStr">
        <is>
          <t>Source=Copeland 2D/3D/4D/4R/6D/8D/9R compressors (pdf) p60; PWS_RLA=62.5</t>
        </is>
      </c>
      <c r="AB1275" t="inlineStr">
        <is>
          <t>Copeland_RLA_230_460_3ph_60Hz.xlsx</t>
        </is>
      </c>
      <c r="AC1275" t="inlineStr">
        <is>
          <t>Recip_2D-9R</t>
        </is>
      </c>
    </row>
    <row r="1276">
      <c r="A1276" t="inlineStr">
        <is>
          <t>COPELAND</t>
        </is>
      </c>
      <c r="B1276" t="inlineStr">
        <is>
          <t>6DG3-350L-TSN</t>
        </is>
      </c>
      <c r="D1276" t="inlineStr">
        <is>
          <t>Reciprocating Semi-hermetic</t>
        </is>
      </c>
      <c r="E1276" s="2" t="n">
        <v>3</v>
      </c>
      <c r="F1276" s="2" t="n">
        <v>60</v>
      </c>
      <c r="G1276" s="2" t="n">
        <v>460</v>
      </c>
      <c r="H1276" t="inlineStr">
        <is>
          <t>460</t>
        </is>
      </c>
      <c r="I1276" s="2" t="n">
        <v>460</v>
      </c>
      <c r="J1276" s="2" t="n">
        <v>460</v>
      </c>
      <c r="L1276" s="3" t="n"/>
      <c r="M1276" s="3" t="n"/>
      <c r="N1276" s="3" t="n">
        <v>62.5</v>
      </c>
      <c r="O1276" s="3" t="n"/>
      <c r="P1276" s="3">
        <f>IF(L1276&lt;&gt;"",L1276/1.4,"")</f>
        <v/>
      </c>
      <c r="Q1276" s="3">
        <f>IF(L1276&lt;&gt;"",L1276/1.56,"")</f>
        <v/>
      </c>
      <c r="R1276" s="3">
        <f>IF(M1276&lt;&gt;"",M1276/1.4,"")</f>
        <v/>
      </c>
      <c r="S1276" s="3">
        <f>IF(M1276&lt;&gt;"",M1276/1.56,"")</f>
        <v/>
      </c>
      <c r="T1276" s="3">
        <f>IF(N1276&lt;&gt;"",N1276,IF(O1276&lt;&gt;"",O1276,IF(L1276&lt;&gt;"",L1276/1.56,IF(M1276&lt;&gt;"",M1276/1.56,""))))</f>
        <v/>
      </c>
      <c r="U1276" s="3" t="n">
        <v>297</v>
      </c>
      <c r="V1276" s="3" t="n"/>
      <c r="W1276" s="3" t="n"/>
      <c r="X1276" s="4" t="n"/>
      <c r="Y1276" s="5" t="n">
        <v>0.34</v>
      </c>
      <c r="Z1276" s="4">
        <f>IF(L1276&lt;&gt;"",SQRT(3)*G1276*L1276/1000,"")</f>
        <v/>
      </c>
      <c r="AA1276" t="inlineStr">
        <is>
          <t>Source=Copeland 2D/3D/4D/4R/6D/8D/9R compressors (pdf) p60</t>
        </is>
      </c>
      <c r="AB1276" t="inlineStr">
        <is>
          <t>Copeland_RLA_230_460_3ph_60Hz.xlsx</t>
        </is>
      </c>
      <c r="AC1276" t="inlineStr">
        <is>
          <t>Recip_2D-9R</t>
        </is>
      </c>
    </row>
    <row r="1277">
      <c r="A1277" t="inlineStr">
        <is>
          <t>COPELAND</t>
        </is>
      </c>
      <c r="B1277" t="inlineStr">
        <is>
          <t>6DG3A3500-FSD</t>
        </is>
      </c>
      <c r="D1277" t="inlineStr">
        <is>
          <t>Reciprocating Semi-hermetic</t>
        </is>
      </c>
      <c r="E1277" s="2" t="n">
        <v>3</v>
      </c>
      <c r="F1277" s="2" t="n">
        <v>60</v>
      </c>
      <c r="G1277" s="2" t="n">
        <v>460</v>
      </c>
      <c r="H1277" t="inlineStr">
        <is>
          <t>460</t>
        </is>
      </c>
      <c r="I1277" s="2" t="n">
        <v>460</v>
      </c>
      <c r="J1277" s="2" t="n">
        <v>460</v>
      </c>
      <c r="L1277" s="3" t="n"/>
      <c r="M1277" s="3" t="n"/>
      <c r="N1277" s="3" t="n">
        <v>66</v>
      </c>
      <c r="O1277" s="3" t="n"/>
      <c r="P1277" s="3">
        <f>IF(L1277&lt;&gt;"",L1277/1.4,"")</f>
        <v/>
      </c>
      <c r="Q1277" s="3">
        <f>IF(L1277&lt;&gt;"",L1277/1.56,"")</f>
        <v/>
      </c>
      <c r="R1277" s="3">
        <f>IF(M1277&lt;&gt;"",M1277/1.4,"")</f>
        <v/>
      </c>
      <c r="S1277" s="3">
        <f>IF(M1277&lt;&gt;"",M1277/1.56,"")</f>
        <v/>
      </c>
      <c r="T1277" s="3">
        <f>IF(N1277&lt;&gt;"",N1277,IF(O1277&lt;&gt;"",O1277,IF(L1277&lt;&gt;"",L1277/1.56,IF(M1277&lt;&gt;"",M1277/1.56,""))))</f>
        <v/>
      </c>
      <c r="U1277" s="3" t="n">
        <v>315</v>
      </c>
      <c r="V1277" s="3" t="n">
        <v>195</v>
      </c>
      <c r="W1277" s="3" t="n"/>
      <c r="X1277" s="4" t="n"/>
      <c r="Y1277" s="5" t="n">
        <v>0.32</v>
      </c>
      <c r="Z1277" s="4">
        <f>IF(L1277&lt;&gt;"",SQRT(3)*G1277*L1277/1000,"")</f>
        <v/>
      </c>
      <c r="AA1277" t="inlineStr">
        <is>
          <t>Source=Copeland 2D/3D/4D/4R/6D/8D/9R compressors (pdf) p60; PWS_RLA=33.0</t>
        </is>
      </c>
      <c r="AB1277" t="inlineStr">
        <is>
          <t>Copeland_RLA_230_460_3ph_60Hz.xlsx</t>
        </is>
      </c>
      <c r="AC1277" t="inlineStr">
        <is>
          <t>Recip_2D-9R</t>
        </is>
      </c>
    </row>
    <row r="1278">
      <c r="A1278" t="inlineStr">
        <is>
          <t>COPELAND</t>
        </is>
      </c>
      <c r="B1278" t="inlineStr">
        <is>
          <t>6DG3A3500-FXD</t>
        </is>
      </c>
      <c r="D1278" t="inlineStr">
        <is>
          <t>Reciprocating Semi-hermetic</t>
        </is>
      </c>
      <c r="E1278" s="2" t="n">
        <v>3</v>
      </c>
      <c r="F1278" s="2" t="n">
        <v>60</v>
      </c>
      <c r="G1278" s="2" t="n">
        <v>460</v>
      </c>
      <c r="H1278" t="inlineStr">
        <is>
          <t>460</t>
        </is>
      </c>
      <c r="I1278" s="2" t="n">
        <v>460</v>
      </c>
      <c r="J1278" s="2" t="n">
        <v>460</v>
      </c>
      <c r="L1278" s="3" t="n"/>
      <c r="M1278" s="3" t="n"/>
      <c r="N1278" s="3" t="n"/>
      <c r="O1278" s="3" t="n"/>
      <c r="P1278" s="3">
        <f>IF(L1278&lt;&gt;"",L1278/1.4,"")</f>
        <v/>
      </c>
      <c r="Q1278" s="3">
        <f>IF(L1278&lt;&gt;"",L1278/1.56,"")</f>
        <v/>
      </c>
      <c r="R1278" s="3">
        <f>IF(M1278&lt;&gt;"",M1278/1.4,"")</f>
        <v/>
      </c>
      <c r="S1278" s="3">
        <f>IF(M1278&lt;&gt;"",M1278/1.56,"")</f>
        <v/>
      </c>
      <c r="T1278" s="3">
        <f>IF(N1278&lt;&gt;"",N1278,IF(O1278&lt;&gt;"",O1278,IF(L1278&lt;&gt;"",L1278/1.56,IF(M1278&lt;&gt;"",M1278/1.56,""))))</f>
        <v/>
      </c>
      <c r="U1278" s="3" t="n">
        <v>315</v>
      </c>
      <c r="V1278" s="3" t="n">
        <v>195</v>
      </c>
      <c r="W1278" s="3" t="n"/>
      <c r="X1278" s="4" t="n"/>
      <c r="Y1278" s="5" t="n">
        <v>0.32</v>
      </c>
      <c r="Z1278" s="4">
        <f>IF(L1278&lt;&gt;"",SQRT(3)*G1278*L1278/1000,"")</f>
        <v/>
      </c>
      <c r="AA1278" t="inlineStr">
        <is>
          <t>Source=Copeland 2D/3D/4D/4R/6D/8D/9R compressors (pdf) p60</t>
        </is>
      </c>
      <c r="AB1278" t="inlineStr">
        <is>
          <t>Copeland_RLA_230_460_3ph_60Hz.xlsx</t>
        </is>
      </c>
      <c r="AC1278" t="inlineStr">
        <is>
          <t>Recip_2D-9R</t>
        </is>
      </c>
    </row>
    <row r="1279">
      <c r="A1279" t="inlineStr">
        <is>
          <t>COPELAND</t>
        </is>
      </c>
      <c r="B1279" t="inlineStr">
        <is>
          <t>6DG3A3500-TSN</t>
        </is>
      </c>
      <c r="D1279" t="inlineStr">
        <is>
          <t>Reciprocating Semi-hermetic</t>
        </is>
      </c>
      <c r="E1279" s="2" t="n">
        <v>3</v>
      </c>
      <c r="F1279" s="2" t="n">
        <v>60</v>
      </c>
      <c r="G1279" s="2" t="n">
        <v>230</v>
      </c>
      <c r="H1279" t="inlineStr">
        <is>
          <t>230</t>
        </is>
      </c>
      <c r="I1279" s="2" t="n">
        <v>230</v>
      </c>
      <c r="J1279" s="2" t="n">
        <v>230</v>
      </c>
      <c r="L1279" s="3" t="n"/>
      <c r="M1279" s="3" t="n"/>
      <c r="N1279" s="3" t="n">
        <v>125</v>
      </c>
      <c r="O1279" s="3" t="n"/>
      <c r="P1279" s="3">
        <f>IF(L1279&lt;&gt;"",L1279/1.4,"")</f>
        <v/>
      </c>
      <c r="Q1279" s="3">
        <f>IF(L1279&lt;&gt;"",L1279/1.56,"")</f>
        <v/>
      </c>
      <c r="R1279" s="3">
        <f>IF(M1279&lt;&gt;"",M1279/1.4,"")</f>
        <v/>
      </c>
      <c r="S1279" s="3">
        <f>IF(M1279&lt;&gt;"",M1279/1.56,"")</f>
        <v/>
      </c>
      <c r="T1279" s="3">
        <f>IF(N1279&lt;&gt;"",N1279,IF(O1279&lt;&gt;"",O1279,IF(L1279&lt;&gt;"",L1279/1.56,IF(M1279&lt;&gt;"",M1279/1.56,""))))</f>
        <v/>
      </c>
      <c r="U1279" s="3" t="n">
        <v>594</v>
      </c>
      <c r="V1279" s="3" t="n">
        <v>340</v>
      </c>
      <c r="W1279" s="3" t="n"/>
      <c r="X1279" s="4" t="n"/>
      <c r="Y1279" s="5" t="n">
        <v>0.08500000000000001</v>
      </c>
      <c r="Z1279" s="4">
        <f>IF(L1279&lt;&gt;"",SQRT(3)*G1279*L1279/1000,"")</f>
        <v/>
      </c>
      <c r="AA1279" t="inlineStr">
        <is>
          <t>Source=Copeland 2D/3D/4D/4R/6D/8D/9R compressors (pdf) p60; PWS_RLA=62.5</t>
        </is>
      </c>
      <c r="AB1279" t="inlineStr">
        <is>
          <t>Copeland_RLA_230_460_3ph_60Hz.xlsx</t>
        </is>
      </c>
      <c r="AC1279" t="inlineStr">
        <is>
          <t>Recip_2D-9R</t>
        </is>
      </c>
    </row>
    <row r="1280">
      <c r="A1280" t="inlineStr">
        <is>
          <t>COPELAND</t>
        </is>
      </c>
      <c r="B1280" t="inlineStr">
        <is>
          <t>6DG3A3500-TSN</t>
        </is>
      </c>
      <c r="D1280" t="inlineStr">
        <is>
          <t>Reciprocating Semi-hermetic</t>
        </is>
      </c>
      <c r="E1280" s="2" t="n">
        <v>3</v>
      </c>
      <c r="F1280" s="2" t="n">
        <v>60</v>
      </c>
      <c r="G1280" s="2" t="n">
        <v>460</v>
      </c>
      <c r="H1280" t="inlineStr">
        <is>
          <t>460</t>
        </is>
      </c>
      <c r="I1280" s="2" t="n">
        <v>460</v>
      </c>
      <c r="J1280" s="2" t="n">
        <v>460</v>
      </c>
      <c r="L1280" s="3" t="n"/>
      <c r="M1280" s="3" t="n"/>
      <c r="N1280" s="3" t="n">
        <v>62.5</v>
      </c>
      <c r="O1280" s="3" t="n"/>
      <c r="P1280" s="3">
        <f>IF(L1280&lt;&gt;"",L1280/1.4,"")</f>
        <v/>
      </c>
      <c r="Q1280" s="3">
        <f>IF(L1280&lt;&gt;"",L1280/1.56,"")</f>
        <v/>
      </c>
      <c r="R1280" s="3">
        <f>IF(M1280&lt;&gt;"",M1280/1.4,"")</f>
        <v/>
      </c>
      <c r="S1280" s="3">
        <f>IF(M1280&lt;&gt;"",M1280/1.56,"")</f>
        <v/>
      </c>
      <c r="T1280" s="3">
        <f>IF(N1280&lt;&gt;"",N1280,IF(O1280&lt;&gt;"",O1280,IF(L1280&lt;&gt;"",L1280/1.56,IF(M1280&lt;&gt;"",M1280/1.56,""))))</f>
        <v/>
      </c>
      <c r="U1280" s="3" t="n">
        <v>297</v>
      </c>
      <c r="V1280" s="3" t="n"/>
      <c r="W1280" s="3" t="n"/>
      <c r="X1280" s="4" t="n"/>
      <c r="Y1280" s="5" t="n">
        <v>0.34</v>
      </c>
      <c r="Z1280" s="4">
        <f>IF(L1280&lt;&gt;"",SQRT(3)*G1280*L1280/1000,"")</f>
        <v/>
      </c>
      <c r="AA1280" t="inlineStr">
        <is>
          <t>Source=Copeland 2D/3D/4D/4R/6D/8D/9R compressors (pdf) p60</t>
        </is>
      </c>
      <c r="AB1280" t="inlineStr">
        <is>
          <t>Copeland_RLA_230_460_3ph_60Hz.xlsx</t>
        </is>
      </c>
      <c r="AC1280" t="inlineStr">
        <is>
          <t>Recip_2D-9R</t>
        </is>
      </c>
    </row>
    <row r="1281">
      <c r="A1281" t="inlineStr">
        <is>
          <t>COPELAND</t>
        </is>
      </c>
      <c r="B1281" t="inlineStr">
        <is>
          <t>6DG3A3500-TXN</t>
        </is>
      </c>
      <c r="D1281" t="inlineStr">
        <is>
          <t>Reciprocating Semi-hermetic</t>
        </is>
      </c>
      <c r="E1281" s="2" t="n">
        <v>3</v>
      </c>
      <c r="F1281" s="2" t="n">
        <v>60</v>
      </c>
      <c r="G1281" s="2" t="n">
        <v>230</v>
      </c>
      <c r="H1281" t="inlineStr">
        <is>
          <t>230</t>
        </is>
      </c>
      <c r="I1281" s="2" t="n">
        <v>230</v>
      </c>
      <c r="J1281" s="2" t="n">
        <v>230</v>
      </c>
      <c r="L1281" s="3" t="n"/>
      <c r="M1281" s="3" t="n"/>
      <c r="N1281" s="3" t="n"/>
      <c r="O1281" s="3" t="n"/>
      <c r="P1281" s="3">
        <f>IF(L1281&lt;&gt;"",L1281/1.4,"")</f>
        <v/>
      </c>
      <c r="Q1281" s="3">
        <f>IF(L1281&lt;&gt;"",L1281/1.56,"")</f>
        <v/>
      </c>
      <c r="R1281" s="3">
        <f>IF(M1281&lt;&gt;"",M1281/1.4,"")</f>
        <v/>
      </c>
      <c r="S1281" s="3">
        <f>IF(M1281&lt;&gt;"",M1281/1.56,"")</f>
        <v/>
      </c>
      <c r="T1281" s="3">
        <f>IF(N1281&lt;&gt;"",N1281,IF(O1281&lt;&gt;"",O1281,IF(L1281&lt;&gt;"",L1281/1.56,IF(M1281&lt;&gt;"",M1281/1.56,""))))</f>
        <v/>
      </c>
      <c r="U1281" s="3" t="n">
        <v>594</v>
      </c>
      <c r="V1281" s="3" t="n">
        <v>340</v>
      </c>
      <c r="W1281" s="3" t="n"/>
      <c r="X1281" s="4" t="n"/>
      <c r="Y1281" s="5" t="n">
        <v>0.08500000000000001</v>
      </c>
      <c r="Z1281" s="4">
        <f>IF(L1281&lt;&gt;"",SQRT(3)*G1281*L1281/1000,"")</f>
        <v/>
      </c>
      <c r="AA1281" t="inlineStr">
        <is>
          <t>Source=Copeland 2D/3D/4D/4R/6D/8D/9R compressors (pdf) p60</t>
        </is>
      </c>
      <c r="AB1281" t="inlineStr">
        <is>
          <t>Copeland_RLA_230_460_3ph_60Hz.xlsx</t>
        </is>
      </c>
      <c r="AC1281" t="inlineStr">
        <is>
          <t>Recip_2D-9R</t>
        </is>
      </c>
    </row>
    <row r="1282">
      <c r="A1282" t="inlineStr">
        <is>
          <t>COPELAND</t>
        </is>
      </c>
      <c r="B1282" t="inlineStr">
        <is>
          <t>6DG3A3500-TXN</t>
        </is>
      </c>
      <c r="D1282" t="inlineStr">
        <is>
          <t>Reciprocating Semi-hermetic</t>
        </is>
      </c>
      <c r="E1282" s="2" t="n">
        <v>3</v>
      </c>
      <c r="F1282" s="2" t="n">
        <v>60</v>
      </c>
      <c r="G1282" s="2" t="n">
        <v>460</v>
      </c>
      <c r="H1282" t="inlineStr">
        <is>
          <t>460</t>
        </is>
      </c>
      <c r="I1282" s="2" t="n">
        <v>460</v>
      </c>
      <c r="J1282" s="2" t="n">
        <v>460</v>
      </c>
      <c r="L1282" s="3" t="n"/>
      <c r="M1282" s="3" t="n"/>
      <c r="N1282" s="3" t="n"/>
      <c r="O1282" s="3" t="n"/>
      <c r="P1282" s="3">
        <f>IF(L1282&lt;&gt;"",L1282/1.4,"")</f>
        <v/>
      </c>
      <c r="Q1282" s="3">
        <f>IF(L1282&lt;&gt;"",L1282/1.56,"")</f>
        <v/>
      </c>
      <c r="R1282" s="3">
        <f>IF(M1282&lt;&gt;"",M1282/1.4,"")</f>
        <v/>
      </c>
      <c r="S1282" s="3">
        <f>IF(M1282&lt;&gt;"",M1282/1.56,"")</f>
        <v/>
      </c>
      <c r="T1282" s="3">
        <f>IF(N1282&lt;&gt;"",N1282,IF(O1282&lt;&gt;"",O1282,IF(L1282&lt;&gt;"",L1282/1.56,IF(M1282&lt;&gt;"",M1282/1.56,""))))</f>
        <v/>
      </c>
      <c r="U1282" s="3" t="n">
        <v>297</v>
      </c>
      <c r="V1282" s="3" t="n"/>
      <c r="W1282" s="3" t="n"/>
      <c r="X1282" s="4" t="n"/>
      <c r="Y1282" s="5" t="n">
        <v>0.34</v>
      </c>
      <c r="Z1282" s="4">
        <f>IF(L1282&lt;&gt;"",SQRT(3)*G1282*L1282/1000,"")</f>
        <v/>
      </c>
      <c r="AA1282" t="inlineStr">
        <is>
          <t>Source=Copeland 2D/3D/4D/4R/6D/8D/9R compressors (pdf) p60</t>
        </is>
      </c>
      <c r="AB1282" t="inlineStr">
        <is>
          <t>Copeland_RLA_230_460_3ph_60Hz.xlsx</t>
        </is>
      </c>
      <c r="AC1282" t="inlineStr">
        <is>
          <t>Recip_2D-9R</t>
        </is>
      </c>
    </row>
    <row r="1283">
      <c r="A1283" t="inlineStr">
        <is>
          <t>COPELAND</t>
        </is>
      </c>
      <c r="B1283" t="inlineStr">
        <is>
          <t>6DG3A350E-FSD</t>
        </is>
      </c>
      <c r="D1283" t="inlineStr">
        <is>
          <t>Reciprocating Semi-hermetic</t>
        </is>
      </c>
      <c r="E1283" s="2" t="n">
        <v>3</v>
      </c>
      <c r="F1283" s="2" t="n">
        <v>60</v>
      </c>
      <c r="G1283" s="2" t="n">
        <v>460</v>
      </c>
      <c r="H1283" t="inlineStr">
        <is>
          <t>460</t>
        </is>
      </c>
      <c r="I1283" s="2" t="n">
        <v>460</v>
      </c>
      <c r="J1283" s="2" t="n">
        <v>460</v>
      </c>
      <c r="L1283" s="3" t="n"/>
      <c r="M1283" s="3" t="n"/>
      <c r="N1283" s="3" t="n">
        <v>66</v>
      </c>
      <c r="O1283" s="3" t="n"/>
      <c r="P1283" s="3">
        <f>IF(L1283&lt;&gt;"",L1283/1.4,"")</f>
        <v/>
      </c>
      <c r="Q1283" s="3">
        <f>IF(L1283&lt;&gt;"",L1283/1.56,"")</f>
        <v/>
      </c>
      <c r="R1283" s="3">
        <f>IF(M1283&lt;&gt;"",M1283/1.4,"")</f>
        <v/>
      </c>
      <c r="S1283" s="3">
        <f>IF(M1283&lt;&gt;"",M1283/1.56,"")</f>
        <v/>
      </c>
      <c r="T1283" s="3">
        <f>IF(N1283&lt;&gt;"",N1283,IF(O1283&lt;&gt;"",O1283,IF(L1283&lt;&gt;"",L1283/1.56,IF(M1283&lt;&gt;"",M1283/1.56,""))))</f>
        <v/>
      </c>
      <c r="U1283" s="3" t="n">
        <v>315</v>
      </c>
      <c r="V1283" s="3" t="n">
        <v>195</v>
      </c>
      <c r="W1283" s="3" t="n"/>
      <c r="X1283" s="4" t="n"/>
      <c r="Y1283" s="5" t="n">
        <v>0.32</v>
      </c>
      <c r="Z1283" s="4">
        <f>IF(L1283&lt;&gt;"",SQRT(3)*G1283*L1283/1000,"")</f>
        <v/>
      </c>
      <c r="AA1283" t="inlineStr">
        <is>
          <t>Source=Copeland 2D/3D/4D/4R/6D/8D/9R compressors (pdf) p61; PWS_RLA=33.0</t>
        </is>
      </c>
      <c r="AB1283" t="inlineStr">
        <is>
          <t>Copeland_RLA_230_460_3ph_60Hz.xlsx</t>
        </is>
      </c>
      <c r="AC1283" t="inlineStr">
        <is>
          <t>Recip_2D-9R</t>
        </is>
      </c>
    </row>
    <row r="1284">
      <c r="A1284" t="inlineStr">
        <is>
          <t>COPELAND</t>
        </is>
      </c>
      <c r="B1284" t="inlineStr">
        <is>
          <t>6DG3A350E-TSN</t>
        </is>
      </c>
      <c r="D1284" t="inlineStr">
        <is>
          <t>Reciprocating Semi-hermetic</t>
        </is>
      </c>
      <c r="E1284" s="2" t="n">
        <v>3</v>
      </c>
      <c r="F1284" s="2" t="n">
        <v>60</v>
      </c>
      <c r="G1284" s="2" t="n">
        <v>230</v>
      </c>
      <c r="H1284" t="inlineStr">
        <is>
          <t>230</t>
        </is>
      </c>
      <c r="I1284" s="2" t="n">
        <v>230</v>
      </c>
      <c r="J1284" s="2" t="n">
        <v>230</v>
      </c>
      <c r="L1284" s="3" t="n"/>
      <c r="M1284" s="3" t="n"/>
      <c r="N1284" s="3" t="n">
        <v>168.6</v>
      </c>
      <c r="O1284" s="3" t="n"/>
      <c r="P1284" s="3">
        <f>IF(L1284&lt;&gt;"",L1284/1.4,"")</f>
        <v/>
      </c>
      <c r="Q1284" s="3">
        <f>IF(L1284&lt;&gt;"",L1284/1.56,"")</f>
        <v/>
      </c>
      <c r="R1284" s="3">
        <f>IF(M1284&lt;&gt;"",M1284/1.4,"")</f>
        <v/>
      </c>
      <c r="S1284" s="3">
        <f>IF(M1284&lt;&gt;"",M1284/1.56,"")</f>
        <v/>
      </c>
      <c r="T1284" s="3">
        <f>IF(N1284&lt;&gt;"",N1284,IF(O1284&lt;&gt;"",O1284,IF(L1284&lt;&gt;"",L1284/1.56,IF(M1284&lt;&gt;"",M1284/1.56,""))))</f>
        <v/>
      </c>
      <c r="U1284" s="3" t="n">
        <v>594</v>
      </c>
      <c r="V1284" s="3" t="n">
        <v>340</v>
      </c>
      <c r="W1284" s="3" t="n"/>
      <c r="X1284" s="4" t="n"/>
      <c r="Y1284" s="5" t="n">
        <v>0.08500000000000001</v>
      </c>
      <c r="Z1284" s="4">
        <f>IF(L1284&lt;&gt;"",SQRT(3)*G1284*L1284/1000,"")</f>
        <v/>
      </c>
      <c r="AA1284" t="inlineStr">
        <is>
          <t>Source=Copeland 2D/3D/4D/4R/6D/8D/9R compressors (pdf) p61; PWS_RLA=62.5</t>
        </is>
      </c>
      <c r="AB1284" t="inlineStr">
        <is>
          <t>Copeland_RLA_230_460_3ph_60Hz.xlsx</t>
        </is>
      </c>
      <c r="AC1284" t="inlineStr">
        <is>
          <t>Recip_2D-9R</t>
        </is>
      </c>
    </row>
    <row r="1285">
      <c r="A1285" t="inlineStr">
        <is>
          <t>COPELAND</t>
        </is>
      </c>
      <c r="B1285" t="inlineStr">
        <is>
          <t>6DG3A350E-TSN</t>
        </is>
      </c>
      <c r="D1285" t="inlineStr">
        <is>
          <t>Reciprocating Semi-hermetic</t>
        </is>
      </c>
      <c r="E1285" s="2" t="n">
        <v>3</v>
      </c>
      <c r="F1285" s="2" t="n">
        <v>60</v>
      </c>
      <c r="G1285" s="2" t="n">
        <v>460</v>
      </c>
      <c r="H1285" t="inlineStr">
        <is>
          <t>460</t>
        </is>
      </c>
      <c r="I1285" s="2" t="n">
        <v>460</v>
      </c>
      <c r="J1285" s="2" t="n">
        <v>460</v>
      </c>
      <c r="L1285" s="3" t="n"/>
      <c r="M1285" s="3" t="n"/>
      <c r="N1285" s="3" t="n">
        <v>84.3</v>
      </c>
      <c r="O1285" s="3" t="n"/>
      <c r="P1285" s="3">
        <f>IF(L1285&lt;&gt;"",L1285/1.4,"")</f>
        <v/>
      </c>
      <c r="Q1285" s="3">
        <f>IF(L1285&lt;&gt;"",L1285/1.56,"")</f>
        <v/>
      </c>
      <c r="R1285" s="3">
        <f>IF(M1285&lt;&gt;"",M1285/1.4,"")</f>
        <v/>
      </c>
      <c r="S1285" s="3">
        <f>IF(M1285&lt;&gt;"",M1285/1.56,"")</f>
        <v/>
      </c>
      <c r="T1285" s="3">
        <f>IF(N1285&lt;&gt;"",N1285,IF(O1285&lt;&gt;"",O1285,IF(L1285&lt;&gt;"",L1285/1.56,IF(M1285&lt;&gt;"",M1285/1.56,""))))</f>
        <v/>
      </c>
      <c r="U1285" s="3" t="n">
        <v>297</v>
      </c>
      <c r="V1285" s="3" t="n"/>
      <c r="W1285" s="3" t="n"/>
      <c r="X1285" s="4" t="n"/>
      <c r="Y1285" s="5" t="n">
        <v>0.34</v>
      </c>
      <c r="Z1285" s="4">
        <f>IF(L1285&lt;&gt;"",SQRT(3)*G1285*L1285/1000,"")</f>
        <v/>
      </c>
      <c r="AA1285" t="inlineStr">
        <is>
          <t>Source=Copeland 2D/3D/4D/4R/6D/8D/9R compressors (pdf) p61</t>
        </is>
      </c>
      <c r="AB1285" t="inlineStr">
        <is>
          <t>Copeland_RLA_230_460_3ph_60Hz.xlsx</t>
        </is>
      </c>
      <c r="AC1285" t="inlineStr">
        <is>
          <t>Recip_2D-9R</t>
        </is>
      </c>
    </row>
    <row r="1286">
      <c r="A1286" t="inlineStr">
        <is>
          <t>COPELAND</t>
        </is>
      </c>
      <c r="B1286" t="inlineStr">
        <is>
          <t>6DG3A350L-FSD</t>
        </is>
      </c>
      <c r="D1286" t="inlineStr">
        <is>
          <t>Reciprocating Semi-hermetic</t>
        </is>
      </c>
      <c r="E1286" s="2" t="n">
        <v>3</v>
      </c>
      <c r="F1286" s="2" t="n">
        <v>60</v>
      </c>
      <c r="G1286" s="2" t="n">
        <v>460</v>
      </c>
      <c r="H1286" t="inlineStr">
        <is>
          <t>460</t>
        </is>
      </c>
      <c r="I1286" s="2" t="n">
        <v>460</v>
      </c>
      <c r="J1286" s="2" t="n">
        <v>460</v>
      </c>
      <c r="L1286" s="3" t="n"/>
      <c r="M1286" s="3" t="n"/>
      <c r="N1286" s="3" t="n">
        <v>66</v>
      </c>
      <c r="O1286" s="3" t="n"/>
      <c r="P1286" s="3">
        <f>IF(L1286&lt;&gt;"",L1286/1.4,"")</f>
        <v/>
      </c>
      <c r="Q1286" s="3">
        <f>IF(L1286&lt;&gt;"",L1286/1.56,"")</f>
        <v/>
      </c>
      <c r="R1286" s="3">
        <f>IF(M1286&lt;&gt;"",M1286/1.4,"")</f>
        <v/>
      </c>
      <c r="S1286" s="3">
        <f>IF(M1286&lt;&gt;"",M1286/1.56,"")</f>
        <v/>
      </c>
      <c r="T1286" s="3">
        <f>IF(N1286&lt;&gt;"",N1286,IF(O1286&lt;&gt;"",O1286,IF(L1286&lt;&gt;"",L1286/1.56,IF(M1286&lt;&gt;"",M1286/1.56,""))))</f>
        <v/>
      </c>
      <c r="U1286" s="3" t="n">
        <v>315</v>
      </c>
      <c r="V1286" s="3" t="n">
        <v>195</v>
      </c>
      <c r="W1286" s="3" t="n"/>
      <c r="X1286" s="4" t="n"/>
      <c r="Y1286" s="5" t="n">
        <v>0.32</v>
      </c>
      <c r="Z1286" s="4">
        <f>IF(L1286&lt;&gt;"",SQRT(3)*G1286*L1286/1000,"")</f>
        <v/>
      </c>
      <c r="AA1286" t="inlineStr">
        <is>
          <t>Source=Copeland 2D/3D/4D/4R/6D/8D/9R compressors (pdf) p61; PWS_RLA=33.0</t>
        </is>
      </c>
      <c r="AB1286" t="inlineStr">
        <is>
          <t>Copeland_RLA_230_460_3ph_60Hz.xlsx</t>
        </is>
      </c>
      <c r="AC1286" t="inlineStr">
        <is>
          <t>Recip_2D-9R</t>
        </is>
      </c>
    </row>
    <row r="1287">
      <c r="A1287" t="inlineStr">
        <is>
          <t>COPELAND</t>
        </is>
      </c>
      <c r="B1287" t="inlineStr">
        <is>
          <t>6DG3A350L-TSN</t>
        </is>
      </c>
      <c r="D1287" t="inlineStr">
        <is>
          <t>Reciprocating Semi-hermetic</t>
        </is>
      </c>
      <c r="E1287" s="2" t="n">
        <v>3</v>
      </c>
      <c r="F1287" s="2" t="n">
        <v>60</v>
      </c>
      <c r="G1287" s="2" t="n">
        <v>230</v>
      </c>
      <c r="H1287" t="inlineStr">
        <is>
          <t>230</t>
        </is>
      </c>
      <c r="I1287" s="2" t="n">
        <v>230</v>
      </c>
      <c r="J1287" s="2" t="n">
        <v>230</v>
      </c>
      <c r="L1287" s="3" t="n"/>
      <c r="M1287" s="3" t="n"/>
      <c r="N1287" s="3" t="n">
        <v>168.6</v>
      </c>
      <c r="O1287" s="3" t="n"/>
      <c r="P1287" s="3">
        <f>IF(L1287&lt;&gt;"",L1287/1.4,"")</f>
        <v/>
      </c>
      <c r="Q1287" s="3">
        <f>IF(L1287&lt;&gt;"",L1287/1.56,"")</f>
        <v/>
      </c>
      <c r="R1287" s="3">
        <f>IF(M1287&lt;&gt;"",M1287/1.4,"")</f>
        <v/>
      </c>
      <c r="S1287" s="3">
        <f>IF(M1287&lt;&gt;"",M1287/1.56,"")</f>
        <v/>
      </c>
      <c r="T1287" s="3">
        <f>IF(N1287&lt;&gt;"",N1287,IF(O1287&lt;&gt;"",O1287,IF(L1287&lt;&gt;"",L1287/1.56,IF(M1287&lt;&gt;"",M1287/1.56,""))))</f>
        <v/>
      </c>
      <c r="U1287" s="3" t="n">
        <v>594</v>
      </c>
      <c r="V1287" s="3" t="n">
        <v>340</v>
      </c>
      <c r="W1287" s="3" t="n"/>
      <c r="X1287" s="4" t="n"/>
      <c r="Y1287" s="5" t="n">
        <v>0.08500000000000001</v>
      </c>
      <c r="Z1287" s="4">
        <f>IF(L1287&lt;&gt;"",SQRT(3)*G1287*L1287/1000,"")</f>
        <v/>
      </c>
      <c r="AA1287" t="inlineStr">
        <is>
          <t>Source=Copeland 2D/3D/4D/4R/6D/8D/9R compressors (pdf) p61; PWS_RLA=62.5</t>
        </is>
      </c>
      <c r="AB1287" t="inlineStr">
        <is>
          <t>Copeland_RLA_230_460_3ph_60Hz.xlsx</t>
        </is>
      </c>
      <c r="AC1287" t="inlineStr">
        <is>
          <t>Recip_2D-9R</t>
        </is>
      </c>
    </row>
    <row r="1288">
      <c r="A1288" t="inlineStr">
        <is>
          <t>COPELAND</t>
        </is>
      </c>
      <c r="B1288" t="inlineStr">
        <is>
          <t>6DG3A350L-TSN</t>
        </is>
      </c>
      <c r="D1288" t="inlineStr">
        <is>
          <t>Reciprocating Semi-hermetic</t>
        </is>
      </c>
      <c r="E1288" s="2" t="n">
        <v>3</v>
      </c>
      <c r="F1288" s="2" t="n">
        <v>60</v>
      </c>
      <c r="G1288" s="2" t="n">
        <v>460</v>
      </c>
      <c r="H1288" t="inlineStr">
        <is>
          <t>460</t>
        </is>
      </c>
      <c r="I1288" s="2" t="n">
        <v>460</v>
      </c>
      <c r="J1288" s="2" t="n">
        <v>460</v>
      </c>
      <c r="L1288" s="3" t="n"/>
      <c r="M1288" s="3" t="n"/>
      <c r="N1288" s="3" t="n">
        <v>84.3</v>
      </c>
      <c r="O1288" s="3" t="n"/>
      <c r="P1288" s="3">
        <f>IF(L1288&lt;&gt;"",L1288/1.4,"")</f>
        <v/>
      </c>
      <c r="Q1288" s="3">
        <f>IF(L1288&lt;&gt;"",L1288/1.56,"")</f>
        <v/>
      </c>
      <c r="R1288" s="3">
        <f>IF(M1288&lt;&gt;"",M1288/1.4,"")</f>
        <v/>
      </c>
      <c r="S1288" s="3">
        <f>IF(M1288&lt;&gt;"",M1288/1.56,"")</f>
        <v/>
      </c>
      <c r="T1288" s="3">
        <f>IF(N1288&lt;&gt;"",N1288,IF(O1288&lt;&gt;"",O1288,IF(L1288&lt;&gt;"",L1288/1.56,IF(M1288&lt;&gt;"",M1288/1.56,""))))</f>
        <v/>
      </c>
      <c r="U1288" s="3" t="n">
        <v>297</v>
      </c>
      <c r="V1288" s="3" t="n"/>
      <c r="W1288" s="3" t="n"/>
      <c r="X1288" s="4" t="n"/>
      <c r="Y1288" s="5" t="n">
        <v>0.34</v>
      </c>
      <c r="Z1288" s="4">
        <f>IF(L1288&lt;&gt;"",SQRT(3)*G1288*L1288/1000,"")</f>
        <v/>
      </c>
      <c r="AA1288" t="inlineStr">
        <is>
          <t>Source=Copeland 2D/3D/4D/4R/6D/8D/9R compressors (pdf) p61</t>
        </is>
      </c>
      <c r="AB1288" t="inlineStr">
        <is>
          <t>Copeland_RLA_230_460_3ph_60Hz.xlsx</t>
        </is>
      </c>
      <c r="AC1288" t="inlineStr">
        <is>
          <t>Recip_2D-9R</t>
        </is>
      </c>
    </row>
    <row r="1289">
      <c r="A1289" t="inlineStr">
        <is>
          <t>COPELAND</t>
        </is>
      </c>
      <c r="B1289" t="inlineStr">
        <is>
          <t>6DG3R37M0-FSD</t>
        </is>
      </c>
      <c r="D1289" t="inlineStr">
        <is>
          <t>Reciprocating Semi-hermetic</t>
        </is>
      </c>
      <c r="E1289" s="2" t="n">
        <v>3</v>
      </c>
      <c r="F1289" s="2" t="n">
        <v>60</v>
      </c>
      <c r="G1289" s="2" t="n">
        <v>460</v>
      </c>
      <c r="H1289" t="inlineStr">
        <is>
          <t>460</t>
        </is>
      </c>
      <c r="I1289" s="2" t="n">
        <v>460</v>
      </c>
      <c r="J1289" s="2" t="n">
        <v>460</v>
      </c>
      <c r="L1289" s="3" t="n"/>
      <c r="M1289" s="3" t="n"/>
      <c r="N1289" s="3" t="n">
        <v>66</v>
      </c>
      <c r="O1289" s="3" t="n"/>
      <c r="P1289" s="3">
        <f>IF(L1289&lt;&gt;"",L1289/1.4,"")</f>
        <v/>
      </c>
      <c r="Q1289" s="3">
        <f>IF(L1289&lt;&gt;"",L1289/1.56,"")</f>
        <v/>
      </c>
      <c r="R1289" s="3">
        <f>IF(M1289&lt;&gt;"",M1289/1.4,"")</f>
        <v/>
      </c>
      <c r="S1289" s="3">
        <f>IF(M1289&lt;&gt;"",M1289/1.56,"")</f>
        <v/>
      </c>
      <c r="T1289" s="3">
        <f>IF(N1289&lt;&gt;"",N1289,IF(O1289&lt;&gt;"",O1289,IF(L1289&lt;&gt;"",L1289/1.56,IF(M1289&lt;&gt;"",M1289/1.56,""))))</f>
        <v/>
      </c>
      <c r="U1289" s="3" t="n">
        <v>315</v>
      </c>
      <c r="V1289" s="3" t="n">
        <v>195</v>
      </c>
      <c r="W1289" s="3" t="n"/>
      <c r="X1289" s="4" t="n"/>
      <c r="Y1289" s="5" t="n">
        <v>0.32</v>
      </c>
      <c r="Z1289" s="4">
        <f>IF(L1289&lt;&gt;"",SQRT(3)*G1289*L1289/1000,"")</f>
        <v/>
      </c>
      <c r="AA1289" t="inlineStr">
        <is>
          <t>Source=Copeland 2D/3D/4D/4R/6D/8D/9R compressors (pdf) p61; PWS_RLA=33.0</t>
        </is>
      </c>
      <c r="AB1289" t="inlineStr">
        <is>
          <t>Copeland_RLA_230_460_3ph_60Hz.xlsx</t>
        </is>
      </c>
      <c r="AC1289" t="inlineStr">
        <is>
          <t>Recip_2D-9R</t>
        </is>
      </c>
    </row>
    <row r="1290">
      <c r="A1290" t="inlineStr">
        <is>
          <t>COPELAND</t>
        </is>
      </c>
      <c r="B1290" t="inlineStr">
        <is>
          <t>6DG3R37M0-TSN</t>
        </is>
      </c>
      <c r="D1290" t="inlineStr">
        <is>
          <t>Reciprocating Semi-hermetic</t>
        </is>
      </c>
      <c r="E1290" s="2" t="n">
        <v>3</v>
      </c>
      <c r="F1290" s="2" t="n">
        <v>60</v>
      </c>
      <c r="G1290" s="2" t="n">
        <v>230</v>
      </c>
      <c r="H1290" t="inlineStr">
        <is>
          <t>230</t>
        </is>
      </c>
      <c r="I1290" s="2" t="n">
        <v>230</v>
      </c>
      <c r="J1290" s="2" t="n">
        <v>230</v>
      </c>
      <c r="L1290" s="3" t="n"/>
      <c r="M1290" s="3" t="n"/>
      <c r="N1290" s="3" t="n">
        <v>125</v>
      </c>
      <c r="O1290" s="3" t="n"/>
      <c r="P1290" s="3">
        <f>IF(L1290&lt;&gt;"",L1290/1.4,"")</f>
        <v/>
      </c>
      <c r="Q1290" s="3">
        <f>IF(L1290&lt;&gt;"",L1290/1.56,"")</f>
        <v/>
      </c>
      <c r="R1290" s="3">
        <f>IF(M1290&lt;&gt;"",M1290/1.4,"")</f>
        <v/>
      </c>
      <c r="S1290" s="3">
        <f>IF(M1290&lt;&gt;"",M1290/1.56,"")</f>
        <v/>
      </c>
      <c r="T1290" s="3">
        <f>IF(N1290&lt;&gt;"",N1290,IF(O1290&lt;&gt;"",O1290,IF(L1290&lt;&gt;"",L1290/1.56,IF(M1290&lt;&gt;"",M1290/1.56,""))))</f>
        <v/>
      </c>
      <c r="U1290" s="3" t="n">
        <v>594</v>
      </c>
      <c r="V1290" s="3" t="n">
        <v>340</v>
      </c>
      <c r="W1290" s="3" t="n"/>
      <c r="X1290" s="4" t="n"/>
      <c r="Y1290" s="5" t="n">
        <v>0.08500000000000001</v>
      </c>
      <c r="Z1290" s="4">
        <f>IF(L1290&lt;&gt;"",SQRT(3)*G1290*L1290/1000,"")</f>
        <v/>
      </c>
      <c r="AA1290" t="inlineStr">
        <is>
          <t>Source=Copeland 2D/3D/4D/4R/6D/8D/9R compressors (pdf) p61; PWS_RLA=62.5</t>
        </is>
      </c>
      <c r="AB1290" t="inlineStr">
        <is>
          <t>Copeland_RLA_230_460_3ph_60Hz.xlsx</t>
        </is>
      </c>
      <c r="AC1290" t="inlineStr">
        <is>
          <t>Recip_2D-9R</t>
        </is>
      </c>
    </row>
    <row r="1291">
      <c r="A1291" t="inlineStr">
        <is>
          <t>COPELAND</t>
        </is>
      </c>
      <c r="B1291" t="inlineStr">
        <is>
          <t>6DG3R37M0-TSN</t>
        </is>
      </c>
      <c r="D1291" t="inlineStr">
        <is>
          <t>Reciprocating Semi-hermetic</t>
        </is>
      </c>
      <c r="E1291" s="2" t="n">
        <v>3</v>
      </c>
      <c r="F1291" s="2" t="n">
        <v>60</v>
      </c>
      <c r="G1291" s="2" t="n">
        <v>460</v>
      </c>
      <c r="H1291" t="inlineStr">
        <is>
          <t>460</t>
        </is>
      </c>
      <c r="I1291" s="2" t="n">
        <v>460</v>
      </c>
      <c r="J1291" s="2" t="n">
        <v>460</v>
      </c>
      <c r="L1291" s="3" t="n"/>
      <c r="M1291" s="3" t="n"/>
      <c r="N1291" s="3" t="n">
        <v>62.5</v>
      </c>
      <c r="O1291" s="3" t="n"/>
      <c r="P1291" s="3">
        <f>IF(L1291&lt;&gt;"",L1291/1.4,"")</f>
        <v/>
      </c>
      <c r="Q1291" s="3">
        <f>IF(L1291&lt;&gt;"",L1291/1.56,"")</f>
        <v/>
      </c>
      <c r="R1291" s="3">
        <f>IF(M1291&lt;&gt;"",M1291/1.4,"")</f>
        <v/>
      </c>
      <c r="S1291" s="3">
        <f>IF(M1291&lt;&gt;"",M1291/1.56,"")</f>
        <v/>
      </c>
      <c r="T1291" s="3">
        <f>IF(N1291&lt;&gt;"",N1291,IF(O1291&lt;&gt;"",O1291,IF(L1291&lt;&gt;"",L1291/1.56,IF(M1291&lt;&gt;"",M1291/1.56,""))))</f>
        <v/>
      </c>
      <c r="U1291" s="3" t="n">
        <v>297</v>
      </c>
      <c r="V1291" s="3" t="n"/>
      <c r="W1291" s="3" t="n"/>
      <c r="X1291" s="4" t="n"/>
      <c r="Y1291" s="5" t="n">
        <v>0.34</v>
      </c>
      <c r="Z1291" s="4">
        <f>IF(L1291&lt;&gt;"",SQRT(3)*G1291*L1291/1000,"")</f>
        <v/>
      </c>
      <c r="AA1291" t="inlineStr">
        <is>
          <t>Source=Copeland 2D/3D/4D/4R/6D/8D/9R compressors (pdf) p61</t>
        </is>
      </c>
      <c r="AB1291" t="inlineStr">
        <is>
          <t>Copeland_RLA_230_460_3ph_60Hz.xlsx</t>
        </is>
      </c>
      <c r="AC1291" t="inlineStr">
        <is>
          <t>Recip_2D-9R</t>
        </is>
      </c>
    </row>
    <row r="1292">
      <c r="A1292" t="inlineStr">
        <is>
          <t>COPELAND</t>
        </is>
      </c>
      <c r="B1292" t="inlineStr">
        <is>
          <t>6DG3R37ME-FSD</t>
        </is>
      </c>
      <c r="D1292" t="inlineStr">
        <is>
          <t>Reciprocating Semi-hermetic</t>
        </is>
      </c>
      <c r="E1292" s="2" t="n">
        <v>3</v>
      </c>
      <c r="F1292" s="2" t="n">
        <v>60</v>
      </c>
      <c r="G1292" s="2" t="n">
        <v>460</v>
      </c>
      <c r="H1292" t="inlineStr">
        <is>
          <t>460</t>
        </is>
      </c>
      <c r="I1292" s="2" t="n">
        <v>460</v>
      </c>
      <c r="J1292" s="2" t="n">
        <v>460</v>
      </c>
      <c r="L1292" s="3" t="n"/>
      <c r="M1292" s="3" t="n"/>
      <c r="N1292" s="3" t="n">
        <v>82.09999999999999</v>
      </c>
      <c r="O1292" s="3" t="n"/>
      <c r="P1292" s="3">
        <f>IF(L1292&lt;&gt;"",L1292/1.4,"")</f>
        <v/>
      </c>
      <c r="Q1292" s="3">
        <f>IF(L1292&lt;&gt;"",L1292/1.56,"")</f>
        <v/>
      </c>
      <c r="R1292" s="3">
        <f>IF(M1292&lt;&gt;"",M1292/1.4,"")</f>
        <v/>
      </c>
      <c r="S1292" s="3">
        <f>IF(M1292&lt;&gt;"",M1292/1.56,"")</f>
        <v/>
      </c>
      <c r="T1292" s="3">
        <f>IF(N1292&lt;&gt;"",N1292,IF(O1292&lt;&gt;"",O1292,IF(L1292&lt;&gt;"",L1292/1.56,IF(M1292&lt;&gt;"",M1292/1.56,""))))</f>
        <v/>
      </c>
      <c r="U1292" s="3" t="n">
        <v>315</v>
      </c>
      <c r="V1292" s="3" t="n">
        <v>195</v>
      </c>
      <c r="W1292" s="3" t="n"/>
      <c r="X1292" s="4" t="n"/>
      <c r="Y1292" s="5" t="n">
        <v>0.32</v>
      </c>
      <c r="Z1292" s="4">
        <f>IF(L1292&lt;&gt;"",SQRT(3)*G1292*L1292/1000,"")</f>
        <v/>
      </c>
      <c r="AA1292" t="inlineStr">
        <is>
          <t>Source=Copeland 2D/3D/4D/4R/6D/8D/9R compressors (pdf) p61; PWS_RLA=41.1</t>
        </is>
      </c>
      <c r="AB1292" t="inlineStr">
        <is>
          <t>Copeland_RLA_230_460_3ph_60Hz.xlsx</t>
        </is>
      </c>
      <c r="AC1292" t="inlineStr">
        <is>
          <t>Recip_2D-9R</t>
        </is>
      </c>
    </row>
    <row r="1293">
      <c r="A1293" t="inlineStr">
        <is>
          <t>COPELAND</t>
        </is>
      </c>
      <c r="B1293" t="inlineStr">
        <is>
          <t>6DG3R37ME-TSN</t>
        </is>
      </c>
      <c r="D1293" t="inlineStr">
        <is>
          <t>Reciprocating Semi-hermetic</t>
        </is>
      </c>
      <c r="E1293" s="2" t="n">
        <v>3</v>
      </c>
      <c r="F1293" s="2" t="n">
        <v>60</v>
      </c>
      <c r="G1293" s="2" t="n">
        <v>230</v>
      </c>
      <c r="H1293" t="inlineStr">
        <is>
          <t>230</t>
        </is>
      </c>
      <c r="I1293" s="2" t="n">
        <v>230</v>
      </c>
      <c r="J1293" s="2" t="n">
        <v>230</v>
      </c>
      <c r="L1293" s="3" t="n"/>
      <c r="M1293" s="3" t="n"/>
      <c r="N1293" s="3" t="n">
        <v>168.6</v>
      </c>
      <c r="O1293" s="3" t="n"/>
      <c r="P1293" s="3">
        <f>IF(L1293&lt;&gt;"",L1293/1.4,"")</f>
        <v/>
      </c>
      <c r="Q1293" s="3">
        <f>IF(L1293&lt;&gt;"",L1293/1.56,"")</f>
        <v/>
      </c>
      <c r="R1293" s="3">
        <f>IF(M1293&lt;&gt;"",M1293/1.4,"")</f>
        <v/>
      </c>
      <c r="S1293" s="3">
        <f>IF(M1293&lt;&gt;"",M1293/1.56,"")</f>
        <v/>
      </c>
      <c r="T1293" s="3">
        <f>IF(N1293&lt;&gt;"",N1293,IF(O1293&lt;&gt;"",O1293,IF(L1293&lt;&gt;"",L1293/1.56,IF(M1293&lt;&gt;"",M1293/1.56,""))))</f>
        <v/>
      </c>
      <c r="U1293" s="3" t="n">
        <v>594</v>
      </c>
      <c r="V1293" s="3" t="n">
        <v>340</v>
      </c>
      <c r="W1293" s="3" t="n"/>
      <c r="X1293" s="4" t="n"/>
      <c r="Y1293" s="5" t="n">
        <v>0.08500000000000001</v>
      </c>
      <c r="Z1293" s="4">
        <f>IF(L1293&lt;&gt;"",SQRT(3)*G1293*L1293/1000,"")</f>
        <v/>
      </c>
      <c r="AA1293" t="inlineStr">
        <is>
          <t>Source=Copeland 2D/3D/4D/4R/6D/8D/9R compressors (pdf) p61; PWS_RLA=84.3</t>
        </is>
      </c>
      <c r="AB1293" t="inlineStr">
        <is>
          <t>Copeland_RLA_230_460_3ph_60Hz.xlsx</t>
        </is>
      </c>
      <c r="AC1293" t="inlineStr">
        <is>
          <t>Recip_2D-9R</t>
        </is>
      </c>
    </row>
    <row r="1294">
      <c r="A1294" t="inlineStr">
        <is>
          <t>COPELAND</t>
        </is>
      </c>
      <c r="B1294" t="inlineStr">
        <is>
          <t>6DG3R37ME-TSN</t>
        </is>
      </c>
      <c r="D1294" t="inlineStr">
        <is>
          <t>Reciprocating Semi-hermetic</t>
        </is>
      </c>
      <c r="E1294" s="2" t="n">
        <v>3</v>
      </c>
      <c r="F1294" s="2" t="n">
        <v>60</v>
      </c>
      <c r="G1294" s="2" t="n">
        <v>460</v>
      </c>
      <c r="H1294" t="inlineStr">
        <is>
          <t>460</t>
        </is>
      </c>
      <c r="I1294" s="2" t="n">
        <v>460</v>
      </c>
      <c r="J1294" s="2" t="n">
        <v>460</v>
      </c>
      <c r="L1294" s="3" t="n"/>
      <c r="M1294" s="3" t="n"/>
      <c r="N1294" s="3" t="n">
        <v>84.3</v>
      </c>
      <c r="O1294" s="3" t="n"/>
      <c r="P1294" s="3">
        <f>IF(L1294&lt;&gt;"",L1294/1.4,"")</f>
        <v/>
      </c>
      <c r="Q1294" s="3">
        <f>IF(L1294&lt;&gt;"",L1294/1.56,"")</f>
        <v/>
      </c>
      <c r="R1294" s="3">
        <f>IF(M1294&lt;&gt;"",M1294/1.4,"")</f>
        <v/>
      </c>
      <c r="S1294" s="3">
        <f>IF(M1294&lt;&gt;"",M1294/1.56,"")</f>
        <v/>
      </c>
      <c r="T1294" s="3">
        <f>IF(N1294&lt;&gt;"",N1294,IF(O1294&lt;&gt;"",O1294,IF(L1294&lt;&gt;"",L1294/1.56,IF(M1294&lt;&gt;"",M1294/1.56,""))))</f>
        <v/>
      </c>
      <c r="U1294" s="3" t="n">
        <v>297</v>
      </c>
      <c r="V1294" s="3" t="n"/>
      <c r="W1294" s="3" t="n"/>
      <c r="X1294" s="4" t="n"/>
      <c r="Y1294" s="5" t="n">
        <v>0.34</v>
      </c>
      <c r="Z1294" s="4">
        <f>IF(L1294&lt;&gt;"",SQRT(3)*G1294*L1294/1000,"")</f>
        <v/>
      </c>
      <c r="AA1294" t="inlineStr">
        <is>
          <t>Source=Copeland 2D/3D/4D/4R/6D/8D/9R compressors (pdf) p61</t>
        </is>
      </c>
      <c r="AB1294" t="inlineStr">
        <is>
          <t>Copeland_RLA_230_460_3ph_60Hz.xlsx</t>
        </is>
      </c>
      <c r="AC1294" t="inlineStr">
        <is>
          <t>Recip_2D-9R</t>
        </is>
      </c>
    </row>
    <row r="1295">
      <c r="A1295" t="inlineStr">
        <is>
          <t>COPELAND</t>
        </is>
      </c>
      <c r="B1295" t="inlineStr">
        <is>
          <t>6DG3R37ML-FSD</t>
        </is>
      </c>
      <c r="D1295" t="inlineStr">
        <is>
          <t>Reciprocating Semi-hermetic</t>
        </is>
      </c>
      <c r="E1295" s="2" t="n">
        <v>3</v>
      </c>
      <c r="F1295" s="2" t="n">
        <v>60</v>
      </c>
      <c r="G1295" s="2" t="n">
        <v>460</v>
      </c>
      <c r="H1295" t="inlineStr">
        <is>
          <t>460</t>
        </is>
      </c>
      <c r="I1295" s="2" t="n">
        <v>460</v>
      </c>
      <c r="J1295" s="2" t="n">
        <v>460</v>
      </c>
      <c r="L1295" s="3" t="n"/>
      <c r="M1295" s="3" t="n"/>
      <c r="N1295" s="3" t="n">
        <v>82.09999999999999</v>
      </c>
      <c r="O1295" s="3" t="n"/>
      <c r="P1295" s="3">
        <f>IF(L1295&lt;&gt;"",L1295/1.4,"")</f>
        <v/>
      </c>
      <c r="Q1295" s="3">
        <f>IF(L1295&lt;&gt;"",L1295/1.56,"")</f>
        <v/>
      </c>
      <c r="R1295" s="3">
        <f>IF(M1295&lt;&gt;"",M1295/1.4,"")</f>
        <v/>
      </c>
      <c r="S1295" s="3">
        <f>IF(M1295&lt;&gt;"",M1295/1.56,"")</f>
        <v/>
      </c>
      <c r="T1295" s="3">
        <f>IF(N1295&lt;&gt;"",N1295,IF(O1295&lt;&gt;"",O1295,IF(L1295&lt;&gt;"",L1295/1.56,IF(M1295&lt;&gt;"",M1295/1.56,""))))</f>
        <v/>
      </c>
      <c r="U1295" s="3" t="n">
        <v>315</v>
      </c>
      <c r="V1295" s="3" t="n">
        <v>195</v>
      </c>
      <c r="W1295" s="3" t="n"/>
      <c r="X1295" s="4" t="n"/>
      <c r="Y1295" s="5" t="n">
        <v>0.32</v>
      </c>
      <c r="Z1295" s="4">
        <f>IF(L1295&lt;&gt;"",SQRT(3)*G1295*L1295/1000,"")</f>
        <v/>
      </c>
      <c r="AA1295" t="inlineStr">
        <is>
          <t>Source=Copeland 2D/3D/4D/4R/6D/8D/9R compressors (pdf) p61; PWS_RLA=41.1</t>
        </is>
      </c>
      <c r="AB1295" t="inlineStr">
        <is>
          <t>Copeland_RLA_230_460_3ph_60Hz.xlsx</t>
        </is>
      </c>
      <c r="AC1295" t="inlineStr">
        <is>
          <t>Recip_2D-9R</t>
        </is>
      </c>
    </row>
    <row r="1296">
      <c r="A1296" t="inlineStr">
        <is>
          <t>COPELAND</t>
        </is>
      </c>
      <c r="B1296" t="inlineStr">
        <is>
          <t>6DG3R37ML-TSN</t>
        </is>
      </c>
      <c r="D1296" t="inlineStr">
        <is>
          <t>Reciprocating Semi-hermetic</t>
        </is>
      </c>
      <c r="E1296" s="2" t="n">
        <v>3</v>
      </c>
      <c r="F1296" s="2" t="n">
        <v>60</v>
      </c>
      <c r="G1296" s="2" t="n">
        <v>230</v>
      </c>
      <c r="H1296" t="inlineStr">
        <is>
          <t>230</t>
        </is>
      </c>
      <c r="I1296" s="2" t="n">
        <v>230</v>
      </c>
      <c r="J1296" s="2" t="n">
        <v>230</v>
      </c>
      <c r="L1296" s="3" t="n"/>
      <c r="M1296" s="3" t="n"/>
      <c r="N1296" s="3" t="n">
        <v>168.6</v>
      </c>
      <c r="O1296" s="3" t="n"/>
      <c r="P1296" s="3">
        <f>IF(L1296&lt;&gt;"",L1296/1.4,"")</f>
        <v/>
      </c>
      <c r="Q1296" s="3">
        <f>IF(L1296&lt;&gt;"",L1296/1.56,"")</f>
        <v/>
      </c>
      <c r="R1296" s="3">
        <f>IF(M1296&lt;&gt;"",M1296/1.4,"")</f>
        <v/>
      </c>
      <c r="S1296" s="3">
        <f>IF(M1296&lt;&gt;"",M1296/1.56,"")</f>
        <v/>
      </c>
      <c r="T1296" s="3">
        <f>IF(N1296&lt;&gt;"",N1296,IF(O1296&lt;&gt;"",O1296,IF(L1296&lt;&gt;"",L1296/1.56,IF(M1296&lt;&gt;"",M1296/1.56,""))))</f>
        <v/>
      </c>
      <c r="U1296" s="3" t="n">
        <v>594</v>
      </c>
      <c r="V1296" s="3" t="n">
        <v>340</v>
      </c>
      <c r="W1296" s="3" t="n"/>
      <c r="X1296" s="4" t="n"/>
      <c r="Y1296" s="5" t="n">
        <v>0.08500000000000001</v>
      </c>
      <c r="Z1296" s="4">
        <f>IF(L1296&lt;&gt;"",SQRT(3)*G1296*L1296/1000,"")</f>
        <v/>
      </c>
      <c r="AA1296" t="inlineStr">
        <is>
          <t>Source=Copeland 2D/3D/4D/4R/6D/8D/9R compressors (pdf) p62; PWS_RLA=84.3</t>
        </is>
      </c>
      <c r="AB1296" t="inlineStr">
        <is>
          <t>Copeland_RLA_230_460_3ph_60Hz.xlsx</t>
        </is>
      </c>
      <c r="AC1296" t="inlineStr">
        <is>
          <t>Recip_2D-9R</t>
        </is>
      </c>
    </row>
    <row r="1297">
      <c r="A1297" t="inlineStr">
        <is>
          <t>COPELAND</t>
        </is>
      </c>
      <c r="B1297" t="inlineStr">
        <is>
          <t>6DG3R37ML-TSN</t>
        </is>
      </c>
      <c r="D1297" t="inlineStr">
        <is>
          <t>Reciprocating Semi-hermetic</t>
        </is>
      </c>
      <c r="E1297" s="2" t="n">
        <v>3</v>
      </c>
      <c r="F1297" s="2" t="n">
        <v>60</v>
      </c>
      <c r="G1297" s="2" t="n">
        <v>460</v>
      </c>
      <c r="H1297" t="inlineStr">
        <is>
          <t>460</t>
        </is>
      </c>
      <c r="I1297" s="2" t="n">
        <v>460</v>
      </c>
      <c r="J1297" s="2" t="n">
        <v>460</v>
      </c>
      <c r="L1297" s="3" t="n"/>
      <c r="M1297" s="3" t="n"/>
      <c r="N1297" s="3" t="n">
        <v>84.3</v>
      </c>
      <c r="O1297" s="3" t="n"/>
      <c r="P1297" s="3">
        <f>IF(L1297&lt;&gt;"",L1297/1.4,"")</f>
        <v/>
      </c>
      <c r="Q1297" s="3">
        <f>IF(L1297&lt;&gt;"",L1297/1.56,"")</f>
        <v/>
      </c>
      <c r="R1297" s="3">
        <f>IF(M1297&lt;&gt;"",M1297/1.4,"")</f>
        <v/>
      </c>
      <c r="S1297" s="3">
        <f>IF(M1297&lt;&gt;"",M1297/1.56,"")</f>
        <v/>
      </c>
      <c r="T1297" s="3">
        <f>IF(N1297&lt;&gt;"",N1297,IF(O1297&lt;&gt;"",O1297,IF(L1297&lt;&gt;"",L1297/1.56,IF(M1297&lt;&gt;"",M1297/1.56,""))))</f>
        <v/>
      </c>
      <c r="U1297" s="3" t="n">
        <v>297</v>
      </c>
      <c r="V1297" s="3" t="n"/>
      <c r="W1297" s="3" t="n"/>
      <c r="X1297" s="4" t="n"/>
      <c r="Y1297" s="5" t="n">
        <v>0.34</v>
      </c>
      <c r="Z1297" s="4">
        <f>IF(L1297&lt;&gt;"",SQRT(3)*G1297*L1297/1000,"")</f>
        <v/>
      </c>
      <c r="AA1297" t="inlineStr">
        <is>
          <t>Source=Copeland 2D/3D/4D/4R/6D/8D/9R compressors (pdf) p62</t>
        </is>
      </c>
      <c r="AB1297" t="inlineStr">
        <is>
          <t>Copeland_RLA_230_460_3ph_60Hz.xlsx</t>
        </is>
      </c>
      <c r="AC1297" t="inlineStr">
        <is>
          <t>Recip_2D-9R</t>
        </is>
      </c>
    </row>
    <row r="1298">
      <c r="A1298" t="inlineStr">
        <is>
          <t>COPELAND</t>
        </is>
      </c>
      <c r="B1298" t="inlineStr">
        <is>
          <t>6DG8-3500-TSN</t>
        </is>
      </c>
      <c r="D1298" t="inlineStr">
        <is>
          <t>Reciprocating Semi-hermetic</t>
        </is>
      </c>
      <c r="E1298" s="2" t="n">
        <v>3</v>
      </c>
      <c r="F1298" s="2" t="n">
        <v>60</v>
      </c>
      <c r="G1298" s="2" t="n">
        <v>230</v>
      </c>
      <c r="H1298" t="inlineStr">
        <is>
          <t>230</t>
        </is>
      </c>
      <c r="I1298" s="2" t="n">
        <v>230</v>
      </c>
      <c r="J1298" s="2" t="n">
        <v>230</v>
      </c>
      <c r="L1298" s="3" t="n"/>
      <c r="M1298" s="3" t="n"/>
      <c r="N1298" s="3" t="n">
        <v>125</v>
      </c>
      <c r="O1298" s="3" t="n"/>
      <c r="P1298" s="3">
        <f>IF(L1298&lt;&gt;"",L1298/1.4,"")</f>
        <v/>
      </c>
      <c r="Q1298" s="3">
        <f>IF(L1298&lt;&gt;"",L1298/1.56,"")</f>
        <v/>
      </c>
      <c r="R1298" s="3">
        <f>IF(M1298&lt;&gt;"",M1298/1.4,"")</f>
        <v/>
      </c>
      <c r="S1298" s="3">
        <f>IF(M1298&lt;&gt;"",M1298/1.56,"")</f>
        <v/>
      </c>
      <c r="T1298" s="3">
        <f>IF(N1298&lt;&gt;"",N1298,IF(O1298&lt;&gt;"",O1298,IF(L1298&lt;&gt;"",L1298/1.56,IF(M1298&lt;&gt;"",M1298/1.56,""))))</f>
        <v/>
      </c>
      <c r="U1298" s="3" t="n">
        <v>594</v>
      </c>
      <c r="V1298" s="3" t="n">
        <v>340</v>
      </c>
      <c r="W1298" s="3" t="n"/>
      <c r="X1298" s="4" t="n"/>
      <c r="Y1298" s="5" t="n">
        <v>0.08500000000000001</v>
      </c>
      <c r="Z1298" s="4">
        <f>IF(L1298&lt;&gt;"",SQRT(3)*G1298*L1298/1000,"")</f>
        <v/>
      </c>
      <c r="AA1298" t="inlineStr">
        <is>
          <t>Source=Copeland 2D/3D/4D/4R/6D/8D/9R compressors (pdf) p62; PWS_RLA=62.5</t>
        </is>
      </c>
      <c r="AB1298" t="inlineStr">
        <is>
          <t>Copeland_RLA_230_460_3ph_60Hz.xlsx</t>
        </is>
      </c>
      <c r="AC1298" t="inlineStr">
        <is>
          <t>Recip_2D-9R</t>
        </is>
      </c>
    </row>
    <row r="1299">
      <c r="A1299" t="inlineStr">
        <is>
          <t>COPELAND</t>
        </is>
      </c>
      <c r="B1299" t="inlineStr">
        <is>
          <t>6DG8-3500-TSN</t>
        </is>
      </c>
      <c r="D1299" t="inlineStr">
        <is>
          <t>Reciprocating Semi-hermetic</t>
        </is>
      </c>
      <c r="E1299" s="2" t="n">
        <v>3</v>
      </c>
      <c r="F1299" s="2" t="n">
        <v>60</v>
      </c>
      <c r="G1299" s="2" t="n">
        <v>460</v>
      </c>
      <c r="H1299" t="inlineStr">
        <is>
          <t>460</t>
        </is>
      </c>
      <c r="I1299" s="2" t="n">
        <v>460</v>
      </c>
      <c r="J1299" s="2" t="n">
        <v>460</v>
      </c>
      <c r="L1299" s="3" t="n"/>
      <c r="M1299" s="3" t="n"/>
      <c r="N1299" s="3" t="n">
        <v>62.5</v>
      </c>
      <c r="O1299" s="3" t="n"/>
      <c r="P1299" s="3">
        <f>IF(L1299&lt;&gt;"",L1299/1.4,"")</f>
        <v/>
      </c>
      <c r="Q1299" s="3">
        <f>IF(L1299&lt;&gt;"",L1299/1.56,"")</f>
        <v/>
      </c>
      <c r="R1299" s="3">
        <f>IF(M1299&lt;&gt;"",M1299/1.4,"")</f>
        <v/>
      </c>
      <c r="S1299" s="3">
        <f>IF(M1299&lt;&gt;"",M1299/1.56,"")</f>
        <v/>
      </c>
      <c r="T1299" s="3">
        <f>IF(N1299&lt;&gt;"",N1299,IF(O1299&lt;&gt;"",O1299,IF(L1299&lt;&gt;"",L1299/1.56,IF(M1299&lt;&gt;"",M1299/1.56,""))))</f>
        <v/>
      </c>
      <c r="U1299" s="3" t="n">
        <v>297</v>
      </c>
      <c r="V1299" s="3" t="n"/>
      <c r="W1299" s="3" t="n"/>
      <c r="X1299" s="4" t="n"/>
      <c r="Y1299" s="5" t="n">
        <v>0.34</v>
      </c>
      <c r="Z1299" s="4">
        <f>IF(L1299&lt;&gt;"",SQRT(3)*G1299*L1299/1000,"")</f>
        <v/>
      </c>
      <c r="AA1299" t="inlineStr">
        <is>
          <t>Source=Copeland 2D/3D/4D/4R/6D/8D/9R compressors (pdf) p62</t>
        </is>
      </c>
      <c r="AB1299" t="inlineStr">
        <is>
          <t>Copeland_RLA_230_460_3ph_60Hz.xlsx</t>
        </is>
      </c>
      <c r="AC1299" t="inlineStr">
        <is>
          <t>Recip_2D-9R</t>
        </is>
      </c>
    </row>
    <row r="1300">
      <c r="A1300" t="inlineStr">
        <is>
          <t>COPELAND</t>
        </is>
      </c>
      <c r="B1300" t="inlineStr">
        <is>
          <t>6DG8A3500-TSN</t>
        </is>
      </c>
      <c r="D1300" t="inlineStr">
        <is>
          <t>Reciprocating Semi-hermetic</t>
        </is>
      </c>
      <c r="E1300" s="2" t="n">
        <v>3</v>
      </c>
      <c r="F1300" s="2" t="n">
        <v>60</v>
      </c>
      <c r="G1300" s="2" t="n">
        <v>230</v>
      </c>
      <c r="H1300" t="inlineStr">
        <is>
          <t>230</t>
        </is>
      </c>
      <c r="I1300" s="2" t="n">
        <v>230</v>
      </c>
      <c r="J1300" s="2" t="n">
        <v>230</v>
      </c>
      <c r="L1300" s="3" t="n"/>
      <c r="M1300" s="3" t="n"/>
      <c r="N1300" s="3" t="n">
        <v>125</v>
      </c>
      <c r="O1300" s="3" t="n"/>
      <c r="P1300" s="3">
        <f>IF(L1300&lt;&gt;"",L1300/1.4,"")</f>
        <v/>
      </c>
      <c r="Q1300" s="3">
        <f>IF(L1300&lt;&gt;"",L1300/1.56,"")</f>
        <v/>
      </c>
      <c r="R1300" s="3">
        <f>IF(M1300&lt;&gt;"",M1300/1.4,"")</f>
        <v/>
      </c>
      <c r="S1300" s="3">
        <f>IF(M1300&lt;&gt;"",M1300/1.56,"")</f>
        <v/>
      </c>
      <c r="T1300" s="3">
        <f>IF(N1300&lt;&gt;"",N1300,IF(O1300&lt;&gt;"",O1300,IF(L1300&lt;&gt;"",L1300/1.56,IF(M1300&lt;&gt;"",M1300/1.56,""))))</f>
        <v/>
      </c>
      <c r="U1300" s="3" t="n">
        <v>594</v>
      </c>
      <c r="V1300" s="3" t="n">
        <v>340</v>
      </c>
      <c r="W1300" s="3" t="n"/>
      <c r="X1300" s="4" t="n"/>
      <c r="Y1300" s="5" t="n">
        <v>0.08500000000000001</v>
      </c>
      <c r="Z1300" s="4">
        <f>IF(L1300&lt;&gt;"",SQRT(3)*G1300*L1300/1000,"")</f>
        <v/>
      </c>
      <c r="AA1300" t="inlineStr">
        <is>
          <t>Source=Copeland 2D/3D/4D/4R/6D/8D/9R compressors (pdf) p62; PWS_RLA=62.5</t>
        </is>
      </c>
      <c r="AB1300" t="inlineStr">
        <is>
          <t>Copeland_RLA_230_460_3ph_60Hz.xlsx</t>
        </is>
      </c>
      <c r="AC1300" t="inlineStr">
        <is>
          <t>Recip_2D-9R</t>
        </is>
      </c>
    </row>
    <row r="1301">
      <c r="A1301" t="inlineStr">
        <is>
          <t>COPELAND</t>
        </is>
      </c>
      <c r="B1301" t="inlineStr">
        <is>
          <t>6DG8A3500-TSN</t>
        </is>
      </c>
      <c r="D1301" t="inlineStr">
        <is>
          <t>Reciprocating Semi-hermetic</t>
        </is>
      </c>
      <c r="E1301" s="2" t="n">
        <v>3</v>
      </c>
      <c r="F1301" s="2" t="n">
        <v>60</v>
      </c>
      <c r="G1301" s="2" t="n">
        <v>460</v>
      </c>
      <c r="H1301" t="inlineStr">
        <is>
          <t>460</t>
        </is>
      </c>
      <c r="I1301" s="2" t="n">
        <v>460</v>
      </c>
      <c r="J1301" s="2" t="n">
        <v>460</v>
      </c>
      <c r="L1301" s="3" t="n"/>
      <c r="M1301" s="3" t="n"/>
      <c r="N1301" s="3" t="n">
        <v>62.5</v>
      </c>
      <c r="O1301" s="3" t="n"/>
      <c r="P1301" s="3">
        <f>IF(L1301&lt;&gt;"",L1301/1.4,"")</f>
        <v/>
      </c>
      <c r="Q1301" s="3">
        <f>IF(L1301&lt;&gt;"",L1301/1.56,"")</f>
        <v/>
      </c>
      <c r="R1301" s="3">
        <f>IF(M1301&lt;&gt;"",M1301/1.4,"")</f>
        <v/>
      </c>
      <c r="S1301" s="3">
        <f>IF(M1301&lt;&gt;"",M1301/1.56,"")</f>
        <v/>
      </c>
      <c r="T1301" s="3">
        <f>IF(N1301&lt;&gt;"",N1301,IF(O1301&lt;&gt;"",O1301,IF(L1301&lt;&gt;"",L1301/1.56,IF(M1301&lt;&gt;"",M1301/1.56,""))))</f>
        <v/>
      </c>
      <c r="U1301" s="3" t="n">
        <v>297</v>
      </c>
      <c r="V1301" s="3" t="n"/>
      <c r="W1301" s="3" t="n"/>
      <c r="X1301" s="4" t="n"/>
      <c r="Y1301" s="5" t="n">
        <v>0.34</v>
      </c>
      <c r="Z1301" s="4">
        <f>IF(L1301&lt;&gt;"",SQRT(3)*G1301*L1301/1000,"")</f>
        <v/>
      </c>
      <c r="AA1301" t="inlineStr">
        <is>
          <t>Source=Copeland 2D/3D/4D/4R/6D/8D/9R compressors (pdf) p62</t>
        </is>
      </c>
      <c r="AB1301" t="inlineStr">
        <is>
          <t>Copeland_RLA_230_460_3ph_60Hz.xlsx</t>
        </is>
      </c>
      <c r="AC1301" t="inlineStr">
        <is>
          <t>Recip_2D-9R</t>
        </is>
      </c>
    </row>
    <row r="1302">
      <c r="A1302" t="inlineStr">
        <is>
          <t>COPELAND</t>
        </is>
      </c>
      <c r="B1302" t="inlineStr">
        <is>
          <t>6DGG-3500-TSN</t>
        </is>
      </c>
      <c r="D1302" t="inlineStr">
        <is>
          <t>Reciprocating Semi-hermetic</t>
        </is>
      </c>
      <c r="E1302" s="2" t="n">
        <v>3</v>
      </c>
      <c r="F1302" s="2" t="n">
        <v>60</v>
      </c>
      <c r="G1302" s="2" t="n">
        <v>230</v>
      </c>
      <c r="H1302" t="inlineStr">
        <is>
          <t>230</t>
        </is>
      </c>
      <c r="I1302" s="2" t="n">
        <v>230</v>
      </c>
      <c r="J1302" s="2" t="n">
        <v>230</v>
      </c>
      <c r="L1302" s="3" t="n"/>
      <c r="M1302" s="3" t="n"/>
      <c r="N1302" s="3" t="n">
        <v>125</v>
      </c>
      <c r="O1302" s="3" t="n"/>
      <c r="P1302" s="3">
        <f>IF(L1302&lt;&gt;"",L1302/1.4,"")</f>
        <v/>
      </c>
      <c r="Q1302" s="3">
        <f>IF(L1302&lt;&gt;"",L1302/1.56,"")</f>
        <v/>
      </c>
      <c r="R1302" s="3">
        <f>IF(M1302&lt;&gt;"",M1302/1.4,"")</f>
        <v/>
      </c>
      <c r="S1302" s="3">
        <f>IF(M1302&lt;&gt;"",M1302/1.56,"")</f>
        <v/>
      </c>
      <c r="T1302" s="3">
        <f>IF(N1302&lt;&gt;"",N1302,IF(O1302&lt;&gt;"",O1302,IF(L1302&lt;&gt;"",L1302/1.56,IF(M1302&lt;&gt;"",M1302/1.56,""))))</f>
        <v/>
      </c>
      <c r="U1302" s="3" t="n">
        <v>594</v>
      </c>
      <c r="V1302" s="3" t="n">
        <v>340</v>
      </c>
      <c r="W1302" s="3" t="n"/>
      <c r="X1302" s="4" t="n"/>
      <c r="Y1302" s="5" t="n">
        <v>0.08500000000000001</v>
      </c>
      <c r="Z1302" s="4">
        <f>IF(L1302&lt;&gt;"",SQRT(3)*G1302*L1302/1000,"")</f>
        <v/>
      </c>
      <c r="AA1302" t="inlineStr">
        <is>
          <t>Source=Copeland 2D/3D/4D/4R/6D/8D/9R compressors (pdf) p62; PWS_RLA=62.5</t>
        </is>
      </c>
      <c r="AB1302" t="inlineStr">
        <is>
          <t>Copeland_RLA_230_460_3ph_60Hz.xlsx</t>
        </is>
      </c>
      <c r="AC1302" t="inlineStr">
        <is>
          <t>Recip_2D-9R</t>
        </is>
      </c>
    </row>
    <row r="1303">
      <c r="A1303" t="inlineStr">
        <is>
          <t>COPELAND</t>
        </is>
      </c>
      <c r="B1303" t="inlineStr">
        <is>
          <t>6DGG-3500-TSN</t>
        </is>
      </c>
      <c r="D1303" t="inlineStr">
        <is>
          <t>Reciprocating Semi-hermetic</t>
        </is>
      </c>
      <c r="E1303" s="2" t="n">
        <v>3</v>
      </c>
      <c r="F1303" s="2" t="n">
        <v>60</v>
      </c>
      <c r="G1303" s="2" t="n">
        <v>460</v>
      </c>
      <c r="H1303" t="inlineStr">
        <is>
          <t>460</t>
        </is>
      </c>
      <c r="I1303" s="2" t="n">
        <v>460</v>
      </c>
      <c r="J1303" s="2" t="n">
        <v>460</v>
      </c>
      <c r="L1303" s="3" t="n"/>
      <c r="M1303" s="3" t="n"/>
      <c r="N1303" s="3" t="n">
        <v>62.5</v>
      </c>
      <c r="O1303" s="3" t="n"/>
      <c r="P1303" s="3">
        <f>IF(L1303&lt;&gt;"",L1303/1.4,"")</f>
        <v/>
      </c>
      <c r="Q1303" s="3">
        <f>IF(L1303&lt;&gt;"",L1303/1.56,"")</f>
        <v/>
      </c>
      <c r="R1303" s="3">
        <f>IF(M1303&lt;&gt;"",M1303/1.4,"")</f>
        <v/>
      </c>
      <c r="S1303" s="3">
        <f>IF(M1303&lt;&gt;"",M1303/1.56,"")</f>
        <v/>
      </c>
      <c r="T1303" s="3">
        <f>IF(N1303&lt;&gt;"",N1303,IF(O1303&lt;&gt;"",O1303,IF(L1303&lt;&gt;"",L1303/1.56,IF(M1303&lt;&gt;"",M1303/1.56,""))))</f>
        <v/>
      </c>
      <c r="U1303" s="3" t="n">
        <v>297</v>
      </c>
      <c r="V1303" s="3" t="n"/>
      <c r="W1303" s="3" t="n"/>
      <c r="X1303" s="4" t="n"/>
      <c r="Y1303" s="5" t="n">
        <v>0.34</v>
      </c>
      <c r="Z1303" s="4">
        <f>IF(L1303&lt;&gt;"",SQRT(3)*G1303*L1303/1000,"")</f>
        <v/>
      </c>
      <c r="AA1303" t="inlineStr">
        <is>
          <t>Source=Copeland 2D/3D/4D/4R/6D/8D/9R compressors (pdf) p62</t>
        </is>
      </c>
      <c r="AB1303" t="inlineStr">
        <is>
          <t>Copeland_RLA_230_460_3ph_60Hz.xlsx</t>
        </is>
      </c>
      <c r="AC1303" t="inlineStr">
        <is>
          <t>Recip_2D-9R</t>
        </is>
      </c>
    </row>
    <row r="1304">
      <c r="A1304" t="inlineStr">
        <is>
          <t>COPELAND</t>
        </is>
      </c>
      <c r="B1304" t="inlineStr">
        <is>
          <t>6DGG-350E-FSD</t>
        </is>
      </c>
      <c r="D1304" t="inlineStr">
        <is>
          <t>Reciprocating Semi-hermetic</t>
        </is>
      </c>
      <c r="E1304" s="2" t="n">
        <v>3</v>
      </c>
      <c r="F1304" s="2" t="n">
        <v>60</v>
      </c>
      <c r="G1304" s="2" t="n">
        <v>460</v>
      </c>
      <c r="H1304" t="inlineStr">
        <is>
          <t>460</t>
        </is>
      </c>
      <c r="I1304" s="2" t="n">
        <v>460</v>
      </c>
      <c r="J1304" s="2" t="n">
        <v>460</v>
      </c>
      <c r="L1304" s="3" t="n"/>
      <c r="M1304" s="3" t="n"/>
      <c r="N1304" s="3" t="n">
        <v>66</v>
      </c>
      <c r="O1304" s="3" t="n"/>
      <c r="P1304" s="3">
        <f>IF(L1304&lt;&gt;"",L1304/1.4,"")</f>
        <v/>
      </c>
      <c r="Q1304" s="3">
        <f>IF(L1304&lt;&gt;"",L1304/1.56,"")</f>
        <v/>
      </c>
      <c r="R1304" s="3">
        <f>IF(M1304&lt;&gt;"",M1304/1.4,"")</f>
        <v/>
      </c>
      <c r="S1304" s="3">
        <f>IF(M1304&lt;&gt;"",M1304/1.56,"")</f>
        <v/>
      </c>
      <c r="T1304" s="3">
        <f>IF(N1304&lt;&gt;"",N1304,IF(O1304&lt;&gt;"",O1304,IF(L1304&lt;&gt;"",L1304/1.56,IF(M1304&lt;&gt;"",M1304/1.56,""))))</f>
        <v/>
      </c>
      <c r="U1304" s="3" t="n">
        <v>315</v>
      </c>
      <c r="V1304" s="3" t="n">
        <v>195</v>
      </c>
      <c r="W1304" s="3" t="n"/>
      <c r="X1304" s="4" t="n"/>
      <c r="Y1304" s="5" t="n">
        <v>0.32</v>
      </c>
      <c r="Z1304" s="4">
        <f>IF(L1304&lt;&gt;"",SQRT(3)*G1304*L1304/1000,"")</f>
        <v/>
      </c>
      <c r="AA1304" t="inlineStr">
        <is>
          <t>Source=Copeland 2D/3D/4D/4R/6D/8D/9R compressors (pdf) p62; PWS_RLA=33.0</t>
        </is>
      </c>
      <c r="AB1304" t="inlineStr">
        <is>
          <t>Copeland_RLA_230_460_3ph_60Hz.xlsx</t>
        </is>
      </c>
      <c r="AC1304" t="inlineStr">
        <is>
          <t>Recip_2D-9R</t>
        </is>
      </c>
    </row>
    <row r="1305">
      <c r="A1305" t="inlineStr">
        <is>
          <t>COPELAND</t>
        </is>
      </c>
      <c r="B1305" t="inlineStr">
        <is>
          <t>6DGGA3500-TSN</t>
        </is>
      </c>
      <c r="D1305" t="inlineStr">
        <is>
          <t>Reciprocating Semi-hermetic</t>
        </is>
      </c>
      <c r="E1305" s="2" t="n">
        <v>3</v>
      </c>
      <c r="F1305" s="2" t="n">
        <v>60</v>
      </c>
      <c r="G1305" s="2" t="n">
        <v>230</v>
      </c>
      <c r="H1305" t="inlineStr">
        <is>
          <t>230</t>
        </is>
      </c>
      <c r="I1305" s="2" t="n">
        <v>230</v>
      </c>
      <c r="J1305" s="2" t="n">
        <v>230</v>
      </c>
      <c r="L1305" s="3" t="n"/>
      <c r="M1305" s="3" t="n"/>
      <c r="N1305" s="3" t="n">
        <v>125</v>
      </c>
      <c r="O1305" s="3" t="n"/>
      <c r="P1305" s="3">
        <f>IF(L1305&lt;&gt;"",L1305/1.4,"")</f>
        <v/>
      </c>
      <c r="Q1305" s="3">
        <f>IF(L1305&lt;&gt;"",L1305/1.56,"")</f>
        <v/>
      </c>
      <c r="R1305" s="3">
        <f>IF(M1305&lt;&gt;"",M1305/1.4,"")</f>
        <v/>
      </c>
      <c r="S1305" s="3">
        <f>IF(M1305&lt;&gt;"",M1305/1.56,"")</f>
        <v/>
      </c>
      <c r="T1305" s="3">
        <f>IF(N1305&lt;&gt;"",N1305,IF(O1305&lt;&gt;"",O1305,IF(L1305&lt;&gt;"",L1305/1.56,IF(M1305&lt;&gt;"",M1305/1.56,""))))</f>
        <v/>
      </c>
      <c r="U1305" s="3" t="n">
        <v>594</v>
      </c>
      <c r="V1305" s="3" t="n">
        <v>340</v>
      </c>
      <c r="W1305" s="3" t="n"/>
      <c r="X1305" s="4" t="n"/>
      <c r="Y1305" s="5" t="n">
        <v>0.08500000000000001</v>
      </c>
      <c r="Z1305" s="4">
        <f>IF(L1305&lt;&gt;"",SQRT(3)*G1305*L1305/1000,"")</f>
        <v/>
      </c>
      <c r="AA1305" t="inlineStr">
        <is>
          <t>Source=Copeland 2D/3D/4D/4R/6D/8D/9R compressors (pdf) p62; PWS_RLA=62.5</t>
        </is>
      </c>
      <c r="AB1305" t="inlineStr">
        <is>
          <t>Copeland_RLA_230_460_3ph_60Hz.xlsx</t>
        </is>
      </c>
      <c r="AC1305" t="inlineStr">
        <is>
          <t>Recip_2D-9R</t>
        </is>
      </c>
    </row>
    <row r="1306">
      <c r="A1306" t="inlineStr">
        <is>
          <t>COPELAND</t>
        </is>
      </c>
      <c r="B1306" t="inlineStr">
        <is>
          <t>6DGGA3500-TSN</t>
        </is>
      </c>
      <c r="D1306" t="inlineStr">
        <is>
          <t>Reciprocating Semi-hermetic</t>
        </is>
      </c>
      <c r="E1306" s="2" t="n">
        <v>3</v>
      </c>
      <c r="F1306" s="2" t="n">
        <v>60</v>
      </c>
      <c r="G1306" s="2" t="n">
        <v>460</v>
      </c>
      <c r="H1306" t="inlineStr">
        <is>
          <t>460</t>
        </is>
      </c>
      <c r="I1306" s="2" t="n">
        <v>460</v>
      </c>
      <c r="J1306" s="2" t="n">
        <v>460</v>
      </c>
      <c r="L1306" s="3" t="n"/>
      <c r="M1306" s="3" t="n"/>
      <c r="N1306" s="3" t="n">
        <v>62.5</v>
      </c>
      <c r="O1306" s="3" t="n"/>
      <c r="P1306" s="3">
        <f>IF(L1306&lt;&gt;"",L1306/1.4,"")</f>
        <v/>
      </c>
      <c r="Q1306" s="3">
        <f>IF(L1306&lt;&gt;"",L1306/1.56,"")</f>
        <v/>
      </c>
      <c r="R1306" s="3">
        <f>IF(M1306&lt;&gt;"",M1306/1.4,"")</f>
        <v/>
      </c>
      <c r="S1306" s="3">
        <f>IF(M1306&lt;&gt;"",M1306/1.56,"")</f>
        <v/>
      </c>
      <c r="T1306" s="3">
        <f>IF(N1306&lt;&gt;"",N1306,IF(O1306&lt;&gt;"",O1306,IF(L1306&lt;&gt;"",L1306/1.56,IF(M1306&lt;&gt;"",M1306/1.56,""))))</f>
        <v/>
      </c>
      <c r="U1306" s="3" t="n">
        <v>297</v>
      </c>
      <c r="V1306" s="3" t="n"/>
      <c r="W1306" s="3" t="n"/>
      <c r="X1306" s="4" t="n"/>
      <c r="Y1306" s="5" t="n">
        <v>0.34</v>
      </c>
      <c r="Z1306" s="4">
        <f>IF(L1306&lt;&gt;"",SQRT(3)*G1306*L1306/1000,"")</f>
        <v/>
      </c>
      <c r="AA1306" t="inlineStr">
        <is>
          <t>Source=Copeland 2D/3D/4D/4R/6D/8D/9R compressors (pdf) p62</t>
        </is>
      </c>
      <c r="AB1306" t="inlineStr">
        <is>
          <t>Copeland_RLA_230_460_3ph_60Hz.xlsx</t>
        </is>
      </c>
      <c r="AC1306" t="inlineStr">
        <is>
          <t>Recip_2D-9R</t>
        </is>
      </c>
    </row>
    <row r="1307">
      <c r="A1307" t="inlineStr">
        <is>
          <t>COPELAND</t>
        </is>
      </c>
      <c r="B1307" t="inlineStr">
        <is>
          <t>6DH1-2000-FSD</t>
        </is>
      </c>
      <c r="D1307" t="inlineStr">
        <is>
          <t>Reciprocating Semi-hermetic</t>
        </is>
      </c>
      <c r="E1307" s="2" t="n">
        <v>3</v>
      </c>
      <c r="F1307" s="2" t="n">
        <v>60</v>
      </c>
      <c r="G1307" s="2" t="n">
        <v>460</v>
      </c>
      <c r="H1307" t="inlineStr">
        <is>
          <t>460</t>
        </is>
      </c>
      <c r="I1307" s="2" t="n">
        <v>460</v>
      </c>
      <c r="J1307" s="2" t="n">
        <v>460</v>
      </c>
      <c r="L1307" s="3" t="n"/>
      <c r="M1307" s="3" t="n"/>
      <c r="N1307" s="3" t="n">
        <v>39.3</v>
      </c>
      <c r="O1307" s="3" t="n"/>
      <c r="P1307" s="3">
        <f>IF(L1307&lt;&gt;"",L1307/1.4,"")</f>
        <v/>
      </c>
      <c r="Q1307" s="3">
        <f>IF(L1307&lt;&gt;"",L1307/1.56,"")</f>
        <v/>
      </c>
      <c r="R1307" s="3">
        <f>IF(M1307&lt;&gt;"",M1307/1.4,"")</f>
        <v/>
      </c>
      <c r="S1307" s="3">
        <f>IF(M1307&lt;&gt;"",M1307/1.56,"")</f>
        <v/>
      </c>
      <c r="T1307" s="3">
        <f>IF(N1307&lt;&gt;"",N1307,IF(O1307&lt;&gt;"",O1307,IF(L1307&lt;&gt;"",L1307/1.56,IF(M1307&lt;&gt;"",M1307/1.56,""))))</f>
        <v/>
      </c>
      <c r="U1307" s="3" t="n">
        <v>173</v>
      </c>
      <c r="V1307" s="3" t="n">
        <v>104</v>
      </c>
      <c r="W1307" s="3" t="n"/>
      <c r="X1307" s="4" t="n"/>
      <c r="Y1307" s="5" t="n">
        <v>0.603</v>
      </c>
      <c r="Z1307" s="4">
        <f>IF(L1307&lt;&gt;"",SQRT(3)*G1307*L1307/1000,"")</f>
        <v/>
      </c>
      <c r="AA1307" t="inlineStr">
        <is>
          <t>Source=Copeland 2D/3D/4D/4R/6D/8D/9R compressors (pdf) p62; PWS_RLA=19.7</t>
        </is>
      </c>
      <c r="AB1307" t="inlineStr">
        <is>
          <t>Copeland_RLA_230_460_3ph_60Hz.xlsx</t>
        </is>
      </c>
      <c r="AC1307" t="inlineStr">
        <is>
          <t>Recip_2D-9R</t>
        </is>
      </c>
    </row>
    <row r="1308">
      <c r="A1308" t="inlineStr">
        <is>
          <t>COPELAND</t>
        </is>
      </c>
      <c r="B1308" t="inlineStr">
        <is>
          <t>6DH1-2000-TSK</t>
        </is>
      </c>
      <c r="D1308" t="inlineStr">
        <is>
          <t>Reciprocating Semi-hermetic</t>
        </is>
      </c>
      <c r="E1308" s="2" t="n">
        <v>3</v>
      </c>
      <c r="F1308" s="2" t="n">
        <v>60</v>
      </c>
      <c r="G1308" s="2" t="n">
        <v>230</v>
      </c>
      <c r="H1308" t="inlineStr">
        <is>
          <t>208/230</t>
        </is>
      </c>
      <c r="I1308" s="2" t="n">
        <v>208</v>
      </c>
      <c r="J1308" s="2" t="n">
        <v>230</v>
      </c>
      <c r="L1308" s="3" t="n"/>
      <c r="M1308" s="3" t="n"/>
      <c r="N1308" s="3" t="n">
        <v>75</v>
      </c>
      <c r="O1308" s="3" t="n"/>
      <c r="P1308" s="3">
        <f>IF(L1308&lt;&gt;"",L1308/1.4,"")</f>
        <v/>
      </c>
      <c r="Q1308" s="3">
        <f>IF(L1308&lt;&gt;"",L1308/1.56,"")</f>
        <v/>
      </c>
      <c r="R1308" s="3">
        <f>IF(M1308&lt;&gt;"",M1308/1.4,"")</f>
        <v/>
      </c>
      <c r="S1308" s="3">
        <f>IF(M1308&lt;&gt;"",M1308/1.56,"")</f>
        <v/>
      </c>
      <c r="T1308" s="3">
        <f>IF(N1308&lt;&gt;"",N1308,IF(O1308&lt;&gt;"",O1308,IF(L1308&lt;&gt;"",L1308/1.56,IF(M1308&lt;&gt;"",M1308/1.56,""))))</f>
        <v/>
      </c>
      <c r="U1308" s="3" t="n">
        <v>346</v>
      </c>
      <c r="V1308" s="3" t="n">
        <v>208</v>
      </c>
      <c r="W1308" s="3" t="n"/>
      <c r="X1308" s="4" t="n"/>
      <c r="Y1308" s="5" t="n">
        <v>0.142</v>
      </c>
      <c r="Z1308" s="4">
        <f>IF(L1308&lt;&gt;"",SQRT(3)*G1308*L1308/1000,"")</f>
        <v/>
      </c>
      <c r="AA1308" t="inlineStr">
        <is>
          <t>Source=Copeland 2D/3D/4D/4R/6D/8D/9R compressors (pdf) p62; PWS_RLA=37.5</t>
        </is>
      </c>
      <c r="AB1308" t="inlineStr">
        <is>
          <t>Copeland_RLA_230_460_3ph_60Hz.xlsx</t>
        </is>
      </c>
      <c r="AC1308" t="inlineStr">
        <is>
          <t>Recip_2D-9R</t>
        </is>
      </c>
    </row>
    <row r="1309">
      <c r="A1309" t="inlineStr">
        <is>
          <t>COPELAND</t>
        </is>
      </c>
      <c r="B1309" t="inlineStr">
        <is>
          <t>6DH1-2000-TSK</t>
        </is>
      </c>
      <c r="D1309" t="inlineStr">
        <is>
          <t>Reciprocating Semi-hermetic</t>
        </is>
      </c>
      <c r="E1309" s="2" t="n">
        <v>3</v>
      </c>
      <c r="F1309" s="2" t="n">
        <v>60</v>
      </c>
      <c r="G1309" s="2" t="n">
        <v>460</v>
      </c>
      <c r="H1309" t="inlineStr">
        <is>
          <t>460</t>
        </is>
      </c>
      <c r="I1309" s="2" t="n">
        <v>460</v>
      </c>
      <c r="J1309" s="2" t="n">
        <v>460</v>
      </c>
      <c r="L1309" s="3" t="n"/>
      <c r="M1309" s="3" t="n"/>
      <c r="N1309" s="3" t="n">
        <v>37.5</v>
      </c>
      <c r="O1309" s="3" t="n"/>
      <c r="P1309" s="3">
        <f>IF(L1309&lt;&gt;"",L1309/1.4,"")</f>
        <v/>
      </c>
      <c r="Q1309" s="3">
        <f>IF(L1309&lt;&gt;"",L1309/1.56,"")</f>
        <v/>
      </c>
      <c r="R1309" s="3">
        <f>IF(M1309&lt;&gt;"",M1309/1.4,"")</f>
        <v/>
      </c>
      <c r="S1309" s="3">
        <f>IF(M1309&lt;&gt;"",M1309/1.56,"")</f>
        <v/>
      </c>
      <c r="T1309" s="3">
        <f>IF(N1309&lt;&gt;"",N1309,IF(O1309&lt;&gt;"",O1309,IF(L1309&lt;&gt;"",L1309/1.56,IF(M1309&lt;&gt;"",M1309/1.56,""))))</f>
        <v/>
      </c>
      <c r="U1309" s="3" t="n">
        <v>173</v>
      </c>
      <c r="V1309" s="3" t="n"/>
      <c r="W1309" s="3" t="n"/>
      <c r="X1309" s="4" t="n"/>
      <c r="Y1309" s="5" t="n">
        <v>0.5679999999999999</v>
      </c>
      <c r="Z1309" s="4">
        <f>IF(L1309&lt;&gt;"",SQRT(3)*G1309*L1309/1000,"")</f>
        <v/>
      </c>
      <c r="AA1309" t="inlineStr">
        <is>
          <t>Source=Copeland 2D/3D/4D/4R/6D/8D/9R compressors (pdf) p62</t>
        </is>
      </c>
      <c r="AB1309" t="inlineStr">
        <is>
          <t>Copeland_RLA_230_460_3ph_60Hz.xlsx</t>
        </is>
      </c>
      <c r="AC1309" t="inlineStr">
        <is>
          <t>Recip_2D-9R</t>
        </is>
      </c>
    </row>
    <row r="1310">
      <c r="A1310" t="inlineStr">
        <is>
          <t>COPELAND</t>
        </is>
      </c>
      <c r="B1310" t="inlineStr">
        <is>
          <t>6DH1-3500-FSD</t>
        </is>
      </c>
      <c r="D1310" t="inlineStr">
        <is>
          <t>Reciprocating Semi-hermetic</t>
        </is>
      </c>
      <c r="E1310" s="2" t="n">
        <v>3</v>
      </c>
      <c r="F1310" s="2" t="n">
        <v>60</v>
      </c>
      <c r="G1310" s="2" t="n">
        <v>460</v>
      </c>
      <c r="H1310" t="inlineStr">
        <is>
          <t>460</t>
        </is>
      </c>
      <c r="I1310" s="2" t="n">
        <v>460</v>
      </c>
      <c r="J1310" s="2" t="n">
        <v>460</v>
      </c>
      <c r="L1310" s="3" t="n"/>
      <c r="M1310" s="3" t="n"/>
      <c r="N1310" s="3" t="n">
        <v>67.5</v>
      </c>
      <c r="O1310" s="3" t="n"/>
      <c r="P1310" s="3">
        <f>IF(L1310&lt;&gt;"",L1310/1.4,"")</f>
        <v/>
      </c>
      <c r="Q1310" s="3">
        <f>IF(L1310&lt;&gt;"",L1310/1.56,"")</f>
        <v/>
      </c>
      <c r="R1310" s="3">
        <f>IF(M1310&lt;&gt;"",M1310/1.4,"")</f>
        <v/>
      </c>
      <c r="S1310" s="3">
        <f>IF(M1310&lt;&gt;"",M1310/1.56,"")</f>
        <v/>
      </c>
      <c r="T1310" s="3">
        <f>IF(N1310&lt;&gt;"",N1310,IF(O1310&lt;&gt;"",O1310,IF(L1310&lt;&gt;"",L1310/1.56,IF(M1310&lt;&gt;"",M1310/1.56,""))))</f>
        <v/>
      </c>
      <c r="U1310" s="3" t="n">
        <v>260</v>
      </c>
      <c r="V1310" s="3" t="n">
        <v>156</v>
      </c>
      <c r="W1310" s="3" t="n"/>
      <c r="X1310" s="4" t="n"/>
      <c r="Y1310" s="5" t="n">
        <v>0.4</v>
      </c>
      <c r="Z1310" s="4">
        <f>IF(L1310&lt;&gt;"",SQRT(3)*G1310*L1310/1000,"")</f>
        <v/>
      </c>
      <c r="AA1310" t="inlineStr">
        <is>
          <t>Source=Copeland 2D/3D/4D/4R/6D/8D/9R compressors (pdf) p62; PWS_RLA=33.8</t>
        </is>
      </c>
      <c r="AB1310" t="inlineStr">
        <is>
          <t>Copeland_RLA_230_460_3ph_60Hz.xlsx</t>
        </is>
      </c>
      <c r="AC1310" t="inlineStr">
        <is>
          <t>Recip_2D-9R</t>
        </is>
      </c>
    </row>
    <row r="1311">
      <c r="A1311" t="inlineStr">
        <is>
          <t>COPELAND</t>
        </is>
      </c>
      <c r="B1311" t="inlineStr">
        <is>
          <t>6DH1-3500-FXD</t>
        </is>
      </c>
      <c r="D1311" t="inlineStr">
        <is>
          <t>Reciprocating Semi-hermetic</t>
        </is>
      </c>
      <c r="E1311" s="2" t="n">
        <v>3</v>
      </c>
      <c r="F1311" s="2" t="n">
        <v>60</v>
      </c>
      <c r="G1311" s="2" t="n">
        <v>460</v>
      </c>
      <c r="H1311" t="inlineStr">
        <is>
          <t>460</t>
        </is>
      </c>
      <c r="I1311" s="2" t="n">
        <v>460</v>
      </c>
      <c r="J1311" s="2" t="n">
        <v>460</v>
      </c>
      <c r="L1311" s="3" t="n"/>
      <c r="M1311" s="3" t="n"/>
      <c r="N1311" s="3" t="n"/>
      <c r="O1311" s="3" t="n"/>
      <c r="P1311" s="3">
        <f>IF(L1311&lt;&gt;"",L1311/1.4,"")</f>
        <v/>
      </c>
      <c r="Q1311" s="3">
        <f>IF(L1311&lt;&gt;"",L1311/1.56,"")</f>
        <v/>
      </c>
      <c r="R1311" s="3">
        <f>IF(M1311&lt;&gt;"",M1311/1.4,"")</f>
        <v/>
      </c>
      <c r="S1311" s="3">
        <f>IF(M1311&lt;&gt;"",M1311/1.56,"")</f>
        <v/>
      </c>
      <c r="T1311" s="3">
        <f>IF(N1311&lt;&gt;"",N1311,IF(O1311&lt;&gt;"",O1311,IF(L1311&lt;&gt;"",L1311/1.56,IF(M1311&lt;&gt;"",M1311/1.56,""))))</f>
        <v/>
      </c>
      <c r="U1311" s="3" t="n">
        <v>260</v>
      </c>
      <c r="V1311" s="3" t="n">
        <v>156</v>
      </c>
      <c r="W1311" s="3" t="n"/>
      <c r="X1311" s="4" t="n"/>
      <c r="Y1311" s="5" t="n">
        <v>0.4</v>
      </c>
      <c r="Z1311" s="4">
        <f>IF(L1311&lt;&gt;"",SQRT(3)*G1311*L1311/1000,"")</f>
        <v/>
      </c>
      <c r="AA1311" t="inlineStr">
        <is>
          <t>Source=Copeland 2D/3D/4D/4R/6D/8D/9R compressors (pdf) p62</t>
        </is>
      </c>
      <c r="AB1311" t="inlineStr">
        <is>
          <t>Copeland_RLA_230_460_3ph_60Hz.xlsx</t>
        </is>
      </c>
      <c r="AC1311" t="inlineStr">
        <is>
          <t>Recip_2D-9R</t>
        </is>
      </c>
    </row>
    <row r="1312">
      <c r="A1312" t="inlineStr">
        <is>
          <t>COPELAND</t>
        </is>
      </c>
      <c r="B1312" t="inlineStr">
        <is>
          <t>6DH1-3500-TSK</t>
        </is>
      </c>
      <c r="D1312" t="inlineStr">
        <is>
          <t>Reciprocating Semi-hermetic</t>
        </is>
      </c>
      <c r="E1312" s="2" t="n">
        <v>3</v>
      </c>
      <c r="F1312" s="2" t="n">
        <v>60</v>
      </c>
      <c r="G1312" s="2" t="n">
        <v>230</v>
      </c>
      <c r="H1312" t="inlineStr">
        <is>
          <t>208/230</t>
        </is>
      </c>
      <c r="I1312" s="2" t="n">
        <v>208</v>
      </c>
      <c r="J1312" s="2" t="n">
        <v>230</v>
      </c>
      <c r="L1312" s="3" t="n"/>
      <c r="M1312" s="3" t="n"/>
      <c r="N1312" s="3" t="n">
        <v>125</v>
      </c>
      <c r="O1312" s="3" t="n"/>
      <c r="P1312" s="3">
        <f>IF(L1312&lt;&gt;"",L1312/1.4,"")</f>
        <v/>
      </c>
      <c r="Q1312" s="3">
        <f>IF(L1312&lt;&gt;"",L1312/1.56,"")</f>
        <v/>
      </c>
      <c r="R1312" s="3">
        <f>IF(M1312&lt;&gt;"",M1312/1.4,"")</f>
        <v/>
      </c>
      <c r="S1312" s="3">
        <f>IF(M1312&lt;&gt;"",M1312/1.56,"")</f>
        <v/>
      </c>
      <c r="T1312" s="3">
        <f>IF(N1312&lt;&gt;"",N1312,IF(O1312&lt;&gt;"",O1312,IF(L1312&lt;&gt;"",L1312/1.56,IF(M1312&lt;&gt;"",M1312/1.56,""))))</f>
        <v/>
      </c>
      <c r="U1312" s="3" t="n">
        <v>565</v>
      </c>
      <c r="V1312" s="3" t="n">
        <v>340</v>
      </c>
      <c r="W1312" s="3" t="n"/>
      <c r="X1312" s="4" t="n"/>
      <c r="Y1312" s="5" t="n">
        <v>0.08799999999999999</v>
      </c>
      <c r="Z1312" s="4">
        <f>IF(L1312&lt;&gt;"",SQRT(3)*G1312*L1312/1000,"")</f>
        <v/>
      </c>
      <c r="AA1312" t="inlineStr">
        <is>
          <t>Source=Copeland 2D/3D/4D/4R/6D/8D/9R compressors (pdf) p62; PWS_RLA=62.5</t>
        </is>
      </c>
      <c r="AB1312" t="inlineStr">
        <is>
          <t>Copeland_RLA_230_460_3ph_60Hz.xlsx</t>
        </is>
      </c>
      <c r="AC1312" t="inlineStr">
        <is>
          <t>Recip_2D-9R</t>
        </is>
      </c>
    </row>
    <row r="1313">
      <c r="A1313" t="inlineStr">
        <is>
          <t>COPELAND</t>
        </is>
      </c>
      <c r="B1313" t="inlineStr">
        <is>
          <t>6DH1-3500-TSK</t>
        </is>
      </c>
      <c r="D1313" t="inlineStr">
        <is>
          <t>Reciprocating Semi-hermetic</t>
        </is>
      </c>
      <c r="E1313" s="2" t="n">
        <v>3</v>
      </c>
      <c r="F1313" s="2" t="n">
        <v>60</v>
      </c>
      <c r="G1313" s="2" t="n">
        <v>460</v>
      </c>
      <c r="H1313" t="inlineStr">
        <is>
          <t>460</t>
        </is>
      </c>
      <c r="I1313" s="2" t="n">
        <v>460</v>
      </c>
      <c r="J1313" s="2" t="n">
        <v>460</v>
      </c>
      <c r="L1313" s="3" t="n"/>
      <c r="M1313" s="3" t="n"/>
      <c r="N1313" s="3" t="n">
        <v>62.5</v>
      </c>
      <c r="O1313" s="3" t="n"/>
      <c r="P1313" s="3">
        <f>IF(L1313&lt;&gt;"",L1313/1.4,"")</f>
        <v/>
      </c>
      <c r="Q1313" s="3">
        <f>IF(L1313&lt;&gt;"",L1313/1.56,"")</f>
        <v/>
      </c>
      <c r="R1313" s="3">
        <f>IF(M1313&lt;&gt;"",M1313/1.4,"")</f>
        <v/>
      </c>
      <c r="S1313" s="3">
        <f>IF(M1313&lt;&gt;"",M1313/1.56,"")</f>
        <v/>
      </c>
      <c r="T1313" s="3">
        <f>IF(N1313&lt;&gt;"",N1313,IF(O1313&lt;&gt;"",O1313,IF(L1313&lt;&gt;"",L1313/1.56,IF(M1313&lt;&gt;"",M1313/1.56,""))))</f>
        <v/>
      </c>
      <c r="U1313" s="3" t="n">
        <v>283</v>
      </c>
      <c r="V1313" s="3" t="n"/>
      <c r="W1313" s="3" t="n"/>
      <c r="X1313" s="4" t="n"/>
      <c r="Y1313" s="5" t="n">
        <v>0.352</v>
      </c>
      <c r="Z1313" s="4">
        <f>IF(L1313&lt;&gt;"",SQRT(3)*G1313*L1313/1000,"")</f>
        <v/>
      </c>
      <c r="AA1313" t="inlineStr">
        <is>
          <t>Source=Copeland 2D/3D/4D/4R/6D/8D/9R compressors (pdf) p62</t>
        </is>
      </c>
      <c r="AB1313" t="inlineStr">
        <is>
          <t>Copeland_RLA_230_460_3ph_60Hz.xlsx</t>
        </is>
      </c>
      <c r="AC1313" t="inlineStr">
        <is>
          <t>Recip_2D-9R</t>
        </is>
      </c>
    </row>
    <row r="1314">
      <c r="A1314" t="inlineStr">
        <is>
          <t>COPELAND</t>
        </is>
      </c>
      <c r="B1314" t="inlineStr">
        <is>
          <t>6DH1-3500-TXK</t>
        </is>
      </c>
      <c r="D1314" t="inlineStr">
        <is>
          <t>Reciprocating Semi-hermetic</t>
        </is>
      </c>
      <c r="E1314" s="2" t="n">
        <v>3</v>
      </c>
      <c r="F1314" s="2" t="n">
        <v>60</v>
      </c>
      <c r="G1314" s="2" t="n">
        <v>230</v>
      </c>
      <c r="H1314" t="inlineStr">
        <is>
          <t>208/230</t>
        </is>
      </c>
      <c r="I1314" s="2" t="n">
        <v>208</v>
      </c>
      <c r="J1314" s="2" t="n">
        <v>230</v>
      </c>
      <c r="L1314" s="3" t="n"/>
      <c r="M1314" s="3" t="n"/>
      <c r="N1314" s="3" t="n"/>
      <c r="O1314" s="3" t="n"/>
      <c r="P1314" s="3">
        <f>IF(L1314&lt;&gt;"",L1314/1.4,"")</f>
        <v/>
      </c>
      <c r="Q1314" s="3">
        <f>IF(L1314&lt;&gt;"",L1314/1.56,"")</f>
        <v/>
      </c>
      <c r="R1314" s="3">
        <f>IF(M1314&lt;&gt;"",M1314/1.4,"")</f>
        <v/>
      </c>
      <c r="S1314" s="3">
        <f>IF(M1314&lt;&gt;"",M1314/1.56,"")</f>
        <v/>
      </c>
      <c r="T1314" s="3">
        <f>IF(N1314&lt;&gt;"",N1314,IF(O1314&lt;&gt;"",O1314,IF(L1314&lt;&gt;"",L1314/1.56,IF(M1314&lt;&gt;"",M1314/1.56,""))))</f>
        <v/>
      </c>
      <c r="U1314" s="3" t="n">
        <v>565</v>
      </c>
      <c r="V1314" s="3" t="n">
        <v>340</v>
      </c>
      <c r="W1314" s="3" t="n"/>
      <c r="X1314" s="4" t="n"/>
      <c r="Y1314" s="5" t="n">
        <v>0.08799999999999999</v>
      </c>
      <c r="Z1314" s="4">
        <f>IF(L1314&lt;&gt;"",SQRT(3)*G1314*L1314/1000,"")</f>
        <v/>
      </c>
      <c r="AA1314" t="inlineStr">
        <is>
          <t>Source=Copeland 2D/3D/4D/4R/6D/8D/9R compressors (pdf) p63</t>
        </is>
      </c>
      <c r="AB1314" t="inlineStr">
        <is>
          <t>Copeland_RLA_230_460_3ph_60Hz.xlsx</t>
        </is>
      </c>
      <c r="AC1314" t="inlineStr">
        <is>
          <t>Recip_2D-9R</t>
        </is>
      </c>
    </row>
    <row r="1315">
      <c r="A1315" t="inlineStr">
        <is>
          <t>COPELAND</t>
        </is>
      </c>
      <c r="B1315" t="inlineStr">
        <is>
          <t>6DH1-3500-TXK</t>
        </is>
      </c>
      <c r="D1315" t="inlineStr">
        <is>
          <t>Reciprocating Semi-hermetic</t>
        </is>
      </c>
      <c r="E1315" s="2" t="n">
        <v>3</v>
      </c>
      <c r="F1315" s="2" t="n">
        <v>60</v>
      </c>
      <c r="G1315" s="2" t="n">
        <v>460</v>
      </c>
      <c r="H1315" t="inlineStr">
        <is>
          <t>460</t>
        </is>
      </c>
      <c r="I1315" s="2" t="n">
        <v>460</v>
      </c>
      <c r="J1315" s="2" t="n">
        <v>460</v>
      </c>
      <c r="L1315" s="3" t="n"/>
      <c r="M1315" s="3" t="n"/>
      <c r="N1315" s="3" t="n"/>
      <c r="O1315" s="3" t="n"/>
      <c r="P1315" s="3">
        <f>IF(L1315&lt;&gt;"",L1315/1.4,"")</f>
        <v/>
      </c>
      <c r="Q1315" s="3">
        <f>IF(L1315&lt;&gt;"",L1315/1.56,"")</f>
        <v/>
      </c>
      <c r="R1315" s="3">
        <f>IF(M1315&lt;&gt;"",M1315/1.4,"")</f>
        <v/>
      </c>
      <c r="S1315" s="3">
        <f>IF(M1315&lt;&gt;"",M1315/1.56,"")</f>
        <v/>
      </c>
      <c r="T1315" s="3">
        <f>IF(N1315&lt;&gt;"",N1315,IF(O1315&lt;&gt;"",O1315,IF(L1315&lt;&gt;"",L1315/1.56,IF(M1315&lt;&gt;"",M1315/1.56,""))))</f>
        <v/>
      </c>
      <c r="U1315" s="3" t="n">
        <v>283</v>
      </c>
      <c r="V1315" s="3" t="n"/>
      <c r="W1315" s="3" t="n"/>
      <c r="X1315" s="4" t="n"/>
      <c r="Y1315" s="5" t="n">
        <v>0.352</v>
      </c>
      <c r="Z1315" s="4">
        <f>IF(L1315&lt;&gt;"",SQRT(3)*G1315*L1315/1000,"")</f>
        <v/>
      </c>
      <c r="AA1315" t="inlineStr">
        <is>
          <t>Source=Copeland 2D/3D/4D/4R/6D/8D/9R compressors (pdf) p63</t>
        </is>
      </c>
      <c r="AB1315" t="inlineStr">
        <is>
          <t>Copeland_RLA_230_460_3ph_60Hz.xlsx</t>
        </is>
      </c>
      <c r="AC1315" t="inlineStr">
        <is>
          <t>Recip_2D-9R</t>
        </is>
      </c>
    </row>
    <row r="1316">
      <c r="A1316" t="inlineStr">
        <is>
          <t>COPELAND</t>
        </is>
      </c>
      <c r="B1316" t="inlineStr">
        <is>
          <t>6DH1A2000-FSD</t>
        </is>
      </c>
      <c r="D1316" t="inlineStr">
        <is>
          <t>Reciprocating Semi-hermetic</t>
        </is>
      </c>
      <c r="E1316" s="2" t="n">
        <v>3</v>
      </c>
      <c r="F1316" s="2" t="n">
        <v>60</v>
      </c>
      <c r="G1316" s="2" t="n">
        <v>460</v>
      </c>
      <c r="H1316" t="inlineStr">
        <is>
          <t>460</t>
        </is>
      </c>
      <c r="I1316" s="2" t="n">
        <v>460</v>
      </c>
      <c r="J1316" s="2" t="n">
        <v>460</v>
      </c>
      <c r="L1316" s="3" t="n"/>
      <c r="M1316" s="3" t="n"/>
      <c r="N1316" s="3" t="n">
        <v>39.3</v>
      </c>
      <c r="O1316" s="3" t="n"/>
      <c r="P1316" s="3">
        <f>IF(L1316&lt;&gt;"",L1316/1.4,"")</f>
        <v/>
      </c>
      <c r="Q1316" s="3">
        <f>IF(L1316&lt;&gt;"",L1316/1.56,"")</f>
        <v/>
      </c>
      <c r="R1316" s="3">
        <f>IF(M1316&lt;&gt;"",M1316/1.4,"")</f>
        <v/>
      </c>
      <c r="S1316" s="3">
        <f>IF(M1316&lt;&gt;"",M1316/1.56,"")</f>
        <v/>
      </c>
      <c r="T1316" s="3">
        <f>IF(N1316&lt;&gt;"",N1316,IF(O1316&lt;&gt;"",O1316,IF(L1316&lt;&gt;"",L1316/1.56,IF(M1316&lt;&gt;"",M1316/1.56,""))))</f>
        <v/>
      </c>
      <c r="U1316" s="3" t="n">
        <v>173</v>
      </c>
      <c r="V1316" s="3" t="n">
        <v>104</v>
      </c>
      <c r="W1316" s="3" t="n"/>
      <c r="X1316" s="4" t="n"/>
      <c r="Y1316" s="5" t="n">
        <v>0.603</v>
      </c>
      <c r="Z1316" s="4">
        <f>IF(L1316&lt;&gt;"",SQRT(3)*G1316*L1316/1000,"")</f>
        <v/>
      </c>
      <c r="AA1316" t="inlineStr">
        <is>
          <t>Source=Copeland 2D/3D/4D/4R/6D/8D/9R compressors (pdf) p63; PWS_RLA=19.7</t>
        </is>
      </c>
      <c r="AB1316" t="inlineStr">
        <is>
          <t>Copeland_RLA_230_460_3ph_60Hz.xlsx</t>
        </is>
      </c>
      <c r="AC1316" t="inlineStr">
        <is>
          <t>Recip_2D-9R</t>
        </is>
      </c>
    </row>
    <row r="1317">
      <c r="A1317" t="inlineStr">
        <is>
          <t>COPELAND</t>
        </is>
      </c>
      <c r="B1317" t="inlineStr">
        <is>
          <t>6DH1A2000-TSK</t>
        </is>
      </c>
      <c r="D1317" t="inlineStr">
        <is>
          <t>Reciprocating Semi-hermetic</t>
        </is>
      </c>
      <c r="E1317" s="2" t="n">
        <v>3</v>
      </c>
      <c r="F1317" s="2" t="n">
        <v>60</v>
      </c>
      <c r="G1317" s="2" t="n">
        <v>230</v>
      </c>
      <c r="H1317" t="inlineStr">
        <is>
          <t>208/230</t>
        </is>
      </c>
      <c r="I1317" s="2" t="n">
        <v>208</v>
      </c>
      <c r="J1317" s="2" t="n">
        <v>230</v>
      </c>
      <c r="L1317" s="3" t="n"/>
      <c r="M1317" s="3" t="n"/>
      <c r="N1317" s="3" t="n">
        <v>75</v>
      </c>
      <c r="O1317" s="3" t="n"/>
      <c r="P1317" s="3">
        <f>IF(L1317&lt;&gt;"",L1317/1.4,"")</f>
        <v/>
      </c>
      <c r="Q1317" s="3">
        <f>IF(L1317&lt;&gt;"",L1317/1.56,"")</f>
        <v/>
      </c>
      <c r="R1317" s="3">
        <f>IF(M1317&lt;&gt;"",M1317/1.4,"")</f>
        <v/>
      </c>
      <c r="S1317" s="3">
        <f>IF(M1317&lt;&gt;"",M1317/1.56,"")</f>
        <v/>
      </c>
      <c r="T1317" s="3">
        <f>IF(N1317&lt;&gt;"",N1317,IF(O1317&lt;&gt;"",O1317,IF(L1317&lt;&gt;"",L1317/1.56,IF(M1317&lt;&gt;"",M1317/1.56,""))))</f>
        <v/>
      </c>
      <c r="U1317" s="3" t="n">
        <v>346</v>
      </c>
      <c r="V1317" s="3" t="n">
        <v>208</v>
      </c>
      <c r="W1317" s="3" t="n"/>
      <c r="X1317" s="4" t="n"/>
      <c r="Y1317" s="5" t="n">
        <v>0.142</v>
      </c>
      <c r="Z1317" s="4">
        <f>IF(L1317&lt;&gt;"",SQRT(3)*G1317*L1317/1000,"")</f>
        <v/>
      </c>
      <c r="AA1317" t="inlineStr">
        <is>
          <t>Source=Copeland 2D/3D/4D/4R/6D/8D/9R compressors (pdf) p63; PWS_RLA=37.5</t>
        </is>
      </c>
      <c r="AB1317" t="inlineStr">
        <is>
          <t>Copeland_RLA_230_460_3ph_60Hz.xlsx</t>
        </is>
      </c>
      <c r="AC1317" t="inlineStr">
        <is>
          <t>Recip_2D-9R</t>
        </is>
      </c>
    </row>
    <row r="1318">
      <c r="A1318" t="inlineStr">
        <is>
          <t>COPELAND</t>
        </is>
      </c>
      <c r="B1318" t="inlineStr">
        <is>
          <t>6DH1A2000-TSK</t>
        </is>
      </c>
      <c r="D1318" t="inlineStr">
        <is>
          <t>Reciprocating Semi-hermetic</t>
        </is>
      </c>
      <c r="E1318" s="2" t="n">
        <v>3</v>
      </c>
      <c r="F1318" s="2" t="n">
        <v>60</v>
      </c>
      <c r="G1318" s="2" t="n">
        <v>460</v>
      </c>
      <c r="H1318" t="inlineStr">
        <is>
          <t>460</t>
        </is>
      </c>
      <c r="I1318" s="2" t="n">
        <v>460</v>
      </c>
      <c r="J1318" s="2" t="n">
        <v>460</v>
      </c>
      <c r="L1318" s="3" t="n"/>
      <c r="M1318" s="3" t="n"/>
      <c r="N1318" s="3" t="n">
        <v>37.5</v>
      </c>
      <c r="O1318" s="3" t="n"/>
      <c r="P1318" s="3">
        <f>IF(L1318&lt;&gt;"",L1318/1.4,"")</f>
        <v/>
      </c>
      <c r="Q1318" s="3">
        <f>IF(L1318&lt;&gt;"",L1318/1.56,"")</f>
        <v/>
      </c>
      <c r="R1318" s="3">
        <f>IF(M1318&lt;&gt;"",M1318/1.4,"")</f>
        <v/>
      </c>
      <c r="S1318" s="3">
        <f>IF(M1318&lt;&gt;"",M1318/1.56,"")</f>
        <v/>
      </c>
      <c r="T1318" s="3">
        <f>IF(N1318&lt;&gt;"",N1318,IF(O1318&lt;&gt;"",O1318,IF(L1318&lt;&gt;"",L1318/1.56,IF(M1318&lt;&gt;"",M1318/1.56,""))))</f>
        <v/>
      </c>
      <c r="U1318" s="3" t="n">
        <v>173</v>
      </c>
      <c r="V1318" s="3" t="n"/>
      <c r="W1318" s="3" t="n"/>
      <c r="X1318" s="4" t="n"/>
      <c r="Y1318" s="5" t="n">
        <v>0.5679999999999999</v>
      </c>
      <c r="Z1318" s="4">
        <f>IF(L1318&lt;&gt;"",SQRT(3)*G1318*L1318/1000,"")</f>
        <v/>
      </c>
      <c r="AA1318" t="inlineStr">
        <is>
          <t>Source=Copeland 2D/3D/4D/4R/6D/8D/9R compressors (pdf) p63</t>
        </is>
      </c>
      <c r="AB1318" t="inlineStr">
        <is>
          <t>Copeland_RLA_230_460_3ph_60Hz.xlsx</t>
        </is>
      </c>
      <c r="AC1318" t="inlineStr">
        <is>
          <t>Recip_2D-9R</t>
        </is>
      </c>
    </row>
    <row r="1319">
      <c r="A1319" t="inlineStr">
        <is>
          <t>COPELAND</t>
        </is>
      </c>
      <c r="B1319" t="inlineStr">
        <is>
          <t>6DH1A3500-FSD</t>
        </is>
      </c>
      <c r="D1319" t="inlineStr">
        <is>
          <t>Reciprocating Semi-hermetic</t>
        </is>
      </c>
      <c r="E1319" s="2" t="n">
        <v>3</v>
      </c>
      <c r="F1319" s="2" t="n">
        <v>60</v>
      </c>
      <c r="G1319" s="2" t="n">
        <v>460</v>
      </c>
      <c r="H1319" t="inlineStr">
        <is>
          <t>460</t>
        </is>
      </c>
      <c r="I1319" s="2" t="n">
        <v>460</v>
      </c>
      <c r="J1319" s="2" t="n">
        <v>460</v>
      </c>
      <c r="L1319" s="3" t="n"/>
      <c r="M1319" s="3" t="n"/>
      <c r="N1319" s="3" t="n">
        <v>67.5</v>
      </c>
      <c r="O1319" s="3" t="n"/>
      <c r="P1319" s="3">
        <f>IF(L1319&lt;&gt;"",L1319/1.4,"")</f>
        <v/>
      </c>
      <c r="Q1319" s="3">
        <f>IF(L1319&lt;&gt;"",L1319/1.56,"")</f>
        <v/>
      </c>
      <c r="R1319" s="3">
        <f>IF(M1319&lt;&gt;"",M1319/1.4,"")</f>
        <v/>
      </c>
      <c r="S1319" s="3">
        <f>IF(M1319&lt;&gt;"",M1319/1.56,"")</f>
        <v/>
      </c>
      <c r="T1319" s="3">
        <f>IF(N1319&lt;&gt;"",N1319,IF(O1319&lt;&gt;"",O1319,IF(L1319&lt;&gt;"",L1319/1.56,IF(M1319&lt;&gt;"",M1319/1.56,""))))</f>
        <v/>
      </c>
      <c r="U1319" s="3" t="n">
        <v>260</v>
      </c>
      <c r="V1319" s="3" t="n">
        <v>156</v>
      </c>
      <c r="W1319" s="3" t="n"/>
      <c r="X1319" s="4" t="n"/>
      <c r="Y1319" s="5" t="n">
        <v>0.4</v>
      </c>
      <c r="Z1319" s="4">
        <f>IF(L1319&lt;&gt;"",SQRT(3)*G1319*L1319/1000,"")</f>
        <v/>
      </c>
      <c r="AA1319" t="inlineStr">
        <is>
          <t>Source=Copeland 2D/3D/4D/4R/6D/8D/9R compressors (pdf) p63; PWS_RLA=33.8</t>
        </is>
      </c>
      <c r="AB1319" t="inlineStr">
        <is>
          <t>Copeland_RLA_230_460_3ph_60Hz.xlsx</t>
        </is>
      </c>
      <c r="AC1319" t="inlineStr">
        <is>
          <t>Recip_2D-9R</t>
        </is>
      </c>
    </row>
    <row r="1320">
      <c r="A1320" t="inlineStr">
        <is>
          <t>COPELAND</t>
        </is>
      </c>
      <c r="B1320" t="inlineStr">
        <is>
          <t>6DH1A3500-FXD</t>
        </is>
      </c>
      <c r="D1320" t="inlineStr">
        <is>
          <t>Reciprocating Semi-hermetic</t>
        </is>
      </c>
      <c r="E1320" s="2" t="n">
        <v>3</v>
      </c>
      <c r="F1320" s="2" t="n">
        <v>60</v>
      </c>
      <c r="G1320" s="2" t="n">
        <v>460</v>
      </c>
      <c r="H1320" t="inlineStr">
        <is>
          <t>460</t>
        </is>
      </c>
      <c r="I1320" s="2" t="n">
        <v>460</v>
      </c>
      <c r="J1320" s="2" t="n">
        <v>460</v>
      </c>
      <c r="L1320" s="3" t="n"/>
      <c r="M1320" s="3" t="n"/>
      <c r="N1320" s="3" t="n"/>
      <c r="O1320" s="3" t="n"/>
      <c r="P1320" s="3">
        <f>IF(L1320&lt;&gt;"",L1320/1.4,"")</f>
        <v/>
      </c>
      <c r="Q1320" s="3">
        <f>IF(L1320&lt;&gt;"",L1320/1.56,"")</f>
        <v/>
      </c>
      <c r="R1320" s="3">
        <f>IF(M1320&lt;&gt;"",M1320/1.4,"")</f>
        <v/>
      </c>
      <c r="S1320" s="3">
        <f>IF(M1320&lt;&gt;"",M1320/1.56,"")</f>
        <v/>
      </c>
      <c r="T1320" s="3">
        <f>IF(N1320&lt;&gt;"",N1320,IF(O1320&lt;&gt;"",O1320,IF(L1320&lt;&gt;"",L1320/1.56,IF(M1320&lt;&gt;"",M1320/1.56,""))))</f>
        <v/>
      </c>
      <c r="U1320" s="3" t="n">
        <v>260</v>
      </c>
      <c r="V1320" s="3" t="n">
        <v>156</v>
      </c>
      <c r="W1320" s="3" t="n"/>
      <c r="X1320" s="4" t="n"/>
      <c r="Y1320" s="5" t="n">
        <v>0.4</v>
      </c>
      <c r="Z1320" s="4">
        <f>IF(L1320&lt;&gt;"",SQRT(3)*G1320*L1320/1000,"")</f>
        <v/>
      </c>
      <c r="AA1320" t="inlineStr">
        <is>
          <t>Source=Copeland 2D/3D/4D/4R/6D/8D/9R compressors (pdf) p63</t>
        </is>
      </c>
      <c r="AB1320" t="inlineStr">
        <is>
          <t>Copeland_RLA_230_460_3ph_60Hz.xlsx</t>
        </is>
      </c>
      <c r="AC1320" t="inlineStr">
        <is>
          <t>Recip_2D-9R</t>
        </is>
      </c>
    </row>
    <row r="1321">
      <c r="A1321" t="inlineStr">
        <is>
          <t>COPELAND</t>
        </is>
      </c>
      <c r="B1321" t="inlineStr">
        <is>
          <t>6DH1A3500-TSK</t>
        </is>
      </c>
      <c r="D1321" t="inlineStr">
        <is>
          <t>Reciprocating Semi-hermetic</t>
        </is>
      </c>
      <c r="E1321" s="2" t="n">
        <v>3</v>
      </c>
      <c r="F1321" s="2" t="n">
        <v>60</v>
      </c>
      <c r="G1321" s="2" t="n">
        <v>230</v>
      </c>
      <c r="H1321" t="inlineStr">
        <is>
          <t>208/230</t>
        </is>
      </c>
      <c r="I1321" s="2" t="n">
        <v>208</v>
      </c>
      <c r="J1321" s="2" t="n">
        <v>230</v>
      </c>
      <c r="L1321" s="3" t="n"/>
      <c r="M1321" s="3" t="n"/>
      <c r="N1321" s="3" t="n">
        <v>125</v>
      </c>
      <c r="O1321" s="3" t="n"/>
      <c r="P1321" s="3">
        <f>IF(L1321&lt;&gt;"",L1321/1.4,"")</f>
        <v/>
      </c>
      <c r="Q1321" s="3">
        <f>IF(L1321&lt;&gt;"",L1321/1.56,"")</f>
        <v/>
      </c>
      <c r="R1321" s="3">
        <f>IF(M1321&lt;&gt;"",M1321/1.4,"")</f>
        <v/>
      </c>
      <c r="S1321" s="3">
        <f>IF(M1321&lt;&gt;"",M1321/1.56,"")</f>
        <v/>
      </c>
      <c r="T1321" s="3">
        <f>IF(N1321&lt;&gt;"",N1321,IF(O1321&lt;&gt;"",O1321,IF(L1321&lt;&gt;"",L1321/1.56,IF(M1321&lt;&gt;"",M1321/1.56,""))))</f>
        <v/>
      </c>
      <c r="U1321" s="3" t="n">
        <v>565</v>
      </c>
      <c r="V1321" s="3" t="n">
        <v>340</v>
      </c>
      <c r="W1321" s="3" t="n"/>
      <c r="X1321" s="4" t="n"/>
      <c r="Y1321" s="5" t="n">
        <v>0.08799999999999999</v>
      </c>
      <c r="Z1321" s="4">
        <f>IF(L1321&lt;&gt;"",SQRT(3)*G1321*L1321/1000,"")</f>
        <v/>
      </c>
      <c r="AA1321" t="inlineStr">
        <is>
          <t>Source=Copeland 2D/3D/4D/4R/6D/8D/9R compressors (pdf) p63; PWS_RLA=62.5</t>
        </is>
      </c>
      <c r="AB1321" t="inlineStr">
        <is>
          <t>Copeland_RLA_230_460_3ph_60Hz.xlsx</t>
        </is>
      </c>
      <c r="AC1321" t="inlineStr">
        <is>
          <t>Recip_2D-9R</t>
        </is>
      </c>
    </row>
    <row r="1322">
      <c r="A1322" t="inlineStr">
        <is>
          <t>COPELAND</t>
        </is>
      </c>
      <c r="B1322" t="inlineStr">
        <is>
          <t>6DH1A3500-TSK</t>
        </is>
      </c>
      <c r="D1322" t="inlineStr">
        <is>
          <t>Reciprocating Semi-hermetic</t>
        </is>
      </c>
      <c r="E1322" s="2" t="n">
        <v>3</v>
      </c>
      <c r="F1322" s="2" t="n">
        <v>60</v>
      </c>
      <c r="G1322" s="2" t="n">
        <v>460</v>
      </c>
      <c r="H1322" t="inlineStr">
        <is>
          <t>460</t>
        </is>
      </c>
      <c r="I1322" s="2" t="n">
        <v>460</v>
      </c>
      <c r="J1322" s="2" t="n">
        <v>460</v>
      </c>
      <c r="L1322" s="3" t="n"/>
      <c r="M1322" s="3" t="n"/>
      <c r="N1322" s="3" t="n">
        <v>62.5</v>
      </c>
      <c r="O1322" s="3" t="n"/>
      <c r="P1322" s="3">
        <f>IF(L1322&lt;&gt;"",L1322/1.4,"")</f>
        <v/>
      </c>
      <c r="Q1322" s="3">
        <f>IF(L1322&lt;&gt;"",L1322/1.56,"")</f>
        <v/>
      </c>
      <c r="R1322" s="3">
        <f>IF(M1322&lt;&gt;"",M1322/1.4,"")</f>
        <v/>
      </c>
      <c r="S1322" s="3">
        <f>IF(M1322&lt;&gt;"",M1322/1.56,"")</f>
        <v/>
      </c>
      <c r="T1322" s="3">
        <f>IF(N1322&lt;&gt;"",N1322,IF(O1322&lt;&gt;"",O1322,IF(L1322&lt;&gt;"",L1322/1.56,IF(M1322&lt;&gt;"",M1322/1.56,""))))</f>
        <v/>
      </c>
      <c r="U1322" s="3" t="n">
        <v>283</v>
      </c>
      <c r="V1322" s="3" t="n"/>
      <c r="W1322" s="3" t="n"/>
      <c r="X1322" s="4" t="n"/>
      <c r="Y1322" s="5" t="n">
        <v>0.352</v>
      </c>
      <c r="Z1322" s="4">
        <f>IF(L1322&lt;&gt;"",SQRT(3)*G1322*L1322/1000,"")</f>
        <v/>
      </c>
      <c r="AA1322" t="inlineStr">
        <is>
          <t>Source=Copeland 2D/3D/4D/4R/6D/8D/9R compressors (pdf) p63</t>
        </is>
      </c>
      <c r="AB1322" t="inlineStr">
        <is>
          <t>Copeland_RLA_230_460_3ph_60Hz.xlsx</t>
        </is>
      </c>
      <c r="AC1322" t="inlineStr">
        <is>
          <t>Recip_2D-9R</t>
        </is>
      </c>
    </row>
    <row r="1323">
      <c r="A1323" t="inlineStr">
        <is>
          <t>COPELAND</t>
        </is>
      </c>
      <c r="B1323" t="inlineStr">
        <is>
          <t>6DH1A3500-TXK</t>
        </is>
      </c>
      <c r="D1323" t="inlineStr">
        <is>
          <t>Reciprocating Semi-hermetic</t>
        </is>
      </c>
      <c r="E1323" s="2" t="n">
        <v>3</v>
      </c>
      <c r="F1323" s="2" t="n">
        <v>60</v>
      </c>
      <c r="G1323" s="2" t="n">
        <v>230</v>
      </c>
      <c r="H1323" t="inlineStr">
        <is>
          <t>208/230</t>
        </is>
      </c>
      <c r="I1323" s="2" t="n">
        <v>208</v>
      </c>
      <c r="J1323" s="2" t="n">
        <v>230</v>
      </c>
      <c r="L1323" s="3" t="n"/>
      <c r="M1323" s="3" t="n"/>
      <c r="N1323" s="3" t="n"/>
      <c r="O1323" s="3" t="n"/>
      <c r="P1323" s="3">
        <f>IF(L1323&lt;&gt;"",L1323/1.4,"")</f>
        <v/>
      </c>
      <c r="Q1323" s="3">
        <f>IF(L1323&lt;&gt;"",L1323/1.56,"")</f>
        <v/>
      </c>
      <c r="R1323" s="3">
        <f>IF(M1323&lt;&gt;"",M1323/1.4,"")</f>
        <v/>
      </c>
      <c r="S1323" s="3">
        <f>IF(M1323&lt;&gt;"",M1323/1.56,"")</f>
        <v/>
      </c>
      <c r="T1323" s="3">
        <f>IF(N1323&lt;&gt;"",N1323,IF(O1323&lt;&gt;"",O1323,IF(L1323&lt;&gt;"",L1323/1.56,IF(M1323&lt;&gt;"",M1323/1.56,""))))</f>
        <v/>
      </c>
      <c r="U1323" s="3" t="n">
        <v>565</v>
      </c>
      <c r="V1323" s="3" t="n">
        <v>340</v>
      </c>
      <c r="W1323" s="3" t="n"/>
      <c r="X1323" s="4" t="n"/>
      <c r="Y1323" s="5" t="n">
        <v>0.08799999999999999</v>
      </c>
      <c r="Z1323" s="4">
        <f>IF(L1323&lt;&gt;"",SQRT(3)*G1323*L1323/1000,"")</f>
        <v/>
      </c>
      <c r="AA1323" t="inlineStr">
        <is>
          <t>Source=Copeland 2D/3D/4D/4R/6D/8D/9R compressors (pdf) p63</t>
        </is>
      </c>
      <c r="AB1323" t="inlineStr">
        <is>
          <t>Copeland_RLA_230_460_3ph_60Hz.xlsx</t>
        </is>
      </c>
      <c r="AC1323" t="inlineStr">
        <is>
          <t>Recip_2D-9R</t>
        </is>
      </c>
    </row>
    <row r="1324">
      <c r="A1324" t="inlineStr">
        <is>
          <t>COPELAND</t>
        </is>
      </c>
      <c r="B1324" t="inlineStr">
        <is>
          <t>6DH1A3500-TXK</t>
        </is>
      </c>
      <c r="D1324" t="inlineStr">
        <is>
          <t>Reciprocating Semi-hermetic</t>
        </is>
      </c>
      <c r="E1324" s="2" t="n">
        <v>3</v>
      </c>
      <c r="F1324" s="2" t="n">
        <v>60</v>
      </c>
      <c r="G1324" s="2" t="n">
        <v>460</v>
      </c>
      <c r="H1324" t="inlineStr">
        <is>
          <t>460</t>
        </is>
      </c>
      <c r="I1324" s="2" t="n">
        <v>460</v>
      </c>
      <c r="J1324" s="2" t="n">
        <v>460</v>
      </c>
      <c r="L1324" s="3" t="n"/>
      <c r="M1324" s="3" t="n"/>
      <c r="N1324" s="3" t="n"/>
      <c r="O1324" s="3" t="n"/>
      <c r="P1324" s="3">
        <f>IF(L1324&lt;&gt;"",L1324/1.4,"")</f>
        <v/>
      </c>
      <c r="Q1324" s="3">
        <f>IF(L1324&lt;&gt;"",L1324/1.56,"")</f>
        <v/>
      </c>
      <c r="R1324" s="3">
        <f>IF(M1324&lt;&gt;"",M1324/1.4,"")</f>
        <v/>
      </c>
      <c r="S1324" s="3">
        <f>IF(M1324&lt;&gt;"",M1324/1.56,"")</f>
        <v/>
      </c>
      <c r="T1324" s="3">
        <f>IF(N1324&lt;&gt;"",N1324,IF(O1324&lt;&gt;"",O1324,IF(L1324&lt;&gt;"",L1324/1.56,IF(M1324&lt;&gt;"",M1324/1.56,""))))</f>
        <v/>
      </c>
      <c r="U1324" s="3" t="n">
        <v>283</v>
      </c>
      <c r="V1324" s="3" t="n"/>
      <c r="W1324" s="3" t="n"/>
      <c r="X1324" s="4" t="n"/>
      <c r="Y1324" s="5" t="n">
        <v>0.352</v>
      </c>
      <c r="Z1324" s="4">
        <f>IF(L1324&lt;&gt;"",SQRT(3)*G1324*L1324/1000,"")</f>
        <v/>
      </c>
      <c r="AA1324" t="inlineStr">
        <is>
          <t>Source=Copeland 2D/3D/4D/4R/6D/8D/9R compressors (pdf) p63</t>
        </is>
      </c>
      <c r="AB1324" t="inlineStr">
        <is>
          <t>Copeland_RLA_230_460_3ph_60Hz.xlsx</t>
        </is>
      </c>
      <c r="AC1324" t="inlineStr">
        <is>
          <t>Recip_2D-9R</t>
        </is>
      </c>
    </row>
    <row r="1325">
      <c r="A1325" t="inlineStr">
        <is>
          <t>COPELAND</t>
        </is>
      </c>
      <c r="B1325" t="inlineStr">
        <is>
          <t>6DH1R35M0-FSD</t>
        </is>
      </c>
      <c r="D1325" t="inlineStr">
        <is>
          <t>Reciprocating Semi-hermetic</t>
        </is>
      </c>
      <c r="E1325" s="2" t="n">
        <v>3</v>
      </c>
      <c r="F1325" s="2" t="n">
        <v>60</v>
      </c>
      <c r="G1325" s="2" t="n">
        <v>460</v>
      </c>
      <c r="H1325" t="inlineStr">
        <is>
          <t>460</t>
        </is>
      </c>
      <c r="I1325" s="2" t="n">
        <v>460</v>
      </c>
      <c r="J1325" s="2" t="n">
        <v>460</v>
      </c>
      <c r="L1325" s="3" t="n"/>
      <c r="M1325" s="3" t="n"/>
      <c r="N1325" s="3" t="n">
        <v>67.5</v>
      </c>
      <c r="O1325" s="3" t="n"/>
      <c r="P1325" s="3">
        <f>IF(L1325&lt;&gt;"",L1325/1.4,"")</f>
        <v/>
      </c>
      <c r="Q1325" s="3">
        <f>IF(L1325&lt;&gt;"",L1325/1.56,"")</f>
        <v/>
      </c>
      <c r="R1325" s="3">
        <f>IF(M1325&lt;&gt;"",M1325/1.4,"")</f>
        <v/>
      </c>
      <c r="S1325" s="3">
        <f>IF(M1325&lt;&gt;"",M1325/1.56,"")</f>
        <v/>
      </c>
      <c r="T1325" s="3">
        <f>IF(N1325&lt;&gt;"",N1325,IF(O1325&lt;&gt;"",O1325,IF(L1325&lt;&gt;"",L1325/1.56,IF(M1325&lt;&gt;"",M1325/1.56,""))))</f>
        <v/>
      </c>
      <c r="U1325" s="3" t="n">
        <v>260</v>
      </c>
      <c r="V1325" s="3" t="n">
        <v>156</v>
      </c>
      <c r="W1325" s="3" t="n"/>
      <c r="X1325" s="4" t="n"/>
      <c r="Y1325" s="5" t="n">
        <v>0.4</v>
      </c>
      <c r="Z1325" s="4">
        <f>IF(L1325&lt;&gt;"",SQRT(3)*G1325*L1325/1000,"")</f>
        <v/>
      </c>
      <c r="AA1325" t="inlineStr">
        <is>
          <t>Source=Copeland 2D/3D/4D/4R/6D/8D/9R compressors (pdf) p63; PWS_RLA=33.8</t>
        </is>
      </c>
      <c r="AB1325" t="inlineStr">
        <is>
          <t>Copeland_RLA_230_460_3ph_60Hz.xlsx</t>
        </is>
      </c>
      <c r="AC1325" t="inlineStr">
        <is>
          <t>Recip_2D-9R</t>
        </is>
      </c>
    </row>
    <row r="1326">
      <c r="A1326" t="inlineStr">
        <is>
          <t>COPELAND</t>
        </is>
      </c>
      <c r="B1326" t="inlineStr">
        <is>
          <t>6DH1R35M0-TSK</t>
        </is>
      </c>
      <c r="D1326" t="inlineStr">
        <is>
          <t>Reciprocating Semi-hermetic</t>
        </is>
      </c>
      <c r="E1326" s="2" t="n">
        <v>3</v>
      </c>
      <c r="F1326" s="2" t="n">
        <v>60</v>
      </c>
      <c r="G1326" s="2" t="n">
        <v>230</v>
      </c>
      <c r="H1326" t="inlineStr">
        <is>
          <t>208/230</t>
        </is>
      </c>
      <c r="I1326" s="2" t="n">
        <v>208</v>
      </c>
      <c r="J1326" s="2" t="n">
        <v>230</v>
      </c>
      <c r="L1326" s="3" t="n"/>
      <c r="M1326" s="3" t="n"/>
      <c r="N1326" s="3" t="n">
        <v>125</v>
      </c>
      <c r="O1326" s="3" t="n"/>
      <c r="P1326" s="3">
        <f>IF(L1326&lt;&gt;"",L1326/1.4,"")</f>
        <v/>
      </c>
      <c r="Q1326" s="3">
        <f>IF(L1326&lt;&gt;"",L1326/1.56,"")</f>
        <v/>
      </c>
      <c r="R1326" s="3">
        <f>IF(M1326&lt;&gt;"",M1326/1.4,"")</f>
        <v/>
      </c>
      <c r="S1326" s="3">
        <f>IF(M1326&lt;&gt;"",M1326/1.56,"")</f>
        <v/>
      </c>
      <c r="T1326" s="3">
        <f>IF(N1326&lt;&gt;"",N1326,IF(O1326&lt;&gt;"",O1326,IF(L1326&lt;&gt;"",L1326/1.56,IF(M1326&lt;&gt;"",M1326/1.56,""))))</f>
        <v/>
      </c>
      <c r="U1326" s="3" t="n">
        <v>565</v>
      </c>
      <c r="V1326" s="3" t="n">
        <v>340</v>
      </c>
      <c r="W1326" s="3" t="n"/>
      <c r="X1326" s="4" t="n"/>
      <c r="Y1326" s="5" t="n">
        <v>0.08799999999999999</v>
      </c>
      <c r="Z1326" s="4">
        <f>IF(L1326&lt;&gt;"",SQRT(3)*G1326*L1326/1000,"")</f>
        <v/>
      </c>
      <c r="AA1326" t="inlineStr">
        <is>
          <t>Source=Copeland 2D/3D/4D/4R/6D/8D/9R compressors (pdf) p63; PWS_RLA=62.5</t>
        </is>
      </c>
      <c r="AB1326" t="inlineStr">
        <is>
          <t>Copeland_RLA_230_460_3ph_60Hz.xlsx</t>
        </is>
      </c>
      <c r="AC1326" t="inlineStr">
        <is>
          <t>Recip_2D-9R</t>
        </is>
      </c>
    </row>
    <row r="1327">
      <c r="A1327" t="inlineStr">
        <is>
          <t>COPELAND</t>
        </is>
      </c>
      <c r="B1327" t="inlineStr">
        <is>
          <t>6DH1R35M0-TSK</t>
        </is>
      </c>
      <c r="D1327" t="inlineStr">
        <is>
          <t>Reciprocating Semi-hermetic</t>
        </is>
      </c>
      <c r="E1327" s="2" t="n">
        <v>3</v>
      </c>
      <c r="F1327" s="2" t="n">
        <v>60</v>
      </c>
      <c r="G1327" s="2" t="n">
        <v>460</v>
      </c>
      <c r="H1327" t="inlineStr">
        <is>
          <t>460</t>
        </is>
      </c>
      <c r="I1327" s="2" t="n">
        <v>460</v>
      </c>
      <c r="J1327" s="2" t="n">
        <v>460</v>
      </c>
      <c r="L1327" s="3" t="n"/>
      <c r="M1327" s="3" t="n"/>
      <c r="N1327" s="3" t="n">
        <v>62.5</v>
      </c>
      <c r="O1327" s="3" t="n"/>
      <c r="P1327" s="3">
        <f>IF(L1327&lt;&gt;"",L1327/1.4,"")</f>
        <v/>
      </c>
      <c r="Q1327" s="3">
        <f>IF(L1327&lt;&gt;"",L1327/1.56,"")</f>
        <v/>
      </c>
      <c r="R1327" s="3">
        <f>IF(M1327&lt;&gt;"",M1327/1.4,"")</f>
        <v/>
      </c>
      <c r="S1327" s="3">
        <f>IF(M1327&lt;&gt;"",M1327/1.56,"")</f>
        <v/>
      </c>
      <c r="T1327" s="3">
        <f>IF(N1327&lt;&gt;"",N1327,IF(O1327&lt;&gt;"",O1327,IF(L1327&lt;&gt;"",L1327/1.56,IF(M1327&lt;&gt;"",M1327/1.56,""))))</f>
        <v/>
      </c>
      <c r="U1327" s="3" t="n">
        <v>283</v>
      </c>
      <c r="V1327" s="3" t="n"/>
      <c r="W1327" s="3" t="n"/>
      <c r="X1327" s="4" t="n"/>
      <c r="Y1327" s="5" t="n">
        <v>0.352</v>
      </c>
      <c r="Z1327" s="4">
        <f>IF(L1327&lt;&gt;"",SQRT(3)*G1327*L1327/1000,"")</f>
        <v/>
      </c>
      <c r="AA1327" t="inlineStr">
        <is>
          <t>Source=Copeland 2D/3D/4D/4R/6D/8D/9R compressors (pdf) p63</t>
        </is>
      </c>
      <c r="AB1327" t="inlineStr">
        <is>
          <t>Copeland_RLA_230_460_3ph_60Hz.xlsx</t>
        </is>
      </c>
      <c r="AC1327" t="inlineStr">
        <is>
          <t>Recip_2D-9R</t>
        </is>
      </c>
    </row>
    <row r="1328">
      <c r="A1328" t="inlineStr">
        <is>
          <t>COPELAND</t>
        </is>
      </c>
      <c r="B1328" t="inlineStr">
        <is>
          <t>6DH3-200E-TSK</t>
        </is>
      </c>
      <c r="D1328" t="inlineStr">
        <is>
          <t>Reciprocating Semi-hermetic</t>
        </is>
      </c>
      <c r="E1328" s="2" t="n">
        <v>3</v>
      </c>
      <c r="F1328" s="2" t="n">
        <v>60</v>
      </c>
      <c r="G1328" s="2" t="n">
        <v>230</v>
      </c>
      <c r="H1328" t="inlineStr">
        <is>
          <t>208/230</t>
        </is>
      </c>
      <c r="I1328" s="2" t="n">
        <v>208</v>
      </c>
      <c r="J1328" s="2" t="n">
        <v>230</v>
      </c>
      <c r="L1328" s="3" t="n"/>
      <c r="M1328" s="3" t="n"/>
      <c r="N1328" s="3" t="n">
        <v>75</v>
      </c>
      <c r="O1328" s="3" t="n"/>
      <c r="P1328" s="3">
        <f>IF(L1328&lt;&gt;"",L1328/1.4,"")</f>
        <v/>
      </c>
      <c r="Q1328" s="3">
        <f>IF(L1328&lt;&gt;"",L1328/1.56,"")</f>
        <v/>
      </c>
      <c r="R1328" s="3">
        <f>IF(M1328&lt;&gt;"",M1328/1.4,"")</f>
        <v/>
      </c>
      <c r="S1328" s="3">
        <f>IF(M1328&lt;&gt;"",M1328/1.56,"")</f>
        <v/>
      </c>
      <c r="T1328" s="3">
        <f>IF(N1328&lt;&gt;"",N1328,IF(O1328&lt;&gt;"",O1328,IF(L1328&lt;&gt;"",L1328/1.56,IF(M1328&lt;&gt;"",M1328/1.56,""))))</f>
        <v/>
      </c>
      <c r="U1328" s="3" t="n">
        <v>346</v>
      </c>
      <c r="V1328" s="3" t="n">
        <v>208</v>
      </c>
      <c r="W1328" s="3" t="n"/>
      <c r="X1328" s="4" t="n"/>
      <c r="Y1328" s="5" t="n">
        <v>0.142</v>
      </c>
      <c r="Z1328" s="4">
        <f>IF(L1328&lt;&gt;"",SQRT(3)*G1328*L1328/1000,"")</f>
        <v/>
      </c>
      <c r="AA1328" t="inlineStr">
        <is>
          <t>Source=Copeland 2D/3D/4D/4R/6D/8D/9R compressors (pdf) p63; PWS_RLA=37.5</t>
        </is>
      </c>
      <c r="AB1328" t="inlineStr">
        <is>
          <t>Copeland_RLA_230_460_3ph_60Hz.xlsx</t>
        </is>
      </c>
      <c r="AC1328" t="inlineStr">
        <is>
          <t>Recip_2D-9R</t>
        </is>
      </c>
    </row>
    <row r="1329">
      <c r="A1329" t="inlineStr">
        <is>
          <t>COPELAND</t>
        </is>
      </c>
      <c r="B1329" t="inlineStr">
        <is>
          <t>6DH3-200E-TSK</t>
        </is>
      </c>
      <c r="D1329" t="inlineStr">
        <is>
          <t>Reciprocating Semi-hermetic</t>
        </is>
      </c>
      <c r="E1329" s="2" t="n">
        <v>3</v>
      </c>
      <c r="F1329" s="2" t="n">
        <v>60</v>
      </c>
      <c r="G1329" s="2" t="n">
        <v>460</v>
      </c>
      <c r="H1329" t="inlineStr">
        <is>
          <t>460</t>
        </is>
      </c>
      <c r="I1329" s="2" t="n">
        <v>460</v>
      </c>
      <c r="J1329" s="2" t="n">
        <v>460</v>
      </c>
      <c r="L1329" s="3" t="n"/>
      <c r="M1329" s="3" t="n"/>
      <c r="N1329" s="3" t="n">
        <v>37.5</v>
      </c>
      <c r="O1329" s="3" t="n"/>
      <c r="P1329" s="3">
        <f>IF(L1329&lt;&gt;"",L1329/1.4,"")</f>
        <v/>
      </c>
      <c r="Q1329" s="3">
        <f>IF(L1329&lt;&gt;"",L1329/1.56,"")</f>
        <v/>
      </c>
      <c r="R1329" s="3">
        <f>IF(M1329&lt;&gt;"",M1329/1.4,"")</f>
        <v/>
      </c>
      <c r="S1329" s="3">
        <f>IF(M1329&lt;&gt;"",M1329/1.56,"")</f>
        <v/>
      </c>
      <c r="T1329" s="3">
        <f>IF(N1329&lt;&gt;"",N1329,IF(O1329&lt;&gt;"",O1329,IF(L1329&lt;&gt;"",L1329/1.56,IF(M1329&lt;&gt;"",M1329/1.56,""))))</f>
        <v/>
      </c>
      <c r="U1329" s="3" t="n">
        <v>173</v>
      </c>
      <c r="V1329" s="3" t="n"/>
      <c r="W1329" s="3" t="n"/>
      <c r="X1329" s="4" t="n"/>
      <c r="Y1329" s="5" t="n">
        <v>0.5679999999999999</v>
      </c>
      <c r="Z1329" s="4">
        <f>IF(L1329&lt;&gt;"",SQRT(3)*G1329*L1329/1000,"")</f>
        <v/>
      </c>
      <c r="AA1329" t="inlineStr">
        <is>
          <t>Source=Copeland 2D/3D/4D/4R/6D/8D/9R compressors (pdf) p64</t>
        </is>
      </c>
      <c r="AB1329" t="inlineStr">
        <is>
          <t>Copeland_RLA_230_460_3ph_60Hz.xlsx</t>
        </is>
      </c>
      <c r="AC1329" t="inlineStr">
        <is>
          <t>Recip_2D-9R</t>
        </is>
      </c>
    </row>
    <row r="1330">
      <c r="A1330" t="inlineStr">
        <is>
          <t>COPELAND</t>
        </is>
      </c>
      <c r="B1330" t="inlineStr">
        <is>
          <t>6DH3-200L-TSK</t>
        </is>
      </c>
      <c r="D1330" t="inlineStr">
        <is>
          <t>Reciprocating Semi-hermetic</t>
        </is>
      </c>
      <c r="E1330" s="2" t="n">
        <v>3</v>
      </c>
      <c r="F1330" s="2" t="n">
        <v>60</v>
      </c>
      <c r="G1330" s="2" t="n">
        <v>230</v>
      </c>
      <c r="H1330" t="inlineStr">
        <is>
          <t>208/230</t>
        </is>
      </c>
      <c r="I1330" s="2" t="n">
        <v>208</v>
      </c>
      <c r="J1330" s="2" t="n">
        <v>230</v>
      </c>
      <c r="L1330" s="3" t="n"/>
      <c r="M1330" s="3" t="n"/>
      <c r="N1330" s="3" t="n">
        <v>75</v>
      </c>
      <c r="O1330" s="3" t="n"/>
      <c r="P1330" s="3">
        <f>IF(L1330&lt;&gt;"",L1330/1.4,"")</f>
        <v/>
      </c>
      <c r="Q1330" s="3">
        <f>IF(L1330&lt;&gt;"",L1330/1.56,"")</f>
        <v/>
      </c>
      <c r="R1330" s="3">
        <f>IF(M1330&lt;&gt;"",M1330/1.4,"")</f>
        <v/>
      </c>
      <c r="S1330" s="3">
        <f>IF(M1330&lt;&gt;"",M1330/1.56,"")</f>
        <v/>
      </c>
      <c r="T1330" s="3">
        <f>IF(N1330&lt;&gt;"",N1330,IF(O1330&lt;&gt;"",O1330,IF(L1330&lt;&gt;"",L1330/1.56,IF(M1330&lt;&gt;"",M1330/1.56,""))))</f>
        <v/>
      </c>
      <c r="U1330" s="3" t="n">
        <v>346</v>
      </c>
      <c r="V1330" s="3" t="n">
        <v>208</v>
      </c>
      <c r="W1330" s="3" t="n"/>
      <c r="X1330" s="4" t="n"/>
      <c r="Y1330" s="5" t="n">
        <v>0.142</v>
      </c>
      <c r="Z1330" s="4">
        <f>IF(L1330&lt;&gt;"",SQRT(3)*G1330*L1330/1000,"")</f>
        <v/>
      </c>
      <c r="AA1330" t="inlineStr">
        <is>
          <t>Source=Copeland 2D/3D/4D/4R/6D/8D/9R compressors (pdf) p64; PWS_RLA=37.5</t>
        </is>
      </c>
      <c r="AB1330" t="inlineStr">
        <is>
          <t>Copeland_RLA_230_460_3ph_60Hz.xlsx</t>
        </is>
      </c>
      <c r="AC1330" t="inlineStr">
        <is>
          <t>Recip_2D-9R</t>
        </is>
      </c>
    </row>
    <row r="1331">
      <c r="A1331" t="inlineStr">
        <is>
          <t>COPELAND</t>
        </is>
      </c>
      <c r="B1331" t="inlineStr">
        <is>
          <t>6DH3-200L-TSK</t>
        </is>
      </c>
      <c r="D1331" t="inlineStr">
        <is>
          <t>Reciprocating Semi-hermetic</t>
        </is>
      </c>
      <c r="E1331" s="2" t="n">
        <v>3</v>
      </c>
      <c r="F1331" s="2" t="n">
        <v>60</v>
      </c>
      <c r="G1331" s="2" t="n">
        <v>460</v>
      </c>
      <c r="H1331" t="inlineStr">
        <is>
          <t>460</t>
        </is>
      </c>
      <c r="I1331" s="2" t="n">
        <v>460</v>
      </c>
      <c r="J1331" s="2" t="n">
        <v>460</v>
      </c>
      <c r="L1331" s="3" t="n"/>
      <c r="M1331" s="3" t="n"/>
      <c r="N1331" s="3" t="n">
        <v>37.5</v>
      </c>
      <c r="O1331" s="3" t="n"/>
      <c r="P1331" s="3">
        <f>IF(L1331&lt;&gt;"",L1331/1.4,"")</f>
        <v/>
      </c>
      <c r="Q1331" s="3">
        <f>IF(L1331&lt;&gt;"",L1331/1.56,"")</f>
        <v/>
      </c>
      <c r="R1331" s="3">
        <f>IF(M1331&lt;&gt;"",M1331/1.4,"")</f>
        <v/>
      </c>
      <c r="S1331" s="3">
        <f>IF(M1331&lt;&gt;"",M1331/1.56,"")</f>
        <v/>
      </c>
      <c r="T1331" s="3">
        <f>IF(N1331&lt;&gt;"",N1331,IF(O1331&lt;&gt;"",O1331,IF(L1331&lt;&gt;"",L1331/1.56,IF(M1331&lt;&gt;"",M1331/1.56,""))))</f>
        <v/>
      </c>
      <c r="U1331" s="3" t="n">
        <v>173</v>
      </c>
      <c r="V1331" s="3" t="n"/>
      <c r="W1331" s="3" t="n"/>
      <c r="X1331" s="4" t="n"/>
      <c r="Y1331" s="5" t="n">
        <v>0.5679999999999999</v>
      </c>
      <c r="Z1331" s="4">
        <f>IF(L1331&lt;&gt;"",SQRT(3)*G1331*L1331/1000,"")</f>
        <v/>
      </c>
      <c r="AA1331" t="inlineStr">
        <is>
          <t>Source=Copeland 2D/3D/4D/4R/6D/8D/9R compressors (pdf) p64</t>
        </is>
      </c>
      <c r="AB1331" t="inlineStr">
        <is>
          <t>Copeland_RLA_230_460_3ph_60Hz.xlsx</t>
        </is>
      </c>
      <c r="AC1331" t="inlineStr">
        <is>
          <t>Recip_2D-9R</t>
        </is>
      </c>
    </row>
    <row r="1332">
      <c r="A1332" t="inlineStr">
        <is>
          <t>COPELAND</t>
        </is>
      </c>
      <c r="B1332" t="inlineStr">
        <is>
          <t>6DH3-3500-FSD</t>
        </is>
      </c>
      <c r="D1332" t="inlineStr">
        <is>
          <t>Reciprocating Semi-hermetic</t>
        </is>
      </c>
      <c r="E1332" s="2" t="n">
        <v>3</v>
      </c>
      <c r="F1332" s="2" t="n">
        <v>60</v>
      </c>
      <c r="G1332" s="2" t="n">
        <v>460</v>
      </c>
      <c r="H1332" t="inlineStr">
        <is>
          <t>460</t>
        </is>
      </c>
      <c r="I1332" s="2" t="n">
        <v>460</v>
      </c>
      <c r="J1332" s="2" t="n">
        <v>460</v>
      </c>
      <c r="L1332" s="3" t="n"/>
      <c r="M1332" s="3" t="n"/>
      <c r="N1332" s="3" t="n">
        <v>62.6</v>
      </c>
      <c r="O1332" s="3" t="n"/>
      <c r="P1332" s="3">
        <f>IF(L1332&lt;&gt;"",L1332/1.4,"")</f>
        <v/>
      </c>
      <c r="Q1332" s="3">
        <f>IF(L1332&lt;&gt;"",L1332/1.56,"")</f>
        <v/>
      </c>
      <c r="R1332" s="3">
        <f>IF(M1332&lt;&gt;"",M1332/1.4,"")</f>
        <v/>
      </c>
      <c r="S1332" s="3">
        <f>IF(M1332&lt;&gt;"",M1332/1.56,"")</f>
        <v/>
      </c>
      <c r="T1332" s="3">
        <f>IF(N1332&lt;&gt;"",N1332,IF(O1332&lt;&gt;"",O1332,IF(L1332&lt;&gt;"",L1332/1.56,IF(M1332&lt;&gt;"",M1332/1.56,""))))</f>
        <v/>
      </c>
      <c r="U1332" s="3" t="n">
        <v>260</v>
      </c>
      <c r="V1332" s="3" t="n">
        <v>156</v>
      </c>
      <c r="W1332" s="3" t="n"/>
      <c r="X1332" s="4" t="n"/>
      <c r="Y1332" s="5" t="n">
        <v>0.39</v>
      </c>
      <c r="Z1332" s="4">
        <f>IF(L1332&lt;&gt;"",SQRT(3)*G1332*L1332/1000,"")</f>
        <v/>
      </c>
      <c r="AA1332" t="inlineStr">
        <is>
          <t>Source=Copeland 2D/3D/4D/4R/6D/8D/9R compressors (pdf) p64; PWS_RLA=31.3</t>
        </is>
      </c>
      <c r="AB1332" t="inlineStr">
        <is>
          <t>Copeland_RLA_230_460_3ph_60Hz.xlsx</t>
        </is>
      </c>
      <c r="AC1332" t="inlineStr">
        <is>
          <t>Recip_2D-9R</t>
        </is>
      </c>
    </row>
    <row r="1333">
      <c r="A1333" t="inlineStr">
        <is>
          <t>COPELAND</t>
        </is>
      </c>
      <c r="B1333" t="inlineStr">
        <is>
          <t>6DH3-3500-TSK</t>
        </is>
      </c>
      <c r="D1333" t="inlineStr">
        <is>
          <t>Reciprocating Semi-hermetic</t>
        </is>
      </c>
      <c r="E1333" s="2" t="n">
        <v>3</v>
      </c>
      <c r="F1333" s="2" t="n">
        <v>60</v>
      </c>
      <c r="G1333" s="2" t="n">
        <v>230</v>
      </c>
      <c r="H1333" t="inlineStr">
        <is>
          <t>208/230</t>
        </is>
      </c>
      <c r="I1333" s="2" t="n">
        <v>208</v>
      </c>
      <c r="J1333" s="2" t="n">
        <v>230</v>
      </c>
      <c r="L1333" s="3" t="n"/>
      <c r="M1333" s="3" t="n"/>
      <c r="N1333" s="3" t="n">
        <v>125.1</v>
      </c>
      <c r="O1333" s="3" t="n"/>
      <c r="P1333" s="3">
        <f>IF(L1333&lt;&gt;"",L1333/1.4,"")</f>
        <v/>
      </c>
      <c r="Q1333" s="3">
        <f>IF(L1333&lt;&gt;"",L1333/1.56,"")</f>
        <v/>
      </c>
      <c r="R1333" s="3">
        <f>IF(M1333&lt;&gt;"",M1333/1.4,"")</f>
        <v/>
      </c>
      <c r="S1333" s="3">
        <f>IF(M1333&lt;&gt;"",M1333/1.56,"")</f>
        <v/>
      </c>
      <c r="T1333" s="3">
        <f>IF(N1333&lt;&gt;"",N1333,IF(O1333&lt;&gt;"",O1333,IF(L1333&lt;&gt;"",L1333/1.56,IF(M1333&lt;&gt;"",M1333/1.56,""))))</f>
        <v/>
      </c>
      <c r="U1333" s="3" t="n">
        <v>565</v>
      </c>
      <c r="V1333" s="3" t="n">
        <v>340</v>
      </c>
      <c r="W1333" s="3" t="n"/>
      <c r="X1333" s="4" t="n"/>
      <c r="Y1333" s="5" t="n">
        <v>0.08699999999999999</v>
      </c>
      <c r="Z1333" s="4">
        <f>IF(L1333&lt;&gt;"",SQRT(3)*G1333*L1333/1000,"")</f>
        <v/>
      </c>
      <c r="AA1333" t="inlineStr">
        <is>
          <t>Source=Copeland 2D/3D/4D/4R/6D/8D/9R compressors (pdf) p64; PWS_RLA=62.6</t>
        </is>
      </c>
      <c r="AB1333" t="inlineStr">
        <is>
          <t>Copeland_RLA_230_460_3ph_60Hz.xlsx</t>
        </is>
      </c>
      <c r="AC1333" t="inlineStr">
        <is>
          <t>Recip_2D-9R</t>
        </is>
      </c>
    </row>
    <row r="1334">
      <c r="A1334" t="inlineStr">
        <is>
          <t>COPELAND</t>
        </is>
      </c>
      <c r="B1334" t="inlineStr">
        <is>
          <t>6DH3-3500-TSK</t>
        </is>
      </c>
      <c r="D1334" t="inlineStr">
        <is>
          <t>Reciprocating Semi-hermetic</t>
        </is>
      </c>
      <c r="E1334" s="2" t="n">
        <v>3</v>
      </c>
      <c r="F1334" s="2" t="n">
        <v>60</v>
      </c>
      <c r="G1334" s="2" t="n">
        <v>460</v>
      </c>
      <c r="H1334" t="inlineStr">
        <is>
          <t>460</t>
        </is>
      </c>
      <c r="I1334" s="2" t="n">
        <v>460</v>
      </c>
      <c r="J1334" s="2" t="n">
        <v>460</v>
      </c>
      <c r="L1334" s="3" t="n"/>
      <c r="M1334" s="3" t="n"/>
      <c r="N1334" s="3" t="n">
        <v>62.6</v>
      </c>
      <c r="O1334" s="3" t="n"/>
      <c r="P1334" s="3">
        <f>IF(L1334&lt;&gt;"",L1334/1.4,"")</f>
        <v/>
      </c>
      <c r="Q1334" s="3">
        <f>IF(L1334&lt;&gt;"",L1334/1.56,"")</f>
        <v/>
      </c>
      <c r="R1334" s="3">
        <f>IF(M1334&lt;&gt;"",M1334/1.4,"")</f>
        <v/>
      </c>
      <c r="S1334" s="3">
        <f>IF(M1334&lt;&gt;"",M1334/1.56,"")</f>
        <v/>
      </c>
      <c r="T1334" s="3">
        <f>IF(N1334&lt;&gt;"",N1334,IF(O1334&lt;&gt;"",O1334,IF(L1334&lt;&gt;"",L1334/1.56,IF(M1334&lt;&gt;"",M1334/1.56,""))))</f>
        <v/>
      </c>
      <c r="U1334" s="3" t="n">
        <v>283</v>
      </c>
      <c r="V1334" s="3" t="n"/>
      <c r="W1334" s="3" t="n"/>
      <c r="X1334" s="4" t="n"/>
      <c r="Y1334" s="5" t="n">
        <v>0.348</v>
      </c>
      <c r="Z1334" s="4">
        <f>IF(L1334&lt;&gt;"",SQRT(3)*G1334*L1334/1000,"")</f>
        <v/>
      </c>
      <c r="AA1334" t="inlineStr">
        <is>
          <t>Source=Copeland 2D/3D/4D/4R/6D/8D/9R compressors (pdf) p64</t>
        </is>
      </c>
      <c r="AB1334" t="inlineStr">
        <is>
          <t>Copeland_RLA_230_460_3ph_60Hz.xlsx</t>
        </is>
      </c>
      <c r="AC1334" t="inlineStr">
        <is>
          <t>Recip_2D-9R</t>
        </is>
      </c>
    </row>
    <row r="1335">
      <c r="A1335" t="inlineStr">
        <is>
          <t>COPELAND</t>
        </is>
      </c>
      <c r="B1335" t="inlineStr">
        <is>
          <t>6DH3-350E-FSD</t>
        </is>
      </c>
      <c r="D1335" t="inlineStr">
        <is>
          <t>Reciprocating Semi-hermetic</t>
        </is>
      </c>
      <c r="E1335" s="2" t="n">
        <v>3</v>
      </c>
      <c r="F1335" s="2" t="n">
        <v>60</v>
      </c>
      <c r="G1335" s="2" t="n">
        <v>460</v>
      </c>
      <c r="H1335" t="inlineStr">
        <is>
          <t>460</t>
        </is>
      </c>
      <c r="I1335" s="2" t="n">
        <v>460</v>
      </c>
      <c r="J1335" s="2" t="n">
        <v>460</v>
      </c>
      <c r="L1335" s="3" t="n"/>
      <c r="M1335" s="3" t="n"/>
      <c r="N1335" s="3" t="n">
        <v>62.6</v>
      </c>
      <c r="O1335" s="3" t="n"/>
      <c r="P1335" s="3">
        <f>IF(L1335&lt;&gt;"",L1335/1.4,"")</f>
        <v/>
      </c>
      <c r="Q1335" s="3">
        <f>IF(L1335&lt;&gt;"",L1335/1.56,"")</f>
        <v/>
      </c>
      <c r="R1335" s="3">
        <f>IF(M1335&lt;&gt;"",M1335/1.4,"")</f>
        <v/>
      </c>
      <c r="S1335" s="3">
        <f>IF(M1335&lt;&gt;"",M1335/1.56,"")</f>
        <v/>
      </c>
      <c r="T1335" s="3">
        <f>IF(N1335&lt;&gt;"",N1335,IF(O1335&lt;&gt;"",O1335,IF(L1335&lt;&gt;"",L1335/1.56,IF(M1335&lt;&gt;"",M1335/1.56,""))))</f>
        <v/>
      </c>
      <c r="U1335" s="3" t="n">
        <v>260</v>
      </c>
      <c r="V1335" s="3" t="n">
        <v>156</v>
      </c>
      <c r="W1335" s="3" t="n"/>
      <c r="X1335" s="4" t="n"/>
      <c r="Y1335" s="5" t="n">
        <v>0.39</v>
      </c>
      <c r="Z1335" s="4">
        <f>IF(L1335&lt;&gt;"",SQRT(3)*G1335*L1335/1000,"")</f>
        <v/>
      </c>
      <c r="AA1335" t="inlineStr">
        <is>
          <t>Source=Copeland 2D/3D/4D/4R/6D/8D/9R compressors (pdf) p64; PWS_RLA=31.3</t>
        </is>
      </c>
      <c r="AB1335" t="inlineStr">
        <is>
          <t>Copeland_RLA_230_460_3ph_60Hz.xlsx</t>
        </is>
      </c>
      <c r="AC1335" t="inlineStr">
        <is>
          <t>Recip_2D-9R</t>
        </is>
      </c>
    </row>
    <row r="1336">
      <c r="A1336" t="inlineStr">
        <is>
          <t>COPELAND</t>
        </is>
      </c>
      <c r="B1336" t="inlineStr">
        <is>
          <t>6DH3-350E-TSK</t>
        </is>
      </c>
      <c r="D1336" t="inlineStr">
        <is>
          <t>Reciprocating Semi-hermetic</t>
        </is>
      </c>
      <c r="E1336" s="2" t="n">
        <v>3</v>
      </c>
      <c r="F1336" s="2" t="n">
        <v>60</v>
      </c>
      <c r="G1336" s="2" t="n">
        <v>230</v>
      </c>
      <c r="H1336" t="inlineStr">
        <is>
          <t>208/230</t>
        </is>
      </c>
      <c r="I1336" s="2" t="n">
        <v>208</v>
      </c>
      <c r="J1336" s="2" t="n">
        <v>230</v>
      </c>
      <c r="L1336" s="3" t="n"/>
      <c r="M1336" s="3" t="n"/>
      <c r="N1336" s="3" t="n">
        <v>125.1</v>
      </c>
      <c r="O1336" s="3" t="n"/>
      <c r="P1336" s="3">
        <f>IF(L1336&lt;&gt;"",L1336/1.4,"")</f>
        <v/>
      </c>
      <c r="Q1336" s="3">
        <f>IF(L1336&lt;&gt;"",L1336/1.56,"")</f>
        <v/>
      </c>
      <c r="R1336" s="3">
        <f>IF(M1336&lt;&gt;"",M1336/1.4,"")</f>
        <v/>
      </c>
      <c r="S1336" s="3">
        <f>IF(M1336&lt;&gt;"",M1336/1.56,"")</f>
        <v/>
      </c>
      <c r="T1336" s="3">
        <f>IF(N1336&lt;&gt;"",N1336,IF(O1336&lt;&gt;"",O1336,IF(L1336&lt;&gt;"",L1336/1.56,IF(M1336&lt;&gt;"",M1336/1.56,""))))</f>
        <v/>
      </c>
      <c r="U1336" s="3" t="n">
        <v>565</v>
      </c>
      <c r="V1336" s="3" t="n">
        <v>340</v>
      </c>
      <c r="W1336" s="3" t="n"/>
      <c r="X1336" s="4" t="n"/>
      <c r="Y1336" s="5" t="n">
        <v>0.08699999999999999</v>
      </c>
      <c r="Z1336" s="4">
        <f>IF(L1336&lt;&gt;"",SQRT(3)*G1336*L1336/1000,"")</f>
        <v/>
      </c>
      <c r="AA1336" t="inlineStr">
        <is>
          <t>Source=Copeland 2D/3D/4D/4R/6D/8D/9R compressors (pdf) p64; PWS_RLA=62.6</t>
        </is>
      </c>
      <c r="AB1336" t="inlineStr">
        <is>
          <t>Copeland_RLA_230_460_3ph_60Hz.xlsx</t>
        </is>
      </c>
      <c r="AC1336" t="inlineStr">
        <is>
          <t>Recip_2D-9R</t>
        </is>
      </c>
    </row>
    <row r="1337">
      <c r="A1337" t="inlineStr">
        <is>
          <t>COPELAND</t>
        </is>
      </c>
      <c r="B1337" t="inlineStr">
        <is>
          <t>6DH3-350E-TSK</t>
        </is>
      </c>
      <c r="D1337" t="inlineStr">
        <is>
          <t>Reciprocating Semi-hermetic</t>
        </is>
      </c>
      <c r="E1337" s="2" t="n">
        <v>3</v>
      </c>
      <c r="F1337" s="2" t="n">
        <v>60</v>
      </c>
      <c r="G1337" s="2" t="n">
        <v>460</v>
      </c>
      <c r="H1337" t="inlineStr">
        <is>
          <t>460</t>
        </is>
      </c>
      <c r="I1337" s="2" t="n">
        <v>460</v>
      </c>
      <c r="J1337" s="2" t="n">
        <v>460</v>
      </c>
      <c r="L1337" s="3" t="n"/>
      <c r="M1337" s="3" t="n"/>
      <c r="N1337" s="3" t="n">
        <v>62.6</v>
      </c>
      <c r="O1337" s="3" t="n"/>
      <c r="P1337" s="3">
        <f>IF(L1337&lt;&gt;"",L1337/1.4,"")</f>
        <v/>
      </c>
      <c r="Q1337" s="3">
        <f>IF(L1337&lt;&gt;"",L1337/1.56,"")</f>
        <v/>
      </c>
      <c r="R1337" s="3">
        <f>IF(M1337&lt;&gt;"",M1337/1.4,"")</f>
        <v/>
      </c>
      <c r="S1337" s="3">
        <f>IF(M1337&lt;&gt;"",M1337/1.56,"")</f>
        <v/>
      </c>
      <c r="T1337" s="3">
        <f>IF(N1337&lt;&gt;"",N1337,IF(O1337&lt;&gt;"",O1337,IF(L1337&lt;&gt;"",L1337/1.56,IF(M1337&lt;&gt;"",M1337/1.56,""))))</f>
        <v/>
      </c>
      <c r="U1337" s="3" t="n">
        <v>283</v>
      </c>
      <c r="V1337" s="3" t="n"/>
      <c r="W1337" s="3" t="n"/>
      <c r="X1337" s="4" t="n"/>
      <c r="Y1337" s="5" t="n">
        <v>0.348</v>
      </c>
      <c r="Z1337" s="4">
        <f>IF(L1337&lt;&gt;"",SQRT(3)*G1337*L1337/1000,"")</f>
        <v/>
      </c>
      <c r="AA1337" t="inlineStr">
        <is>
          <t>Source=Copeland 2D/3D/4D/4R/6D/8D/9R compressors (pdf) p64</t>
        </is>
      </c>
      <c r="AB1337" t="inlineStr">
        <is>
          <t>Copeland_RLA_230_460_3ph_60Hz.xlsx</t>
        </is>
      </c>
      <c r="AC1337" t="inlineStr">
        <is>
          <t>Recip_2D-9R</t>
        </is>
      </c>
    </row>
    <row r="1338">
      <c r="A1338" t="inlineStr">
        <is>
          <t>COPELAND</t>
        </is>
      </c>
      <c r="B1338" t="inlineStr">
        <is>
          <t>6DH3-350L-FSD</t>
        </is>
      </c>
      <c r="D1338" t="inlineStr">
        <is>
          <t>Reciprocating Semi-hermetic</t>
        </is>
      </c>
      <c r="E1338" s="2" t="n">
        <v>3</v>
      </c>
      <c r="F1338" s="2" t="n">
        <v>60</v>
      </c>
      <c r="G1338" s="2" t="n">
        <v>460</v>
      </c>
      <c r="H1338" t="inlineStr">
        <is>
          <t>460</t>
        </is>
      </c>
      <c r="I1338" s="2" t="n">
        <v>460</v>
      </c>
      <c r="J1338" s="2" t="n">
        <v>460</v>
      </c>
      <c r="L1338" s="3" t="n"/>
      <c r="M1338" s="3" t="n"/>
      <c r="N1338" s="3" t="n">
        <v>62.6</v>
      </c>
      <c r="O1338" s="3" t="n"/>
      <c r="P1338" s="3">
        <f>IF(L1338&lt;&gt;"",L1338/1.4,"")</f>
        <v/>
      </c>
      <c r="Q1338" s="3">
        <f>IF(L1338&lt;&gt;"",L1338/1.56,"")</f>
        <v/>
      </c>
      <c r="R1338" s="3">
        <f>IF(M1338&lt;&gt;"",M1338/1.4,"")</f>
        <v/>
      </c>
      <c r="S1338" s="3">
        <f>IF(M1338&lt;&gt;"",M1338/1.56,"")</f>
        <v/>
      </c>
      <c r="T1338" s="3">
        <f>IF(N1338&lt;&gt;"",N1338,IF(O1338&lt;&gt;"",O1338,IF(L1338&lt;&gt;"",L1338/1.56,IF(M1338&lt;&gt;"",M1338/1.56,""))))</f>
        <v/>
      </c>
      <c r="U1338" s="3" t="n">
        <v>260</v>
      </c>
      <c r="V1338" s="3" t="n">
        <v>156</v>
      </c>
      <c r="W1338" s="3" t="n"/>
      <c r="X1338" s="4" t="n"/>
      <c r="Y1338" s="5" t="n">
        <v>0.39</v>
      </c>
      <c r="Z1338" s="4">
        <f>IF(L1338&lt;&gt;"",SQRT(3)*G1338*L1338/1000,"")</f>
        <v/>
      </c>
      <c r="AA1338" t="inlineStr">
        <is>
          <t>Source=Copeland 2D/3D/4D/4R/6D/8D/9R compressors (pdf) p64; PWS_RLA=31.3</t>
        </is>
      </c>
      <c r="AB1338" t="inlineStr">
        <is>
          <t>Copeland_RLA_230_460_3ph_60Hz.xlsx</t>
        </is>
      </c>
      <c r="AC1338" t="inlineStr">
        <is>
          <t>Recip_2D-9R</t>
        </is>
      </c>
    </row>
    <row r="1339">
      <c r="A1339" t="inlineStr">
        <is>
          <t>COPELAND</t>
        </is>
      </c>
      <c r="B1339" t="inlineStr">
        <is>
          <t>6DH3-350L-TSK</t>
        </is>
      </c>
      <c r="D1339" t="inlineStr">
        <is>
          <t>Reciprocating Semi-hermetic</t>
        </is>
      </c>
      <c r="E1339" s="2" t="n">
        <v>3</v>
      </c>
      <c r="F1339" s="2" t="n">
        <v>60</v>
      </c>
      <c r="G1339" s="2" t="n">
        <v>230</v>
      </c>
      <c r="H1339" t="inlineStr">
        <is>
          <t>208/230</t>
        </is>
      </c>
      <c r="I1339" s="2" t="n">
        <v>208</v>
      </c>
      <c r="J1339" s="2" t="n">
        <v>230</v>
      </c>
      <c r="L1339" s="3" t="n"/>
      <c r="M1339" s="3" t="n"/>
      <c r="N1339" s="3" t="n">
        <v>125.1</v>
      </c>
      <c r="O1339" s="3" t="n"/>
      <c r="P1339" s="3">
        <f>IF(L1339&lt;&gt;"",L1339/1.4,"")</f>
        <v/>
      </c>
      <c r="Q1339" s="3">
        <f>IF(L1339&lt;&gt;"",L1339/1.56,"")</f>
        <v/>
      </c>
      <c r="R1339" s="3">
        <f>IF(M1339&lt;&gt;"",M1339/1.4,"")</f>
        <v/>
      </c>
      <c r="S1339" s="3">
        <f>IF(M1339&lt;&gt;"",M1339/1.56,"")</f>
        <v/>
      </c>
      <c r="T1339" s="3">
        <f>IF(N1339&lt;&gt;"",N1339,IF(O1339&lt;&gt;"",O1339,IF(L1339&lt;&gt;"",L1339/1.56,IF(M1339&lt;&gt;"",M1339/1.56,""))))</f>
        <v/>
      </c>
      <c r="U1339" s="3" t="n">
        <v>565</v>
      </c>
      <c r="V1339" s="3" t="n">
        <v>340</v>
      </c>
      <c r="W1339" s="3" t="n"/>
      <c r="X1339" s="4" t="n"/>
      <c r="Y1339" s="5" t="n">
        <v>0.08699999999999999</v>
      </c>
      <c r="Z1339" s="4">
        <f>IF(L1339&lt;&gt;"",SQRT(3)*G1339*L1339/1000,"")</f>
        <v/>
      </c>
      <c r="AA1339" t="inlineStr">
        <is>
          <t>Source=Copeland 2D/3D/4D/4R/6D/8D/9R compressors (pdf) p64; PWS_RLA=62.6</t>
        </is>
      </c>
      <c r="AB1339" t="inlineStr">
        <is>
          <t>Copeland_RLA_230_460_3ph_60Hz.xlsx</t>
        </is>
      </c>
      <c r="AC1339" t="inlineStr">
        <is>
          <t>Recip_2D-9R</t>
        </is>
      </c>
    </row>
    <row r="1340">
      <c r="A1340" t="inlineStr">
        <is>
          <t>COPELAND</t>
        </is>
      </c>
      <c r="B1340" t="inlineStr">
        <is>
          <t>6DH3-350L-TSK</t>
        </is>
      </c>
      <c r="D1340" t="inlineStr">
        <is>
          <t>Reciprocating Semi-hermetic</t>
        </is>
      </c>
      <c r="E1340" s="2" t="n">
        <v>3</v>
      </c>
      <c r="F1340" s="2" t="n">
        <v>60</v>
      </c>
      <c r="G1340" s="2" t="n">
        <v>460</v>
      </c>
      <c r="H1340" t="inlineStr">
        <is>
          <t>460</t>
        </is>
      </c>
      <c r="I1340" s="2" t="n">
        <v>460</v>
      </c>
      <c r="J1340" s="2" t="n">
        <v>460</v>
      </c>
      <c r="L1340" s="3" t="n"/>
      <c r="M1340" s="3" t="n"/>
      <c r="N1340" s="3" t="n">
        <v>62.6</v>
      </c>
      <c r="O1340" s="3" t="n"/>
      <c r="P1340" s="3">
        <f>IF(L1340&lt;&gt;"",L1340/1.4,"")</f>
        <v/>
      </c>
      <c r="Q1340" s="3">
        <f>IF(L1340&lt;&gt;"",L1340/1.56,"")</f>
        <v/>
      </c>
      <c r="R1340" s="3">
        <f>IF(M1340&lt;&gt;"",M1340/1.4,"")</f>
        <v/>
      </c>
      <c r="S1340" s="3">
        <f>IF(M1340&lt;&gt;"",M1340/1.56,"")</f>
        <v/>
      </c>
      <c r="T1340" s="3">
        <f>IF(N1340&lt;&gt;"",N1340,IF(O1340&lt;&gt;"",O1340,IF(L1340&lt;&gt;"",L1340/1.56,IF(M1340&lt;&gt;"",M1340/1.56,""))))</f>
        <v/>
      </c>
      <c r="U1340" s="3" t="n">
        <v>283</v>
      </c>
      <c r="V1340" s="3" t="n"/>
      <c r="W1340" s="3" t="n"/>
      <c r="X1340" s="4" t="n"/>
      <c r="Y1340" s="5" t="n">
        <v>0.348</v>
      </c>
      <c r="Z1340" s="4">
        <f>IF(L1340&lt;&gt;"",SQRT(3)*G1340*L1340/1000,"")</f>
        <v/>
      </c>
      <c r="AA1340" t="inlineStr">
        <is>
          <t>Source=Copeland 2D/3D/4D/4R/6D/8D/9R compressors (pdf) p64</t>
        </is>
      </c>
      <c r="AB1340" t="inlineStr">
        <is>
          <t>Copeland_RLA_230_460_3ph_60Hz.xlsx</t>
        </is>
      </c>
      <c r="AC1340" t="inlineStr">
        <is>
          <t>Recip_2D-9R</t>
        </is>
      </c>
    </row>
    <row r="1341">
      <c r="A1341" t="inlineStr">
        <is>
          <t>COPELAND</t>
        </is>
      </c>
      <c r="B1341" t="inlineStr">
        <is>
          <t>6DH3A200E-TSK</t>
        </is>
      </c>
      <c r="D1341" t="inlineStr">
        <is>
          <t>Reciprocating Semi-hermetic</t>
        </is>
      </c>
      <c r="E1341" s="2" t="n">
        <v>3</v>
      </c>
      <c r="F1341" s="2" t="n">
        <v>60</v>
      </c>
      <c r="G1341" s="2" t="n">
        <v>230</v>
      </c>
      <c r="H1341" t="inlineStr">
        <is>
          <t>208/230</t>
        </is>
      </c>
      <c r="I1341" s="2" t="n">
        <v>208</v>
      </c>
      <c r="J1341" s="2" t="n">
        <v>230</v>
      </c>
      <c r="L1341" s="3" t="n"/>
      <c r="M1341" s="3" t="n"/>
      <c r="N1341" s="3" t="n">
        <v>75</v>
      </c>
      <c r="O1341" s="3" t="n"/>
      <c r="P1341" s="3">
        <f>IF(L1341&lt;&gt;"",L1341/1.4,"")</f>
        <v/>
      </c>
      <c r="Q1341" s="3">
        <f>IF(L1341&lt;&gt;"",L1341/1.56,"")</f>
        <v/>
      </c>
      <c r="R1341" s="3">
        <f>IF(M1341&lt;&gt;"",M1341/1.4,"")</f>
        <v/>
      </c>
      <c r="S1341" s="3">
        <f>IF(M1341&lt;&gt;"",M1341/1.56,"")</f>
        <v/>
      </c>
      <c r="T1341" s="3">
        <f>IF(N1341&lt;&gt;"",N1341,IF(O1341&lt;&gt;"",O1341,IF(L1341&lt;&gt;"",L1341/1.56,IF(M1341&lt;&gt;"",M1341/1.56,""))))</f>
        <v/>
      </c>
      <c r="U1341" s="3" t="n">
        <v>346</v>
      </c>
      <c r="V1341" s="3" t="n">
        <v>208</v>
      </c>
      <c r="W1341" s="3" t="n"/>
      <c r="X1341" s="4" t="n"/>
      <c r="Y1341" s="5" t="n">
        <v>0.142</v>
      </c>
      <c r="Z1341" s="4">
        <f>IF(L1341&lt;&gt;"",SQRT(3)*G1341*L1341/1000,"")</f>
        <v/>
      </c>
      <c r="AA1341" t="inlineStr">
        <is>
          <t>Source=Copeland 2D/3D/4D/4R/6D/8D/9R compressors (pdf) p64; PWS_RLA=37.5</t>
        </is>
      </c>
      <c r="AB1341" t="inlineStr">
        <is>
          <t>Copeland_RLA_230_460_3ph_60Hz.xlsx</t>
        </is>
      </c>
      <c r="AC1341" t="inlineStr">
        <is>
          <t>Recip_2D-9R</t>
        </is>
      </c>
    </row>
    <row r="1342">
      <c r="A1342" t="inlineStr">
        <is>
          <t>COPELAND</t>
        </is>
      </c>
      <c r="B1342" t="inlineStr">
        <is>
          <t>6DH3A200E-TSK</t>
        </is>
      </c>
      <c r="D1342" t="inlineStr">
        <is>
          <t>Reciprocating Semi-hermetic</t>
        </is>
      </c>
      <c r="E1342" s="2" t="n">
        <v>3</v>
      </c>
      <c r="F1342" s="2" t="n">
        <v>60</v>
      </c>
      <c r="G1342" s="2" t="n">
        <v>460</v>
      </c>
      <c r="H1342" t="inlineStr">
        <is>
          <t>460</t>
        </is>
      </c>
      <c r="I1342" s="2" t="n">
        <v>460</v>
      </c>
      <c r="J1342" s="2" t="n">
        <v>460</v>
      </c>
      <c r="L1342" s="3" t="n"/>
      <c r="M1342" s="3" t="n"/>
      <c r="N1342" s="3" t="n">
        <v>37.5</v>
      </c>
      <c r="O1342" s="3" t="n"/>
      <c r="P1342" s="3">
        <f>IF(L1342&lt;&gt;"",L1342/1.4,"")</f>
        <v/>
      </c>
      <c r="Q1342" s="3">
        <f>IF(L1342&lt;&gt;"",L1342/1.56,"")</f>
        <v/>
      </c>
      <c r="R1342" s="3">
        <f>IF(M1342&lt;&gt;"",M1342/1.4,"")</f>
        <v/>
      </c>
      <c r="S1342" s="3">
        <f>IF(M1342&lt;&gt;"",M1342/1.56,"")</f>
        <v/>
      </c>
      <c r="T1342" s="3">
        <f>IF(N1342&lt;&gt;"",N1342,IF(O1342&lt;&gt;"",O1342,IF(L1342&lt;&gt;"",L1342/1.56,IF(M1342&lt;&gt;"",M1342/1.56,""))))</f>
        <v/>
      </c>
      <c r="U1342" s="3" t="n">
        <v>173</v>
      </c>
      <c r="V1342" s="3" t="n"/>
      <c r="W1342" s="3" t="n"/>
      <c r="X1342" s="4" t="n"/>
      <c r="Y1342" s="5" t="n">
        <v>0.5679999999999999</v>
      </c>
      <c r="Z1342" s="4">
        <f>IF(L1342&lt;&gt;"",SQRT(3)*G1342*L1342/1000,"")</f>
        <v/>
      </c>
      <c r="AA1342" t="inlineStr">
        <is>
          <t>Source=Copeland 2D/3D/4D/4R/6D/8D/9R compressors (pdf) p64</t>
        </is>
      </c>
      <c r="AB1342" t="inlineStr">
        <is>
          <t>Copeland_RLA_230_460_3ph_60Hz.xlsx</t>
        </is>
      </c>
      <c r="AC1342" t="inlineStr">
        <is>
          <t>Recip_2D-9R</t>
        </is>
      </c>
    </row>
    <row r="1343">
      <c r="A1343" t="inlineStr">
        <is>
          <t>COPELAND</t>
        </is>
      </c>
      <c r="B1343" t="inlineStr">
        <is>
          <t>6DH3A200L-TSK</t>
        </is>
      </c>
      <c r="D1343" t="inlineStr">
        <is>
          <t>Reciprocating Semi-hermetic</t>
        </is>
      </c>
      <c r="E1343" s="2" t="n">
        <v>3</v>
      </c>
      <c r="F1343" s="2" t="n">
        <v>60</v>
      </c>
      <c r="G1343" s="2" t="n">
        <v>230</v>
      </c>
      <c r="H1343" t="inlineStr">
        <is>
          <t>208/230</t>
        </is>
      </c>
      <c r="I1343" s="2" t="n">
        <v>208</v>
      </c>
      <c r="J1343" s="2" t="n">
        <v>230</v>
      </c>
      <c r="L1343" s="3" t="n"/>
      <c r="M1343" s="3" t="n"/>
      <c r="N1343" s="3" t="n">
        <v>75</v>
      </c>
      <c r="O1343" s="3" t="n"/>
      <c r="P1343" s="3">
        <f>IF(L1343&lt;&gt;"",L1343/1.4,"")</f>
        <v/>
      </c>
      <c r="Q1343" s="3">
        <f>IF(L1343&lt;&gt;"",L1343/1.56,"")</f>
        <v/>
      </c>
      <c r="R1343" s="3">
        <f>IF(M1343&lt;&gt;"",M1343/1.4,"")</f>
        <v/>
      </c>
      <c r="S1343" s="3">
        <f>IF(M1343&lt;&gt;"",M1343/1.56,"")</f>
        <v/>
      </c>
      <c r="T1343" s="3">
        <f>IF(N1343&lt;&gt;"",N1343,IF(O1343&lt;&gt;"",O1343,IF(L1343&lt;&gt;"",L1343/1.56,IF(M1343&lt;&gt;"",M1343/1.56,""))))</f>
        <v/>
      </c>
      <c r="U1343" s="3" t="n">
        <v>346</v>
      </c>
      <c r="V1343" s="3" t="n">
        <v>208</v>
      </c>
      <c r="W1343" s="3" t="n"/>
      <c r="X1343" s="4" t="n"/>
      <c r="Y1343" s="5" t="n">
        <v>0.142</v>
      </c>
      <c r="Z1343" s="4">
        <f>IF(L1343&lt;&gt;"",SQRT(3)*G1343*L1343/1000,"")</f>
        <v/>
      </c>
      <c r="AA1343" t="inlineStr">
        <is>
          <t>Source=Copeland 2D/3D/4D/4R/6D/8D/9R compressors (pdf) p64; PWS_RLA=37.5</t>
        </is>
      </c>
      <c r="AB1343" t="inlineStr">
        <is>
          <t>Copeland_RLA_230_460_3ph_60Hz.xlsx</t>
        </is>
      </c>
      <c r="AC1343" t="inlineStr">
        <is>
          <t>Recip_2D-9R</t>
        </is>
      </c>
    </row>
    <row r="1344">
      <c r="A1344" t="inlineStr">
        <is>
          <t>COPELAND</t>
        </is>
      </c>
      <c r="B1344" t="inlineStr">
        <is>
          <t>6DH3A200L-TSK</t>
        </is>
      </c>
      <c r="D1344" t="inlineStr">
        <is>
          <t>Reciprocating Semi-hermetic</t>
        </is>
      </c>
      <c r="E1344" s="2" t="n">
        <v>3</v>
      </c>
      <c r="F1344" s="2" t="n">
        <v>60</v>
      </c>
      <c r="G1344" s="2" t="n">
        <v>460</v>
      </c>
      <c r="H1344" t="inlineStr">
        <is>
          <t>460</t>
        </is>
      </c>
      <c r="I1344" s="2" t="n">
        <v>460</v>
      </c>
      <c r="J1344" s="2" t="n">
        <v>460</v>
      </c>
      <c r="L1344" s="3" t="n"/>
      <c r="M1344" s="3" t="n"/>
      <c r="N1344" s="3" t="n">
        <v>37.5</v>
      </c>
      <c r="O1344" s="3" t="n"/>
      <c r="P1344" s="3">
        <f>IF(L1344&lt;&gt;"",L1344/1.4,"")</f>
        <v/>
      </c>
      <c r="Q1344" s="3">
        <f>IF(L1344&lt;&gt;"",L1344/1.56,"")</f>
        <v/>
      </c>
      <c r="R1344" s="3">
        <f>IF(M1344&lt;&gt;"",M1344/1.4,"")</f>
        <v/>
      </c>
      <c r="S1344" s="3">
        <f>IF(M1344&lt;&gt;"",M1344/1.56,"")</f>
        <v/>
      </c>
      <c r="T1344" s="3">
        <f>IF(N1344&lt;&gt;"",N1344,IF(O1344&lt;&gt;"",O1344,IF(L1344&lt;&gt;"",L1344/1.56,IF(M1344&lt;&gt;"",M1344/1.56,""))))</f>
        <v/>
      </c>
      <c r="U1344" s="3" t="n">
        <v>173</v>
      </c>
      <c r="V1344" s="3" t="n"/>
      <c r="W1344" s="3" t="n"/>
      <c r="X1344" s="4" t="n"/>
      <c r="Y1344" s="5" t="n">
        <v>0.5679999999999999</v>
      </c>
      <c r="Z1344" s="4">
        <f>IF(L1344&lt;&gt;"",SQRT(3)*G1344*L1344/1000,"")</f>
        <v/>
      </c>
      <c r="AA1344" t="inlineStr">
        <is>
          <t>Source=Copeland 2D/3D/4D/4R/6D/8D/9R compressors (pdf) p64</t>
        </is>
      </c>
      <c r="AB1344" t="inlineStr">
        <is>
          <t>Copeland_RLA_230_460_3ph_60Hz.xlsx</t>
        </is>
      </c>
      <c r="AC1344" t="inlineStr">
        <is>
          <t>Recip_2D-9R</t>
        </is>
      </c>
    </row>
    <row r="1345">
      <c r="A1345" t="inlineStr">
        <is>
          <t>COPELAND</t>
        </is>
      </c>
      <c r="B1345" t="inlineStr">
        <is>
          <t>6DH3A3500-FSD</t>
        </is>
      </c>
      <c r="D1345" t="inlineStr">
        <is>
          <t>Reciprocating Semi-hermetic</t>
        </is>
      </c>
      <c r="E1345" s="2" t="n">
        <v>3</v>
      </c>
      <c r="F1345" s="2" t="n">
        <v>60</v>
      </c>
      <c r="G1345" s="2" t="n">
        <v>460</v>
      </c>
      <c r="H1345" t="inlineStr">
        <is>
          <t>460</t>
        </is>
      </c>
      <c r="I1345" s="2" t="n">
        <v>460</v>
      </c>
      <c r="J1345" s="2" t="n">
        <v>460</v>
      </c>
      <c r="L1345" s="3" t="n"/>
      <c r="M1345" s="3" t="n"/>
      <c r="N1345" s="3" t="n">
        <v>62.6</v>
      </c>
      <c r="O1345" s="3" t="n"/>
      <c r="P1345" s="3">
        <f>IF(L1345&lt;&gt;"",L1345/1.4,"")</f>
        <v/>
      </c>
      <c r="Q1345" s="3">
        <f>IF(L1345&lt;&gt;"",L1345/1.56,"")</f>
        <v/>
      </c>
      <c r="R1345" s="3">
        <f>IF(M1345&lt;&gt;"",M1345/1.4,"")</f>
        <v/>
      </c>
      <c r="S1345" s="3">
        <f>IF(M1345&lt;&gt;"",M1345/1.56,"")</f>
        <v/>
      </c>
      <c r="T1345" s="3">
        <f>IF(N1345&lt;&gt;"",N1345,IF(O1345&lt;&gt;"",O1345,IF(L1345&lt;&gt;"",L1345/1.56,IF(M1345&lt;&gt;"",M1345/1.56,""))))</f>
        <v/>
      </c>
      <c r="U1345" s="3" t="n">
        <v>260</v>
      </c>
      <c r="V1345" s="3" t="n">
        <v>156</v>
      </c>
      <c r="W1345" s="3" t="n"/>
      <c r="X1345" s="4" t="n"/>
      <c r="Y1345" s="5" t="n">
        <v>0.39</v>
      </c>
      <c r="Z1345" s="4">
        <f>IF(L1345&lt;&gt;"",SQRT(3)*G1345*L1345/1000,"")</f>
        <v/>
      </c>
      <c r="AA1345" t="inlineStr">
        <is>
          <t>Source=Copeland 2D/3D/4D/4R/6D/8D/9R compressors (pdf) p64; PWS_RLA=31.3</t>
        </is>
      </c>
      <c r="AB1345" t="inlineStr">
        <is>
          <t>Copeland_RLA_230_460_3ph_60Hz.xlsx</t>
        </is>
      </c>
      <c r="AC1345" t="inlineStr">
        <is>
          <t>Recip_2D-9R</t>
        </is>
      </c>
    </row>
    <row r="1346">
      <c r="A1346" t="inlineStr">
        <is>
          <t>COPELAND</t>
        </is>
      </c>
      <c r="B1346" t="inlineStr">
        <is>
          <t>6DH3A3500-TSK</t>
        </is>
      </c>
      <c r="D1346" t="inlineStr">
        <is>
          <t>Reciprocating Semi-hermetic</t>
        </is>
      </c>
      <c r="E1346" s="2" t="n">
        <v>3</v>
      </c>
      <c r="F1346" s="2" t="n">
        <v>60</v>
      </c>
      <c r="G1346" s="2" t="n">
        <v>230</v>
      </c>
      <c r="H1346" t="inlineStr">
        <is>
          <t>208/230</t>
        </is>
      </c>
      <c r="I1346" s="2" t="n">
        <v>208</v>
      </c>
      <c r="J1346" s="2" t="n">
        <v>230</v>
      </c>
      <c r="L1346" s="3" t="n"/>
      <c r="M1346" s="3" t="n"/>
      <c r="N1346" s="3" t="n">
        <v>125.1</v>
      </c>
      <c r="O1346" s="3" t="n"/>
      <c r="P1346" s="3">
        <f>IF(L1346&lt;&gt;"",L1346/1.4,"")</f>
        <v/>
      </c>
      <c r="Q1346" s="3">
        <f>IF(L1346&lt;&gt;"",L1346/1.56,"")</f>
        <v/>
      </c>
      <c r="R1346" s="3">
        <f>IF(M1346&lt;&gt;"",M1346/1.4,"")</f>
        <v/>
      </c>
      <c r="S1346" s="3">
        <f>IF(M1346&lt;&gt;"",M1346/1.56,"")</f>
        <v/>
      </c>
      <c r="T1346" s="3">
        <f>IF(N1346&lt;&gt;"",N1346,IF(O1346&lt;&gt;"",O1346,IF(L1346&lt;&gt;"",L1346/1.56,IF(M1346&lt;&gt;"",M1346/1.56,""))))</f>
        <v/>
      </c>
      <c r="U1346" s="3" t="n">
        <v>565</v>
      </c>
      <c r="V1346" s="3" t="n">
        <v>340</v>
      </c>
      <c r="W1346" s="3" t="n"/>
      <c r="X1346" s="4" t="n"/>
      <c r="Y1346" s="5" t="n">
        <v>0.08699999999999999</v>
      </c>
      <c r="Z1346" s="4">
        <f>IF(L1346&lt;&gt;"",SQRT(3)*G1346*L1346/1000,"")</f>
        <v/>
      </c>
      <c r="AA1346" t="inlineStr">
        <is>
          <t>Source=Copeland 2D/3D/4D/4R/6D/8D/9R compressors (pdf) p65; PWS_RLA=62.6</t>
        </is>
      </c>
      <c r="AB1346" t="inlineStr">
        <is>
          <t>Copeland_RLA_230_460_3ph_60Hz.xlsx</t>
        </is>
      </c>
      <c r="AC1346" t="inlineStr">
        <is>
          <t>Recip_2D-9R</t>
        </is>
      </c>
    </row>
    <row r="1347">
      <c r="A1347" t="inlineStr">
        <is>
          <t>COPELAND</t>
        </is>
      </c>
      <c r="B1347" t="inlineStr">
        <is>
          <t>6DH3A3500-TSK</t>
        </is>
      </c>
      <c r="D1347" t="inlineStr">
        <is>
          <t>Reciprocating Semi-hermetic</t>
        </is>
      </c>
      <c r="E1347" s="2" t="n">
        <v>3</v>
      </c>
      <c r="F1347" s="2" t="n">
        <v>60</v>
      </c>
      <c r="G1347" s="2" t="n">
        <v>460</v>
      </c>
      <c r="H1347" t="inlineStr">
        <is>
          <t>460</t>
        </is>
      </c>
      <c r="I1347" s="2" t="n">
        <v>460</v>
      </c>
      <c r="J1347" s="2" t="n">
        <v>460</v>
      </c>
      <c r="L1347" s="3" t="n"/>
      <c r="M1347" s="3" t="n"/>
      <c r="N1347" s="3" t="n">
        <v>62.6</v>
      </c>
      <c r="O1347" s="3" t="n"/>
      <c r="P1347" s="3">
        <f>IF(L1347&lt;&gt;"",L1347/1.4,"")</f>
        <v/>
      </c>
      <c r="Q1347" s="3">
        <f>IF(L1347&lt;&gt;"",L1347/1.56,"")</f>
        <v/>
      </c>
      <c r="R1347" s="3">
        <f>IF(M1347&lt;&gt;"",M1347/1.4,"")</f>
        <v/>
      </c>
      <c r="S1347" s="3">
        <f>IF(M1347&lt;&gt;"",M1347/1.56,"")</f>
        <v/>
      </c>
      <c r="T1347" s="3">
        <f>IF(N1347&lt;&gt;"",N1347,IF(O1347&lt;&gt;"",O1347,IF(L1347&lt;&gt;"",L1347/1.56,IF(M1347&lt;&gt;"",M1347/1.56,""))))</f>
        <v/>
      </c>
      <c r="U1347" s="3" t="n">
        <v>283</v>
      </c>
      <c r="V1347" s="3" t="n"/>
      <c r="W1347" s="3" t="n"/>
      <c r="X1347" s="4" t="n"/>
      <c r="Y1347" s="5" t="n">
        <v>0.348</v>
      </c>
      <c r="Z1347" s="4">
        <f>IF(L1347&lt;&gt;"",SQRT(3)*G1347*L1347/1000,"")</f>
        <v/>
      </c>
      <c r="AA1347" t="inlineStr">
        <is>
          <t>Source=Copeland 2D/3D/4D/4R/6D/8D/9R compressors (pdf) p65</t>
        </is>
      </c>
      <c r="AB1347" t="inlineStr">
        <is>
          <t>Copeland_RLA_230_460_3ph_60Hz.xlsx</t>
        </is>
      </c>
      <c r="AC1347" t="inlineStr">
        <is>
          <t>Recip_2D-9R</t>
        </is>
      </c>
    </row>
    <row r="1348">
      <c r="A1348" t="inlineStr">
        <is>
          <t>COPELAND</t>
        </is>
      </c>
      <c r="B1348" t="inlineStr">
        <is>
          <t>6DH3A350E-FSD</t>
        </is>
      </c>
      <c r="D1348" t="inlineStr">
        <is>
          <t>Reciprocating Semi-hermetic</t>
        </is>
      </c>
      <c r="E1348" s="2" t="n">
        <v>3</v>
      </c>
      <c r="F1348" s="2" t="n">
        <v>60</v>
      </c>
      <c r="G1348" s="2" t="n">
        <v>460</v>
      </c>
      <c r="H1348" t="inlineStr">
        <is>
          <t>460</t>
        </is>
      </c>
      <c r="I1348" s="2" t="n">
        <v>460</v>
      </c>
      <c r="J1348" s="2" t="n">
        <v>460</v>
      </c>
      <c r="L1348" s="3" t="n"/>
      <c r="M1348" s="3" t="n"/>
      <c r="N1348" s="3" t="n">
        <v>62.6</v>
      </c>
      <c r="O1348" s="3" t="n"/>
      <c r="P1348" s="3">
        <f>IF(L1348&lt;&gt;"",L1348/1.4,"")</f>
        <v/>
      </c>
      <c r="Q1348" s="3">
        <f>IF(L1348&lt;&gt;"",L1348/1.56,"")</f>
        <v/>
      </c>
      <c r="R1348" s="3">
        <f>IF(M1348&lt;&gt;"",M1348/1.4,"")</f>
        <v/>
      </c>
      <c r="S1348" s="3">
        <f>IF(M1348&lt;&gt;"",M1348/1.56,"")</f>
        <v/>
      </c>
      <c r="T1348" s="3">
        <f>IF(N1348&lt;&gt;"",N1348,IF(O1348&lt;&gt;"",O1348,IF(L1348&lt;&gt;"",L1348/1.56,IF(M1348&lt;&gt;"",M1348/1.56,""))))</f>
        <v/>
      </c>
      <c r="U1348" s="3" t="n">
        <v>260</v>
      </c>
      <c r="V1348" s="3" t="n">
        <v>156</v>
      </c>
      <c r="W1348" s="3" t="n"/>
      <c r="X1348" s="4" t="n"/>
      <c r="Y1348" s="5" t="n">
        <v>0.39</v>
      </c>
      <c r="Z1348" s="4">
        <f>IF(L1348&lt;&gt;"",SQRT(3)*G1348*L1348/1000,"")</f>
        <v/>
      </c>
      <c r="AA1348" t="inlineStr">
        <is>
          <t>Source=Copeland 2D/3D/4D/4R/6D/8D/9R compressors (pdf) p65; PWS_RLA=31.3</t>
        </is>
      </c>
      <c r="AB1348" t="inlineStr">
        <is>
          <t>Copeland_RLA_230_460_3ph_60Hz.xlsx</t>
        </is>
      </c>
      <c r="AC1348" t="inlineStr">
        <is>
          <t>Recip_2D-9R</t>
        </is>
      </c>
    </row>
    <row r="1349">
      <c r="A1349" t="inlineStr">
        <is>
          <t>COPELAND</t>
        </is>
      </c>
      <c r="B1349" t="inlineStr">
        <is>
          <t>6DH3A350E-TSK</t>
        </is>
      </c>
      <c r="D1349" t="inlineStr">
        <is>
          <t>Reciprocating Semi-hermetic</t>
        </is>
      </c>
      <c r="E1349" s="2" t="n">
        <v>3</v>
      </c>
      <c r="F1349" s="2" t="n">
        <v>60</v>
      </c>
      <c r="G1349" s="2" t="n">
        <v>230</v>
      </c>
      <c r="H1349" t="inlineStr">
        <is>
          <t>208/230</t>
        </is>
      </c>
      <c r="I1349" s="2" t="n">
        <v>208</v>
      </c>
      <c r="J1349" s="2" t="n">
        <v>230</v>
      </c>
      <c r="L1349" s="3" t="n"/>
      <c r="M1349" s="3" t="n"/>
      <c r="N1349" s="3" t="n">
        <v>147.1</v>
      </c>
      <c r="O1349" s="3" t="n"/>
      <c r="P1349" s="3">
        <f>IF(L1349&lt;&gt;"",L1349/1.4,"")</f>
        <v/>
      </c>
      <c r="Q1349" s="3">
        <f>IF(L1349&lt;&gt;"",L1349/1.56,"")</f>
        <v/>
      </c>
      <c r="R1349" s="3">
        <f>IF(M1349&lt;&gt;"",M1349/1.4,"")</f>
        <v/>
      </c>
      <c r="S1349" s="3">
        <f>IF(M1349&lt;&gt;"",M1349/1.56,"")</f>
        <v/>
      </c>
      <c r="T1349" s="3">
        <f>IF(N1349&lt;&gt;"",N1349,IF(O1349&lt;&gt;"",O1349,IF(L1349&lt;&gt;"",L1349/1.56,IF(M1349&lt;&gt;"",M1349/1.56,""))))</f>
        <v/>
      </c>
      <c r="U1349" s="3" t="n">
        <v>565</v>
      </c>
      <c r="V1349" s="3" t="n">
        <v>340</v>
      </c>
      <c r="W1349" s="3" t="n"/>
      <c r="X1349" s="4" t="n"/>
      <c r="Y1349" s="5" t="n">
        <v>0.08699999999999999</v>
      </c>
      <c r="Z1349" s="4">
        <f>IF(L1349&lt;&gt;"",SQRT(3)*G1349*L1349/1000,"")</f>
        <v/>
      </c>
      <c r="AA1349" t="inlineStr">
        <is>
          <t>Source=Copeland 2D/3D/4D/4R/6D/8D/9R compressors (pdf) p65; PWS_RLA=62.6</t>
        </is>
      </c>
      <c r="AB1349" t="inlineStr">
        <is>
          <t>Copeland_RLA_230_460_3ph_60Hz.xlsx</t>
        </is>
      </c>
      <c r="AC1349" t="inlineStr">
        <is>
          <t>Recip_2D-9R</t>
        </is>
      </c>
    </row>
    <row r="1350">
      <c r="A1350" t="inlineStr">
        <is>
          <t>COPELAND</t>
        </is>
      </c>
      <c r="B1350" t="inlineStr">
        <is>
          <t>6DH3A350E-TSK</t>
        </is>
      </c>
      <c r="D1350" t="inlineStr">
        <is>
          <t>Reciprocating Semi-hermetic</t>
        </is>
      </c>
      <c r="E1350" s="2" t="n">
        <v>3</v>
      </c>
      <c r="F1350" s="2" t="n">
        <v>60</v>
      </c>
      <c r="G1350" s="2" t="n">
        <v>460</v>
      </c>
      <c r="H1350" t="inlineStr">
        <is>
          <t>460</t>
        </is>
      </c>
      <c r="I1350" s="2" t="n">
        <v>460</v>
      </c>
      <c r="J1350" s="2" t="n">
        <v>460</v>
      </c>
      <c r="L1350" s="3" t="n"/>
      <c r="M1350" s="3" t="n"/>
      <c r="N1350" s="3" t="n">
        <v>73.59999999999999</v>
      </c>
      <c r="O1350" s="3" t="n"/>
      <c r="P1350" s="3">
        <f>IF(L1350&lt;&gt;"",L1350/1.4,"")</f>
        <v/>
      </c>
      <c r="Q1350" s="3">
        <f>IF(L1350&lt;&gt;"",L1350/1.56,"")</f>
        <v/>
      </c>
      <c r="R1350" s="3">
        <f>IF(M1350&lt;&gt;"",M1350/1.4,"")</f>
        <v/>
      </c>
      <c r="S1350" s="3">
        <f>IF(M1350&lt;&gt;"",M1350/1.56,"")</f>
        <v/>
      </c>
      <c r="T1350" s="3">
        <f>IF(N1350&lt;&gt;"",N1350,IF(O1350&lt;&gt;"",O1350,IF(L1350&lt;&gt;"",L1350/1.56,IF(M1350&lt;&gt;"",M1350/1.56,""))))</f>
        <v/>
      </c>
      <c r="U1350" s="3" t="n">
        <v>283</v>
      </c>
      <c r="V1350" s="3" t="n"/>
      <c r="W1350" s="3" t="n"/>
      <c r="X1350" s="4" t="n"/>
      <c r="Y1350" s="5" t="n">
        <v>0.348</v>
      </c>
      <c r="Z1350" s="4">
        <f>IF(L1350&lt;&gt;"",SQRT(3)*G1350*L1350/1000,"")</f>
        <v/>
      </c>
      <c r="AA1350" t="inlineStr">
        <is>
          <t>Source=Copeland 2D/3D/4D/4R/6D/8D/9R compressors (pdf) p65</t>
        </is>
      </c>
      <c r="AB1350" t="inlineStr">
        <is>
          <t>Copeland_RLA_230_460_3ph_60Hz.xlsx</t>
        </is>
      </c>
      <c r="AC1350" t="inlineStr">
        <is>
          <t>Recip_2D-9R</t>
        </is>
      </c>
    </row>
    <row r="1351">
      <c r="A1351" t="inlineStr">
        <is>
          <t>COPELAND</t>
        </is>
      </c>
      <c r="B1351" t="inlineStr">
        <is>
          <t>6DH3A350L-FSD</t>
        </is>
      </c>
      <c r="D1351" t="inlineStr">
        <is>
          <t>Reciprocating Semi-hermetic</t>
        </is>
      </c>
      <c r="E1351" s="2" t="n">
        <v>3</v>
      </c>
      <c r="F1351" s="2" t="n">
        <v>60</v>
      </c>
      <c r="G1351" s="2" t="n">
        <v>460</v>
      </c>
      <c r="H1351" t="inlineStr">
        <is>
          <t>460</t>
        </is>
      </c>
      <c r="I1351" s="2" t="n">
        <v>460</v>
      </c>
      <c r="J1351" s="2" t="n">
        <v>460</v>
      </c>
      <c r="L1351" s="3" t="n"/>
      <c r="M1351" s="3" t="n"/>
      <c r="N1351" s="3" t="n">
        <v>62.6</v>
      </c>
      <c r="O1351" s="3" t="n"/>
      <c r="P1351" s="3">
        <f>IF(L1351&lt;&gt;"",L1351/1.4,"")</f>
        <v/>
      </c>
      <c r="Q1351" s="3">
        <f>IF(L1351&lt;&gt;"",L1351/1.56,"")</f>
        <v/>
      </c>
      <c r="R1351" s="3">
        <f>IF(M1351&lt;&gt;"",M1351/1.4,"")</f>
        <v/>
      </c>
      <c r="S1351" s="3">
        <f>IF(M1351&lt;&gt;"",M1351/1.56,"")</f>
        <v/>
      </c>
      <c r="T1351" s="3">
        <f>IF(N1351&lt;&gt;"",N1351,IF(O1351&lt;&gt;"",O1351,IF(L1351&lt;&gt;"",L1351/1.56,IF(M1351&lt;&gt;"",M1351/1.56,""))))</f>
        <v/>
      </c>
      <c r="U1351" s="3" t="n">
        <v>260</v>
      </c>
      <c r="V1351" s="3" t="n">
        <v>156</v>
      </c>
      <c r="W1351" s="3" t="n"/>
      <c r="X1351" s="4" t="n"/>
      <c r="Y1351" s="5" t="n">
        <v>0.39</v>
      </c>
      <c r="Z1351" s="4">
        <f>IF(L1351&lt;&gt;"",SQRT(3)*G1351*L1351/1000,"")</f>
        <v/>
      </c>
      <c r="AA1351" t="inlineStr">
        <is>
          <t>Source=Copeland 2D/3D/4D/4R/6D/8D/9R compressors (pdf) p65; PWS_RLA=31.3</t>
        </is>
      </c>
      <c r="AB1351" t="inlineStr">
        <is>
          <t>Copeland_RLA_230_460_3ph_60Hz.xlsx</t>
        </is>
      </c>
      <c r="AC1351" t="inlineStr">
        <is>
          <t>Recip_2D-9R</t>
        </is>
      </c>
    </row>
    <row r="1352">
      <c r="A1352" t="inlineStr">
        <is>
          <t>COPELAND</t>
        </is>
      </c>
      <c r="B1352" t="inlineStr">
        <is>
          <t>6DH3A350L-TSK</t>
        </is>
      </c>
      <c r="D1352" t="inlineStr">
        <is>
          <t>Reciprocating Semi-hermetic</t>
        </is>
      </c>
      <c r="E1352" s="2" t="n">
        <v>3</v>
      </c>
      <c r="F1352" s="2" t="n">
        <v>60</v>
      </c>
      <c r="G1352" s="2" t="n">
        <v>230</v>
      </c>
      <c r="H1352" t="inlineStr">
        <is>
          <t>208/230</t>
        </is>
      </c>
      <c r="I1352" s="2" t="n">
        <v>208</v>
      </c>
      <c r="J1352" s="2" t="n">
        <v>230</v>
      </c>
      <c r="L1352" s="3" t="n"/>
      <c r="M1352" s="3" t="n"/>
      <c r="N1352" s="3" t="n">
        <v>147.1</v>
      </c>
      <c r="O1352" s="3" t="n"/>
      <c r="P1352" s="3">
        <f>IF(L1352&lt;&gt;"",L1352/1.4,"")</f>
        <v/>
      </c>
      <c r="Q1352" s="3">
        <f>IF(L1352&lt;&gt;"",L1352/1.56,"")</f>
        <v/>
      </c>
      <c r="R1352" s="3">
        <f>IF(M1352&lt;&gt;"",M1352/1.4,"")</f>
        <v/>
      </c>
      <c r="S1352" s="3">
        <f>IF(M1352&lt;&gt;"",M1352/1.56,"")</f>
        <v/>
      </c>
      <c r="T1352" s="3">
        <f>IF(N1352&lt;&gt;"",N1352,IF(O1352&lt;&gt;"",O1352,IF(L1352&lt;&gt;"",L1352/1.56,IF(M1352&lt;&gt;"",M1352/1.56,""))))</f>
        <v/>
      </c>
      <c r="U1352" s="3" t="n">
        <v>565</v>
      </c>
      <c r="V1352" s="3" t="n">
        <v>340</v>
      </c>
      <c r="W1352" s="3" t="n"/>
      <c r="X1352" s="4" t="n"/>
      <c r="Y1352" s="5" t="n">
        <v>0.08699999999999999</v>
      </c>
      <c r="Z1352" s="4">
        <f>IF(L1352&lt;&gt;"",SQRT(3)*G1352*L1352/1000,"")</f>
        <v/>
      </c>
      <c r="AA1352" t="inlineStr">
        <is>
          <t>Source=Copeland 2D/3D/4D/4R/6D/8D/9R compressors (pdf) p65; PWS_RLA=62.6</t>
        </is>
      </c>
      <c r="AB1352" t="inlineStr">
        <is>
          <t>Copeland_RLA_230_460_3ph_60Hz.xlsx</t>
        </is>
      </c>
      <c r="AC1352" t="inlineStr">
        <is>
          <t>Recip_2D-9R</t>
        </is>
      </c>
    </row>
    <row r="1353">
      <c r="A1353" t="inlineStr">
        <is>
          <t>COPELAND</t>
        </is>
      </c>
      <c r="B1353" t="inlineStr">
        <is>
          <t>6DH3A350L-TSK</t>
        </is>
      </c>
      <c r="D1353" t="inlineStr">
        <is>
          <t>Reciprocating Semi-hermetic</t>
        </is>
      </c>
      <c r="E1353" s="2" t="n">
        <v>3</v>
      </c>
      <c r="F1353" s="2" t="n">
        <v>60</v>
      </c>
      <c r="G1353" s="2" t="n">
        <v>460</v>
      </c>
      <c r="H1353" t="inlineStr">
        <is>
          <t>460</t>
        </is>
      </c>
      <c r="I1353" s="2" t="n">
        <v>460</v>
      </c>
      <c r="J1353" s="2" t="n">
        <v>460</v>
      </c>
      <c r="L1353" s="3" t="n"/>
      <c r="M1353" s="3" t="n"/>
      <c r="N1353" s="3" t="n">
        <v>73.59999999999999</v>
      </c>
      <c r="O1353" s="3" t="n"/>
      <c r="P1353" s="3">
        <f>IF(L1353&lt;&gt;"",L1353/1.4,"")</f>
        <v/>
      </c>
      <c r="Q1353" s="3">
        <f>IF(L1353&lt;&gt;"",L1353/1.56,"")</f>
        <v/>
      </c>
      <c r="R1353" s="3">
        <f>IF(M1353&lt;&gt;"",M1353/1.4,"")</f>
        <v/>
      </c>
      <c r="S1353" s="3">
        <f>IF(M1353&lt;&gt;"",M1353/1.56,"")</f>
        <v/>
      </c>
      <c r="T1353" s="3">
        <f>IF(N1353&lt;&gt;"",N1353,IF(O1353&lt;&gt;"",O1353,IF(L1353&lt;&gt;"",L1353/1.56,IF(M1353&lt;&gt;"",M1353/1.56,""))))</f>
        <v/>
      </c>
      <c r="U1353" s="3" t="n">
        <v>283</v>
      </c>
      <c r="V1353" s="3" t="n"/>
      <c r="W1353" s="3" t="n"/>
      <c r="X1353" s="4" t="n"/>
      <c r="Y1353" s="5" t="n">
        <v>0.348</v>
      </c>
      <c r="Z1353" s="4">
        <f>IF(L1353&lt;&gt;"",SQRT(3)*G1353*L1353/1000,"")</f>
        <v/>
      </c>
      <c r="AA1353" t="inlineStr">
        <is>
          <t>Source=Copeland 2D/3D/4D/4R/6D/8D/9R compressors (pdf) p65</t>
        </is>
      </c>
      <c r="AB1353" t="inlineStr">
        <is>
          <t>Copeland_RLA_230_460_3ph_60Hz.xlsx</t>
        </is>
      </c>
      <c r="AC1353" t="inlineStr">
        <is>
          <t>Recip_2D-9R</t>
        </is>
      </c>
    </row>
    <row r="1354">
      <c r="A1354" t="inlineStr">
        <is>
          <t>COPELAND</t>
        </is>
      </c>
      <c r="B1354" t="inlineStr">
        <is>
          <t>6DH3F93KE-FSD</t>
        </is>
      </c>
      <c r="D1354" t="inlineStr">
        <is>
          <t>Reciprocating Semi-hermetic</t>
        </is>
      </c>
      <c r="E1354" s="2" t="n">
        <v>3</v>
      </c>
      <c r="F1354" s="2" t="n">
        <v>60</v>
      </c>
      <c r="G1354" s="2" t="n">
        <v>460</v>
      </c>
      <c r="H1354" t="inlineStr">
        <is>
          <t>460</t>
        </is>
      </c>
      <c r="I1354" s="2" t="n">
        <v>460</v>
      </c>
      <c r="J1354" s="2" t="n">
        <v>460</v>
      </c>
      <c r="L1354" s="3" t="n"/>
      <c r="M1354" s="3" t="n"/>
      <c r="N1354" s="3" t="n">
        <v>44.6</v>
      </c>
      <c r="O1354" s="3" t="n"/>
      <c r="P1354" s="3">
        <f>IF(L1354&lt;&gt;"",L1354/1.4,"")</f>
        <v/>
      </c>
      <c r="Q1354" s="3">
        <f>IF(L1354&lt;&gt;"",L1354/1.56,"")</f>
        <v/>
      </c>
      <c r="R1354" s="3">
        <f>IF(M1354&lt;&gt;"",M1354/1.4,"")</f>
        <v/>
      </c>
      <c r="S1354" s="3">
        <f>IF(M1354&lt;&gt;"",M1354/1.56,"")</f>
        <v/>
      </c>
      <c r="T1354" s="3">
        <f>IF(N1354&lt;&gt;"",N1354,IF(O1354&lt;&gt;"",O1354,IF(L1354&lt;&gt;"",L1354/1.56,IF(M1354&lt;&gt;"",M1354/1.56,""))))</f>
        <v/>
      </c>
      <c r="U1354" s="3" t="n">
        <v>218</v>
      </c>
      <c r="V1354" s="3" t="n">
        <v>131</v>
      </c>
      <c r="W1354" s="3" t="n"/>
      <c r="X1354" s="4" t="n"/>
      <c r="Y1354" s="5" t="n">
        <v>0.457</v>
      </c>
      <c r="Z1354" s="4">
        <f>IF(L1354&lt;&gt;"",SQRT(3)*G1354*L1354/1000,"")</f>
        <v/>
      </c>
      <c r="AA1354" t="inlineStr">
        <is>
          <t>Source=Copeland 2D/3D/4D/4R/6D/8D/9R compressors (pdf) p65; PWS_RLA=22.3</t>
        </is>
      </c>
      <c r="AB1354" t="inlineStr">
        <is>
          <t>Copeland_RLA_230_460_3ph_60Hz.xlsx</t>
        </is>
      </c>
      <c r="AC1354" t="inlineStr">
        <is>
          <t>Recip_2D-9R</t>
        </is>
      </c>
    </row>
    <row r="1355">
      <c r="A1355" t="inlineStr">
        <is>
          <t>COPELAND</t>
        </is>
      </c>
      <c r="B1355" t="inlineStr">
        <is>
          <t>6DH3F93KE-TSK</t>
        </is>
      </c>
      <c r="D1355" t="inlineStr">
        <is>
          <t>Reciprocating Semi-hermetic</t>
        </is>
      </c>
      <c r="E1355" s="2" t="n">
        <v>3</v>
      </c>
      <c r="F1355" s="2" t="n">
        <v>60</v>
      </c>
      <c r="G1355" s="2" t="n">
        <v>230</v>
      </c>
      <c r="H1355" t="inlineStr">
        <is>
          <t>208/230</t>
        </is>
      </c>
      <c r="I1355" s="2" t="n">
        <v>208</v>
      </c>
      <c r="J1355" s="2" t="n">
        <v>230</v>
      </c>
      <c r="L1355" s="3" t="n"/>
      <c r="M1355" s="3" t="n"/>
      <c r="N1355" s="3" t="n">
        <v>80.7</v>
      </c>
      <c r="O1355" s="3" t="n"/>
      <c r="P1355" s="3">
        <f>IF(L1355&lt;&gt;"",L1355/1.4,"")</f>
        <v/>
      </c>
      <c r="Q1355" s="3">
        <f>IF(L1355&lt;&gt;"",L1355/1.56,"")</f>
        <v/>
      </c>
      <c r="R1355" s="3">
        <f>IF(M1355&lt;&gt;"",M1355/1.4,"")</f>
        <v/>
      </c>
      <c r="S1355" s="3">
        <f>IF(M1355&lt;&gt;"",M1355/1.56,"")</f>
        <v/>
      </c>
      <c r="T1355" s="3">
        <f>IF(N1355&lt;&gt;"",N1355,IF(O1355&lt;&gt;"",O1355,IF(L1355&lt;&gt;"",L1355/1.56,IF(M1355&lt;&gt;"",M1355/1.56,""))))</f>
        <v/>
      </c>
      <c r="U1355" s="3" t="n">
        <v>450</v>
      </c>
      <c r="V1355" s="3" t="n">
        <v>263</v>
      </c>
      <c r="W1355" s="3" t="n"/>
      <c r="X1355" s="4" t="n"/>
      <c r="Y1355" s="5" t="n">
        <v>0.114</v>
      </c>
      <c r="Z1355" s="4">
        <f>IF(L1355&lt;&gt;"",SQRT(3)*G1355*L1355/1000,"")</f>
        <v/>
      </c>
      <c r="AA1355" t="inlineStr">
        <is>
          <t>Source=Copeland 2D/3D/4D/4R/6D/8D/9R compressors (pdf) p65; PWS_RLA=40.4</t>
        </is>
      </c>
      <c r="AB1355" t="inlineStr">
        <is>
          <t>Copeland_RLA_230_460_3ph_60Hz.xlsx</t>
        </is>
      </c>
      <c r="AC1355" t="inlineStr">
        <is>
          <t>Recip_2D-9R</t>
        </is>
      </c>
    </row>
    <row r="1356">
      <c r="A1356" t="inlineStr">
        <is>
          <t>COPELAND</t>
        </is>
      </c>
      <c r="B1356" t="inlineStr">
        <is>
          <t>6DH3F93KE-TSK</t>
        </is>
      </c>
      <c r="D1356" t="inlineStr">
        <is>
          <t>Reciprocating Semi-hermetic</t>
        </is>
      </c>
      <c r="E1356" s="2" t="n">
        <v>3</v>
      </c>
      <c r="F1356" s="2" t="n">
        <v>60</v>
      </c>
      <c r="G1356" s="2" t="n">
        <v>460</v>
      </c>
      <c r="H1356" t="inlineStr">
        <is>
          <t>460</t>
        </is>
      </c>
      <c r="I1356" s="2" t="n">
        <v>460</v>
      </c>
      <c r="J1356" s="2" t="n">
        <v>460</v>
      </c>
      <c r="L1356" s="3" t="n"/>
      <c r="M1356" s="3" t="n"/>
      <c r="N1356" s="3" t="n">
        <v>40.4</v>
      </c>
      <c r="O1356" s="3" t="n"/>
      <c r="P1356" s="3">
        <f>IF(L1356&lt;&gt;"",L1356/1.4,"")</f>
        <v/>
      </c>
      <c r="Q1356" s="3">
        <f>IF(L1356&lt;&gt;"",L1356/1.56,"")</f>
        <v/>
      </c>
      <c r="R1356" s="3">
        <f>IF(M1356&lt;&gt;"",M1356/1.4,"")</f>
        <v/>
      </c>
      <c r="S1356" s="3">
        <f>IF(M1356&lt;&gt;"",M1356/1.56,"")</f>
        <v/>
      </c>
      <c r="T1356" s="3">
        <f>IF(N1356&lt;&gt;"",N1356,IF(O1356&lt;&gt;"",O1356,IF(L1356&lt;&gt;"",L1356/1.56,IF(M1356&lt;&gt;"",M1356/1.56,""))))</f>
        <v/>
      </c>
      <c r="U1356" s="3" t="n">
        <v>225</v>
      </c>
      <c r="V1356" s="3" t="n"/>
      <c r="W1356" s="3" t="n"/>
      <c r="X1356" s="4" t="n"/>
      <c r="Y1356" s="5" t="n">
        <v>0.456</v>
      </c>
      <c r="Z1356" s="4">
        <f>IF(L1356&lt;&gt;"",SQRT(3)*G1356*L1356/1000,"")</f>
        <v/>
      </c>
      <c r="AA1356" t="inlineStr">
        <is>
          <t>Source=Copeland 2D/3D/4D/4R/6D/8D/9R compressors (pdf) p65</t>
        </is>
      </c>
      <c r="AB1356" t="inlineStr">
        <is>
          <t>Copeland_RLA_230_460_3ph_60Hz.xlsx</t>
        </is>
      </c>
      <c r="AC1356" t="inlineStr">
        <is>
          <t>Recip_2D-9R</t>
        </is>
      </c>
    </row>
    <row r="1357">
      <c r="A1357" t="inlineStr">
        <is>
          <t>COPELAND</t>
        </is>
      </c>
      <c r="B1357" t="inlineStr">
        <is>
          <t>6DH3F93KL-FSD</t>
        </is>
      </c>
      <c r="D1357" t="inlineStr">
        <is>
          <t>Reciprocating Semi-hermetic</t>
        </is>
      </c>
      <c r="E1357" s="2" t="n">
        <v>3</v>
      </c>
      <c r="F1357" s="2" t="n">
        <v>60</v>
      </c>
      <c r="G1357" s="2" t="n">
        <v>460</v>
      </c>
      <c r="H1357" t="inlineStr">
        <is>
          <t>460</t>
        </is>
      </c>
      <c r="I1357" s="2" t="n">
        <v>460</v>
      </c>
      <c r="J1357" s="2" t="n">
        <v>460</v>
      </c>
      <c r="L1357" s="3" t="n"/>
      <c r="M1357" s="3" t="n"/>
      <c r="N1357" s="3" t="n">
        <v>44.6</v>
      </c>
      <c r="O1357" s="3" t="n"/>
      <c r="P1357" s="3">
        <f>IF(L1357&lt;&gt;"",L1357/1.4,"")</f>
        <v/>
      </c>
      <c r="Q1357" s="3">
        <f>IF(L1357&lt;&gt;"",L1357/1.56,"")</f>
        <v/>
      </c>
      <c r="R1357" s="3">
        <f>IF(M1357&lt;&gt;"",M1357/1.4,"")</f>
        <v/>
      </c>
      <c r="S1357" s="3">
        <f>IF(M1357&lt;&gt;"",M1357/1.56,"")</f>
        <v/>
      </c>
      <c r="T1357" s="3">
        <f>IF(N1357&lt;&gt;"",N1357,IF(O1357&lt;&gt;"",O1357,IF(L1357&lt;&gt;"",L1357/1.56,IF(M1357&lt;&gt;"",M1357/1.56,""))))</f>
        <v/>
      </c>
      <c r="U1357" s="3" t="n">
        <v>218</v>
      </c>
      <c r="V1357" s="3" t="n">
        <v>131</v>
      </c>
      <c r="W1357" s="3" t="n"/>
      <c r="X1357" s="4" t="n"/>
      <c r="Y1357" s="5" t="n">
        <v>0.457</v>
      </c>
      <c r="Z1357" s="4">
        <f>IF(L1357&lt;&gt;"",SQRT(3)*G1357*L1357/1000,"")</f>
        <v/>
      </c>
      <c r="AA1357" t="inlineStr">
        <is>
          <t>Source=Copeland 2D/3D/4D/4R/6D/8D/9R compressors (pdf) p65; PWS_RLA=22.3</t>
        </is>
      </c>
      <c r="AB1357" t="inlineStr">
        <is>
          <t>Copeland_RLA_230_460_3ph_60Hz.xlsx</t>
        </is>
      </c>
      <c r="AC1357" t="inlineStr">
        <is>
          <t>Recip_2D-9R</t>
        </is>
      </c>
    </row>
    <row r="1358">
      <c r="A1358" t="inlineStr">
        <is>
          <t>COPELAND</t>
        </is>
      </c>
      <c r="B1358" t="inlineStr">
        <is>
          <t>6DH3F93KL-TSK</t>
        </is>
      </c>
      <c r="D1358" t="inlineStr">
        <is>
          <t>Reciprocating Semi-hermetic</t>
        </is>
      </c>
      <c r="E1358" s="2" t="n">
        <v>3</v>
      </c>
      <c r="F1358" s="2" t="n">
        <v>60</v>
      </c>
      <c r="G1358" s="2" t="n">
        <v>230</v>
      </c>
      <c r="H1358" t="inlineStr">
        <is>
          <t>208/230</t>
        </is>
      </c>
      <c r="I1358" s="2" t="n">
        <v>208</v>
      </c>
      <c r="J1358" s="2" t="n">
        <v>230</v>
      </c>
      <c r="L1358" s="3" t="n"/>
      <c r="M1358" s="3" t="n"/>
      <c r="N1358" s="3" t="n">
        <v>80.7</v>
      </c>
      <c r="O1358" s="3" t="n"/>
      <c r="P1358" s="3">
        <f>IF(L1358&lt;&gt;"",L1358/1.4,"")</f>
        <v/>
      </c>
      <c r="Q1358" s="3">
        <f>IF(L1358&lt;&gt;"",L1358/1.56,"")</f>
        <v/>
      </c>
      <c r="R1358" s="3">
        <f>IF(M1358&lt;&gt;"",M1358/1.4,"")</f>
        <v/>
      </c>
      <c r="S1358" s="3">
        <f>IF(M1358&lt;&gt;"",M1358/1.56,"")</f>
        <v/>
      </c>
      <c r="T1358" s="3">
        <f>IF(N1358&lt;&gt;"",N1358,IF(O1358&lt;&gt;"",O1358,IF(L1358&lt;&gt;"",L1358/1.56,IF(M1358&lt;&gt;"",M1358/1.56,""))))</f>
        <v/>
      </c>
      <c r="U1358" s="3" t="n">
        <v>450</v>
      </c>
      <c r="V1358" s="3" t="n">
        <v>263</v>
      </c>
      <c r="W1358" s="3" t="n"/>
      <c r="X1358" s="4" t="n"/>
      <c r="Y1358" s="5" t="n">
        <v>0.114</v>
      </c>
      <c r="Z1358" s="4">
        <f>IF(L1358&lt;&gt;"",SQRT(3)*G1358*L1358/1000,"")</f>
        <v/>
      </c>
      <c r="AA1358" t="inlineStr">
        <is>
          <t>Source=Copeland 2D/3D/4D/4R/6D/8D/9R compressors (pdf) p65; PWS_RLA=40.4</t>
        </is>
      </c>
      <c r="AB1358" t="inlineStr">
        <is>
          <t>Copeland_RLA_230_460_3ph_60Hz.xlsx</t>
        </is>
      </c>
      <c r="AC1358" t="inlineStr">
        <is>
          <t>Recip_2D-9R</t>
        </is>
      </c>
    </row>
    <row r="1359">
      <c r="A1359" t="inlineStr">
        <is>
          <t>COPELAND</t>
        </is>
      </c>
      <c r="B1359" t="inlineStr">
        <is>
          <t>6DH3F93KL-TSK</t>
        </is>
      </c>
      <c r="D1359" t="inlineStr">
        <is>
          <t>Reciprocating Semi-hermetic</t>
        </is>
      </c>
      <c r="E1359" s="2" t="n">
        <v>3</v>
      </c>
      <c r="F1359" s="2" t="n">
        <v>60</v>
      </c>
      <c r="G1359" s="2" t="n">
        <v>460</v>
      </c>
      <c r="H1359" t="inlineStr">
        <is>
          <t>460</t>
        </is>
      </c>
      <c r="I1359" s="2" t="n">
        <v>460</v>
      </c>
      <c r="J1359" s="2" t="n">
        <v>460</v>
      </c>
      <c r="L1359" s="3" t="n"/>
      <c r="M1359" s="3" t="n"/>
      <c r="N1359" s="3" t="n">
        <v>40.4</v>
      </c>
      <c r="O1359" s="3" t="n"/>
      <c r="P1359" s="3">
        <f>IF(L1359&lt;&gt;"",L1359/1.4,"")</f>
        <v/>
      </c>
      <c r="Q1359" s="3">
        <f>IF(L1359&lt;&gt;"",L1359/1.56,"")</f>
        <v/>
      </c>
      <c r="R1359" s="3">
        <f>IF(M1359&lt;&gt;"",M1359/1.4,"")</f>
        <v/>
      </c>
      <c r="S1359" s="3">
        <f>IF(M1359&lt;&gt;"",M1359/1.56,"")</f>
        <v/>
      </c>
      <c r="T1359" s="3">
        <f>IF(N1359&lt;&gt;"",N1359,IF(O1359&lt;&gt;"",O1359,IF(L1359&lt;&gt;"",L1359/1.56,IF(M1359&lt;&gt;"",M1359/1.56,""))))</f>
        <v/>
      </c>
      <c r="U1359" s="3" t="n">
        <v>225</v>
      </c>
      <c r="V1359" s="3" t="n"/>
      <c r="W1359" s="3" t="n"/>
      <c r="X1359" s="4" t="n"/>
      <c r="Y1359" s="5" t="n">
        <v>0.456</v>
      </c>
      <c r="Z1359" s="4">
        <f>IF(L1359&lt;&gt;"",SQRT(3)*G1359*L1359/1000,"")</f>
        <v/>
      </c>
      <c r="AA1359" t="inlineStr">
        <is>
          <t>Source=Copeland 2D/3D/4D/4R/6D/8D/9R compressors (pdf) p65</t>
        </is>
      </c>
      <c r="AB1359" t="inlineStr">
        <is>
          <t>Copeland_RLA_230_460_3ph_60Hz.xlsx</t>
        </is>
      </c>
      <c r="AC1359" t="inlineStr">
        <is>
          <t>Recip_2D-9R</t>
        </is>
      </c>
    </row>
    <row r="1360">
      <c r="A1360" t="inlineStr">
        <is>
          <t>COPELAND</t>
        </is>
      </c>
      <c r="B1360" t="inlineStr">
        <is>
          <t>6DH3R23ME-TSK</t>
        </is>
      </c>
      <c r="D1360" t="inlineStr">
        <is>
          <t>Reciprocating Semi-hermetic</t>
        </is>
      </c>
      <c r="E1360" s="2" t="n">
        <v>3</v>
      </c>
      <c r="F1360" s="2" t="n">
        <v>60</v>
      </c>
      <c r="G1360" s="2" t="n">
        <v>230</v>
      </c>
      <c r="H1360" t="inlineStr">
        <is>
          <t>208/230</t>
        </is>
      </c>
      <c r="I1360" s="2" t="n">
        <v>208</v>
      </c>
      <c r="J1360" s="2" t="n">
        <v>230</v>
      </c>
      <c r="L1360" s="3" t="n"/>
      <c r="M1360" s="3" t="n"/>
      <c r="N1360" s="3" t="n">
        <v>75</v>
      </c>
      <c r="O1360" s="3" t="n"/>
      <c r="P1360" s="3">
        <f>IF(L1360&lt;&gt;"",L1360/1.4,"")</f>
        <v/>
      </c>
      <c r="Q1360" s="3">
        <f>IF(L1360&lt;&gt;"",L1360/1.56,"")</f>
        <v/>
      </c>
      <c r="R1360" s="3">
        <f>IF(M1360&lt;&gt;"",M1360/1.4,"")</f>
        <v/>
      </c>
      <c r="S1360" s="3">
        <f>IF(M1360&lt;&gt;"",M1360/1.56,"")</f>
        <v/>
      </c>
      <c r="T1360" s="3">
        <f>IF(N1360&lt;&gt;"",N1360,IF(O1360&lt;&gt;"",O1360,IF(L1360&lt;&gt;"",L1360/1.56,IF(M1360&lt;&gt;"",M1360/1.56,""))))</f>
        <v/>
      </c>
      <c r="U1360" s="3" t="n">
        <v>346</v>
      </c>
      <c r="V1360" s="3" t="n">
        <v>208</v>
      </c>
      <c r="W1360" s="3" t="n"/>
      <c r="X1360" s="4" t="n"/>
      <c r="Y1360" s="5" t="n">
        <v>0.142</v>
      </c>
      <c r="Z1360" s="4">
        <f>IF(L1360&lt;&gt;"",SQRT(3)*G1360*L1360/1000,"")</f>
        <v/>
      </c>
      <c r="AA1360" t="inlineStr">
        <is>
          <t>Source=Copeland 2D/3D/4D/4R/6D/8D/9R compressors (pdf) p65; PWS_RLA=37.5</t>
        </is>
      </c>
      <c r="AB1360" t="inlineStr">
        <is>
          <t>Copeland_RLA_230_460_3ph_60Hz.xlsx</t>
        </is>
      </c>
      <c r="AC1360" t="inlineStr">
        <is>
          <t>Recip_2D-9R</t>
        </is>
      </c>
    </row>
    <row r="1361">
      <c r="A1361" t="inlineStr">
        <is>
          <t>COPELAND</t>
        </is>
      </c>
      <c r="B1361" t="inlineStr">
        <is>
          <t>6DH3R23ME-TSK</t>
        </is>
      </c>
      <c r="D1361" t="inlineStr">
        <is>
          <t>Reciprocating Semi-hermetic</t>
        </is>
      </c>
      <c r="E1361" s="2" t="n">
        <v>3</v>
      </c>
      <c r="F1361" s="2" t="n">
        <v>60</v>
      </c>
      <c r="G1361" s="2" t="n">
        <v>460</v>
      </c>
      <c r="H1361" t="inlineStr">
        <is>
          <t>460</t>
        </is>
      </c>
      <c r="I1361" s="2" t="n">
        <v>460</v>
      </c>
      <c r="J1361" s="2" t="n">
        <v>460</v>
      </c>
      <c r="L1361" s="3" t="n"/>
      <c r="M1361" s="3" t="n"/>
      <c r="N1361" s="3" t="n">
        <v>37.5</v>
      </c>
      <c r="O1361" s="3" t="n"/>
      <c r="P1361" s="3">
        <f>IF(L1361&lt;&gt;"",L1361/1.4,"")</f>
        <v/>
      </c>
      <c r="Q1361" s="3">
        <f>IF(L1361&lt;&gt;"",L1361/1.56,"")</f>
        <v/>
      </c>
      <c r="R1361" s="3">
        <f>IF(M1361&lt;&gt;"",M1361/1.4,"")</f>
        <v/>
      </c>
      <c r="S1361" s="3">
        <f>IF(M1361&lt;&gt;"",M1361/1.56,"")</f>
        <v/>
      </c>
      <c r="T1361" s="3">
        <f>IF(N1361&lt;&gt;"",N1361,IF(O1361&lt;&gt;"",O1361,IF(L1361&lt;&gt;"",L1361/1.56,IF(M1361&lt;&gt;"",M1361/1.56,""))))</f>
        <v/>
      </c>
      <c r="U1361" s="3" t="n">
        <v>173</v>
      </c>
      <c r="V1361" s="3" t="n"/>
      <c r="W1361" s="3" t="n"/>
      <c r="X1361" s="4" t="n"/>
      <c r="Y1361" s="5" t="n">
        <v>0.5679999999999999</v>
      </c>
      <c r="Z1361" s="4">
        <f>IF(L1361&lt;&gt;"",SQRT(3)*G1361*L1361/1000,"")</f>
        <v/>
      </c>
      <c r="AA1361" t="inlineStr">
        <is>
          <t>Source=Copeland 2D/3D/4D/4R/6D/8D/9R compressors (pdf) p65</t>
        </is>
      </c>
      <c r="AB1361" t="inlineStr">
        <is>
          <t>Copeland_RLA_230_460_3ph_60Hz.xlsx</t>
        </is>
      </c>
      <c r="AC1361" t="inlineStr">
        <is>
          <t>Recip_2D-9R</t>
        </is>
      </c>
    </row>
    <row r="1362">
      <c r="A1362" t="inlineStr">
        <is>
          <t>COPELAND</t>
        </is>
      </c>
      <c r="B1362" t="inlineStr">
        <is>
          <t>6DH3R23ML-TSK</t>
        </is>
      </c>
      <c r="D1362" t="inlineStr">
        <is>
          <t>Reciprocating Semi-hermetic</t>
        </is>
      </c>
      <c r="E1362" s="2" t="n">
        <v>3</v>
      </c>
      <c r="F1362" s="2" t="n">
        <v>60</v>
      </c>
      <c r="G1362" s="2" t="n">
        <v>230</v>
      </c>
      <c r="H1362" t="inlineStr">
        <is>
          <t>208/230</t>
        </is>
      </c>
      <c r="I1362" s="2" t="n">
        <v>208</v>
      </c>
      <c r="J1362" s="2" t="n">
        <v>230</v>
      </c>
      <c r="L1362" s="3" t="n"/>
      <c r="M1362" s="3" t="n"/>
      <c r="N1362" s="3" t="n">
        <v>75</v>
      </c>
      <c r="O1362" s="3" t="n"/>
      <c r="P1362" s="3">
        <f>IF(L1362&lt;&gt;"",L1362/1.4,"")</f>
        <v/>
      </c>
      <c r="Q1362" s="3">
        <f>IF(L1362&lt;&gt;"",L1362/1.56,"")</f>
        <v/>
      </c>
      <c r="R1362" s="3">
        <f>IF(M1362&lt;&gt;"",M1362/1.4,"")</f>
        <v/>
      </c>
      <c r="S1362" s="3">
        <f>IF(M1362&lt;&gt;"",M1362/1.56,"")</f>
        <v/>
      </c>
      <c r="T1362" s="3">
        <f>IF(N1362&lt;&gt;"",N1362,IF(O1362&lt;&gt;"",O1362,IF(L1362&lt;&gt;"",L1362/1.56,IF(M1362&lt;&gt;"",M1362/1.56,""))))</f>
        <v/>
      </c>
      <c r="U1362" s="3" t="n">
        <v>346</v>
      </c>
      <c r="V1362" s="3" t="n">
        <v>208</v>
      </c>
      <c r="W1362" s="3" t="n"/>
      <c r="X1362" s="4" t="n"/>
      <c r="Y1362" s="5" t="n">
        <v>0.142</v>
      </c>
      <c r="Z1362" s="4">
        <f>IF(L1362&lt;&gt;"",SQRT(3)*G1362*L1362/1000,"")</f>
        <v/>
      </c>
      <c r="AA1362" t="inlineStr">
        <is>
          <t>Source=Copeland 2D/3D/4D/4R/6D/8D/9R compressors (pdf) p65; PWS_RLA=37.5</t>
        </is>
      </c>
      <c r="AB1362" t="inlineStr">
        <is>
          <t>Copeland_RLA_230_460_3ph_60Hz.xlsx</t>
        </is>
      </c>
      <c r="AC1362" t="inlineStr">
        <is>
          <t>Recip_2D-9R</t>
        </is>
      </c>
    </row>
    <row r="1363">
      <c r="A1363" t="inlineStr">
        <is>
          <t>COPELAND</t>
        </is>
      </c>
      <c r="B1363" t="inlineStr">
        <is>
          <t>6DH3R23ML-TSK</t>
        </is>
      </c>
      <c r="D1363" t="inlineStr">
        <is>
          <t>Reciprocating Semi-hermetic</t>
        </is>
      </c>
      <c r="E1363" s="2" t="n">
        <v>3</v>
      </c>
      <c r="F1363" s="2" t="n">
        <v>60</v>
      </c>
      <c r="G1363" s="2" t="n">
        <v>460</v>
      </c>
      <c r="H1363" t="inlineStr">
        <is>
          <t>460</t>
        </is>
      </c>
      <c r="I1363" s="2" t="n">
        <v>460</v>
      </c>
      <c r="J1363" s="2" t="n">
        <v>460</v>
      </c>
      <c r="L1363" s="3" t="n"/>
      <c r="M1363" s="3" t="n"/>
      <c r="N1363" s="3" t="n">
        <v>37.5</v>
      </c>
      <c r="O1363" s="3" t="n"/>
      <c r="P1363" s="3">
        <f>IF(L1363&lt;&gt;"",L1363/1.4,"")</f>
        <v/>
      </c>
      <c r="Q1363" s="3">
        <f>IF(L1363&lt;&gt;"",L1363/1.56,"")</f>
        <v/>
      </c>
      <c r="R1363" s="3">
        <f>IF(M1363&lt;&gt;"",M1363/1.4,"")</f>
        <v/>
      </c>
      <c r="S1363" s="3">
        <f>IF(M1363&lt;&gt;"",M1363/1.56,"")</f>
        <v/>
      </c>
      <c r="T1363" s="3">
        <f>IF(N1363&lt;&gt;"",N1363,IF(O1363&lt;&gt;"",O1363,IF(L1363&lt;&gt;"",L1363/1.56,IF(M1363&lt;&gt;"",M1363/1.56,""))))</f>
        <v/>
      </c>
      <c r="U1363" s="3" t="n">
        <v>173</v>
      </c>
      <c r="V1363" s="3" t="n"/>
      <c r="W1363" s="3" t="n"/>
      <c r="X1363" s="4" t="n"/>
      <c r="Y1363" s="5" t="n">
        <v>0.5679999999999999</v>
      </c>
      <c r="Z1363" s="4">
        <f>IF(L1363&lt;&gt;"",SQRT(3)*G1363*L1363/1000,"")</f>
        <v/>
      </c>
      <c r="AA1363" t="inlineStr">
        <is>
          <t>Source=Copeland 2D/3D/4D/4R/6D/8D/9R compressors (pdf) p65</t>
        </is>
      </c>
      <c r="AB1363" t="inlineStr">
        <is>
          <t>Copeland_RLA_230_460_3ph_60Hz.xlsx</t>
        </is>
      </c>
      <c r="AC1363" t="inlineStr">
        <is>
          <t>Recip_2D-9R</t>
        </is>
      </c>
    </row>
    <row r="1364">
      <c r="A1364" t="inlineStr">
        <is>
          <t>COPELAND</t>
        </is>
      </c>
      <c r="B1364" t="inlineStr">
        <is>
          <t>6DH3R35M0-FSD</t>
        </is>
      </c>
      <c r="D1364" t="inlineStr">
        <is>
          <t>Reciprocating Semi-hermetic</t>
        </is>
      </c>
      <c r="E1364" s="2" t="n">
        <v>3</v>
      </c>
      <c r="F1364" s="2" t="n">
        <v>60</v>
      </c>
      <c r="G1364" s="2" t="n">
        <v>460</v>
      </c>
      <c r="H1364" t="inlineStr">
        <is>
          <t>460</t>
        </is>
      </c>
      <c r="I1364" s="2" t="n">
        <v>460</v>
      </c>
      <c r="J1364" s="2" t="n">
        <v>460</v>
      </c>
      <c r="L1364" s="3" t="n"/>
      <c r="M1364" s="3" t="n"/>
      <c r="N1364" s="3" t="n">
        <v>62.6</v>
      </c>
      <c r="O1364" s="3" t="n"/>
      <c r="P1364" s="3">
        <f>IF(L1364&lt;&gt;"",L1364/1.4,"")</f>
        <v/>
      </c>
      <c r="Q1364" s="3">
        <f>IF(L1364&lt;&gt;"",L1364/1.56,"")</f>
        <v/>
      </c>
      <c r="R1364" s="3">
        <f>IF(M1364&lt;&gt;"",M1364/1.4,"")</f>
        <v/>
      </c>
      <c r="S1364" s="3">
        <f>IF(M1364&lt;&gt;"",M1364/1.56,"")</f>
        <v/>
      </c>
      <c r="T1364" s="3">
        <f>IF(N1364&lt;&gt;"",N1364,IF(O1364&lt;&gt;"",O1364,IF(L1364&lt;&gt;"",L1364/1.56,IF(M1364&lt;&gt;"",M1364/1.56,""))))</f>
        <v/>
      </c>
      <c r="U1364" s="3" t="n">
        <v>260</v>
      </c>
      <c r="V1364" s="3" t="n">
        <v>156</v>
      </c>
      <c r="W1364" s="3" t="n"/>
      <c r="X1364" s="4" t="n"/>
      <c r="Y1364" s="5" t="n">
        <v>0.39</v>
      </c>
      <c r="Z1364" s="4">
        <f>IF(L1364&lt;&gt;"",SQRT(3)*G1364*L1364/1000,"")</f>
        <v/>
      </c>
      <c r="AA1364" t="inlineStr">
        <is>
          <t>Source=Copeland 2D/3D/4D/4R/6D/8D/9R compressors (pdf) p65; PWS_RLA=31.3</t>
        </is>
      </c>
      <c r="AB1364" t="inlineStr">
        <is>
          <t>Copeland_RLA_230_460_3ph_60Hz.xlsx</t>
        </is>
      </c>
      <c r="AC1364" t="inlineStr">
        <is>
          <t>Recip_2D-9R</t>
        </is>
      </c>
    </row>
    <row r="1365">
      <c r="A1365" t="inlineStr">
        <is>
          <t>COPELAND</t>
        </is>
      </c>
      <c r="B1365" t="inlineStr">
        <is>
          <t>6DH3R35M0-TSK</t>
        </is>
      </c>
      <c r="D1365" t="inlineStr">
        <is>
          <t>Reciprocating Semi-hermetic</t>
        </is>
      </c>
      <c r="E1365" s="2" t="n">
        <v>3</v>
      </c>
      <c r="F1365" s="2" t="n">
        <v>60</v>
      </c>
      <c r="G1365" s="2" t="n">
        <v>230</v>
      </c>
      <c r="H1365" t="inlineStr">
        <is>
          <t>208/230</t>
        </is>
      </c>
      <c r="I1365" s="2" t="n">
        <v>208</v>
      </c>
      <c r="J1365" s="2" t="n">
        <v>230</v>
      </c>
      <c r="L1365" s="3" t="n"/>
      <c r="M1365" s="3" t="n"/>
      <c r="N1365" s="3" t="n">
        <v>125.1</v>
      </c>
      <c r="O1365" s="3" t="n"/>
      <c r="P1365" s="3">
        <f>IF(L1365&lt;&gt;"",L1365/1.4,"")</f>
        <v/>
      </c>
      <c r="Q1365" s="3">
        <f>IF(L1365&lt;&gt;"",L1365/1.56,"")</f>
        <v/>
      </c>
      <c r="R1365" s="3">
        <f>IF(M1365&lt;&gt;"",M1365/1.4,"")</f>
        <v/>
      </c>
      <c r="S1365" s="3">
        <f>IF(M1365&lt;&gt;"",M1365/1.56,"")</f>
        <v/>
      </c>
      <c r="T1365" s="3">
        <f>IF(N1365&lt;&gt;"",N1365,IF(O1365&lt;&gt;"",O1365,IF(L1365&lt;&gt;"",L1365/1.56,IF(M1365&lt;&gt;"",M1365/1.56,""))))</f>
        <v/>
      </c>
      <c r="U1365" s="3" t="n">
        <v>565</v>
      </c>
      <c r="V1365" s="3" t="n">
        <v>340</v>
      </c>
      <c r="W1365" s="3" t="n"/>
      <c r="X1365" s="4" t="n"/>
      <c r="Y1365" s="5" t="n">
        <v>0.08699999999999999</v>
      </c>
      <c r="Z1365" s="4">
        <f>IF(L1365&lt;&gt;"",SQRT(3)*G1365*L1365/1000,"")</f>
        <v/>
      </c>
      <c r="AA1365" t="inlineStr">
        <is>
          <t>Source=Copeland 2D/3D/4D/4R/6D/8D/9R compressors (pdf) p66; PWS_RLA=62.6</t>
        </is>
      </c>
      <c r="AB1365" t="inlineStr">
        <is>
          <t>Copeland_RLA_230_460_3ph_60Hz.xlsx</t>
        </is>
      </c>
      <c r="AC1365" t="inlineStr">
        <is>
          <t>Recip_2D-9R</t>
        </is>
      </c>
    </row>
    <row r="1366">
      <c r="A1366" t="inlineStr">
        <is>
          <t>COPELAND</t>
        </is>
      </c>
      <c r="B1366" t="inlineStr">
        <is>
          <t>6DH3R35M0-TSK</t>
        </is>
      </c>
      <c r="D1366" t="inlineStr">
        <is>
          <t>Reciprocating Semi-hermetic</t>
        </is>
      </c>
      <c r="E1366" s="2" t="n">
        <v>3</v>
      </c>
      <c r="F1366" s="2" t="n">
        <v>60</v>
      </c>
      <c r="G1366" s="2" t="n">
        <v>460</v>
      </c>
      <c r="H1366" t="inlineStr">
        <is>
          <t>460</t>
        </is>
      </c>
      <c r="I1366" s="2" t="n">
        <v>460</v>
      </c>
      <c r="J1366" s="2" t="n">
        <v>460</v>
      </c>
      <c r="L1366" s="3" t="n"/>
      <c r="M1366" s="3" t="n"/>
      <c r="N1366" s="3" t="n">
        <v>62.6</v>
      </c>
      <c r="O1366" s="3" t="n"/>
      <c r="P1366" s="3">
        <f>IF(L1366&lt;&gt;"",L1366/1.4,"")</f>
        <v/>
      </c>
      <c r="Q1366" s="3">
        <f>IF(L1366&lt;&gt;"",L1366/1.56,"")</f>
        <v/>
      </c>
      <c r="R1366" s="3">
        <f>IF(M1366&lt;&gt;"",M1366/1.4,"")</f>
        <v/>
      </c>
      <c r="S1366" s="3">
        <f>IF(M1366&lt;&gt;"",M1366/1.56,"")</f>
        <v/>
      </c>
      <c r="T1366" s="3">
        <f>IF(N1366&lt;&gt;"",N1366,IF(O1366&lt;&gt;"",O1366,IF(L1366&lt;&gt;"",L1366/1.56,IF(M1366&lt;&gt;"",M1366/1.56,""))))</f>
        <v/>
      </c>
      <c r="U1366" s="3" t="n">
        <v>283</v>
      </c>
      <c r="V1366" s="3" t="n"/>
      <c r="W1366" s="3" t="n"/>
      <c r="X1366" s="4" t="n"/>
      <c r="Y1366" s="5" t="n">
        <v>0.348</v>
      </c>
      <c r="Z1366" s="4">
        <f>IF(L1366&lt;&gt;"",SQRT(3)*G1366*L1366/1000,"")</f>
        <v/>
      </c>
      <c r="AA1366" t="inlineStr">
        <is>
          <t>Source=Copeland 2D/3D/4D/4R/6D/8D/9R compressors (pdf) p66</t>
        </is>
      </c>
      <c r="AB1366" t="inlineStr">
        <is>
          <t>Copeland_RLA_230_460_3ph_60Hz.xlsx</t>
        </is>
      </c>
      <c r="AC1366" t="inlineStr">
        <is>
          <t>Recip_2D-9R</t>
        </is>
      </c>
    </row>
    <row r="1367">
      <c r="A1367" t="inlineStr">
        <is>
          <t>COPELAND</t>
        </is>
      </c>
      <c r="B1367" t="inlineStr">
        <is>
          <t>6DH3R35ME-FSD</t>
        </is>
      </c>
      <c r="D1367" t="inlineStr">
        <is>
          <t>Reciprocating Semi-hermetic</t>
        </is>
      </c>
      <c r="E1367" s="2" t="n">
        <v>3</v>
      </c>
      <c r="F1367" s="2" t="n">
        <v>60</v>
      </c>
      <c r="G1367" s="2" t="n">
        <v>460</v>
      </c>
      <c r="H1367" t="inlineStr">
        <is>
          <t>460</t>
        </is>
      </c>
      <c r="I1367" s="2" t="n">
        <v>460</v>
      </c>
      <c r="J1367" s="2" t="n">
        <v>460</v>
      </c>
      <c r="L1367" s="3" t="n"/>
      <c r="M1367" s="3" t="n"/>
      <c r="N1367" s="3" t="n">
        <v>79.3</v>
      </c>
      <c r="O1367" s="3" t="n"/>
      <c r="P1367" s="3">
        <f>IF(L1367&lt;&gt;"",L1367/1.4,"")</f>
        <v/>
      </c>
      <c r="Q1367" s="3">
        <f>IF(L1367&lt;&gt;"",L1367/1.56,"")</f>
        <v/>
      </c>
      <c r="R1367" s="3">
        <f>IF(M1367&lt;&gt;"",M1367/1.4,"")</f>
        <v/>
      </c>
      <c r="S1367" s="3">
        <f>IF(M1367&lt;&gt;"",M1367/1.56,"")</f>
        <v/>
      </c>
      <c r="T1367" s="3">
        <f>IF(N1367&lt;&gt;"",N1367,IF(O1367&lt;&gt;"",O1367,IF(L1367&lt;&gt;"",L1367/1.56,IF(M1367&lt;&gt;"",M1367/1.56,""))))</f>
        <v/>
      </c>
      <c r="U1367" s="3" t="n">
        <v>260</v>
      </c>
      <c r="V1367" s="3" t="n">
        <v>156</v>
      </c>
      <c r="W1367" s="3" t="n"/>
      <c r="X1367" s="4" t="n"/>
      <c r="Y1367" s="5" t="n">
        <v>0.39</v>
      </c>
      <c r="Z1367" s="4">
        <f>IF(L1367&lt;&gt;"",SQRT(3)*G1367*L1367/1000,"")</f>
        <v/>
      </c>
      <c r="AA1367" t="inlineStr">
        <is>
          <t>Source=Copeland 2D/3D/4D/4R/6D/8D/9R compressors (pdf) p66; PWS_RLA=39.6</t>
        </is>
      </c>
      <c r="AB1367" t="inlineStr">
        <is>
          <t>Copeland_RLA_230_460_3ph_60Hz.xlsx</t>
        </is>
      </c>
      <c r="AC1367" t="inlineStr">
        <is>
          <t>Recip_2D-9R</t>
        </is>
      </c>
    </row>
    <row r="1368">
      <c r="A1368" t="inlineStr">
        <is>
          <t>COPELAND</t>
        </is>
      </c>
      <c r="B1368" t="inlineStr">
        <is>
          <t>6DH3R35ME-TSK</t>
        </is>
      </c>
      <c r="D1368" t="inlineStr">
        <is>
          <t>Reciprocating Semi-hermetic</t>
        </is>
      </c>
      <c r="E1368" s="2" t="n">
        <v>3</v>
      </c>
      <c r="F1368" s="2" t="n">
        <v>60</v>
      </c>
      <c r="G1368" s="2" t="n">
        <v>230</v>
      </c>
      <c r="H1368" t="inlineStr">
        <is>
          <t>208/230</t>
        </is>
      </c>
      <c r="I1368" s="2" t="n">
        <v>208</v>
      </c>
      <c r="J1368" s="2" t="n">
        <v>230</v>
      </c>
      <c r="L1368" s="3" t="n"/>
      <c r="M1368" s="3" t="n"/>
      <c r="N1368" s="3" t="n">
        <v>147.1</v>
      </c>
      <c r="O1368" s="3" t="n"/>
      <c r="P1368" s="3">
        <f>IF(L1368&lt;&gt;"",L1368/1.4,"")</f>
        <v/>
      </c>
      <c r="Q1368" s="3">
        <f>IF(L1368&lt;&gt;"",L1368/1.56,"")</f>
        <v/>
      </c>
      <c r="R1368" s="3">
        <f>IF(M1368&lt;&gt;"",M1368/1.4,"")</f>
        <v/>
      </c>
      <c r="S1368" s="3">
        <f>IF(M1368&lt;&gt;"",M1368/1.56,"")</f>
        <v/>
      </c>
      <c r="T1368" s="3">
        <f>IF(N1368&lt;&gt;"",N1368,IF(O1368&lt;&gt;"",O1368,IF(L1368&lt;&gt;"",L1368/1.56,IF(M1368&lt;&gt;"",M1368/1.56,""))))</f>
        <v/>
      </c>
      <c r="U1368" s="3" t="n">
        <v>565</v>
      </c>
      <c r="V1368" s="3" t="n">
        <v>340</v>
      </c>
      <c r="W1368" s="3" t="n"/>
      <c r="X1368" s="4" t="n"/>
      <c r="Y1368" s="5" t="n">
        <v>0.08699999999999999</v>
      </c>
      <c r="Z1368" s="4">
        <f>IF(L1368&lt;&gt;"",SQRT(3)*G1368*L1368/1000,"")</f>
        <v/>
      </c>
      <c r="AA1368" t="inlineStr">
        <is>
          <t>Source=Copeland 2D/3D/4D/4R/6D/8D/9R compressors (pdf) p66; PWS_RLA=73.6</t>
        </is>
      </c>
      <c r="AB1368" t="inlineStr">
        <is>
          <t>Copeland_RLA_230_460_3ph_60Hz.xlsx</t>
        </is>
      </c>
      <c r="AC1368" t="inlineStr">
        <is>
          <t>Recip_2D-9R</t>
        </is>
      </c>
    </row>
    <row r="1369">
      <c r="A1369" t="inlineStr">
        <is>
          <t>COPELAND</t>
        </is>
      </c>
      <c r="B1369" t="inlineStr">
        <is>
          <t>6DH3R35ME-TSK</t>
        </is>
      </c>
      <c r="D1369" t="inlineStr">
        <is>
          <t>Reciprocating Semi-hermetic</t>
        </is>
      </c>
      <c r="E1369" s="2" t="n">
        <v>3</v>
      </c>
      <c r="F1369" s="2" t="n">
        <v>60</v>
      </c>
      <c r="G1369" s="2" t="n">
        <v>460</v>
      </c>
      <c r="H1369" t="inlineStr">
        <is>
          <t>460</t>
        </is>
      </c>
      <c r="I1369" s="2" t="n">
        <v>460</v>
      </c>
      <c r="J1369" s="2" t="n">
        <v>460</v>
      </c>
      <c r="L1369" s="3" t="n"/>
      <c r="M1369" s="3" t="n"/>
      <c r="N1369" s="3" t="n">
        <v>73.59999999999999</v>
      </c>
      <c r="O1369" s="3" t="n"/>
      <c r="P1369" s="3">
        <f>IF(L1369&lt;&gt;"",L1369/1.4,"")</f>
        <v/>
      </c>
      <c r="Q1369" s="3">
        <f>IF(L1369&lt;&gt;"",L1369/1.56,"")</f>
        <v/>
      </c>
      <c r="R1369" s="3">
        <f>IF(M1369&lt;&gt;"",M1369/1.4,"")</f>
        <v/>
      </c>
      <c r="S1369" s="3">
        <f>IF(M1369&lt;&gt;"",M1369/1.56,"")</f>
        <v/>
      </c>
      <c r="T1369" s="3">
        <f>IF(N1369&lt;&gt;"",N1369,IF(O1369&lt;&gt;"",O1369,IF(L1369&lt;&gt;"",L1369/1.56,IF(M1369&lt;&gt;"",M1369/1.56,""))))</f>
        <v/>
      </c>
      <c r="U1369" s="3" t="n">
        <v>283</v>
      </c>
      <c r="V1369" s="3" t="n"/>
      <c r="W1369" s="3" t="n"/>
      <c r="X1369" s="4" t="n"/>
      <c r="Y1369" s="5" t="n">
        <v>0.348</v>
      </c>
      <c r="Z1369" s="4">
        <f>IF(L1369&lt;&gt;"",SQRT(3)*G1369*L1369/1000,"")</f>
        <v/>
      </c>
      <c r="AA1369" t="inlineStr">
        <is>
          <t>Source=Copeland 2D/3D/4D/4R/6D/8D/9R compressors (pdf) p66</t>
        </is>
      </c>
      <c r="AB1369" t="inlineStr">
        <is>
          <t>Copeland_RLA_230_460_3ph_60Hz.xlsx</t>
        </is>
      </c>
      <c r="AC1369" t="inlineStr">
        <is>
          <t>Recip_2D-9R</t>
        </is>
      </c>
    </row>
    <row r="1370">
      <c r="A1370" t="inlineStr">
        <is>
          <t>COPELAND</t>
        </is>
      </c>
      <c r="B1370" t="inlineStr">
        <is>
          <t>6DH3R35ML-FSD</t>
        </is>
      </c>
      <c r="D1370" t="inlineStr">
        <is>
          <t>Reciprocating Semi-hermetic</t>
        </is>
      </c>
      <c r="E1370" s="2" t="n">
        <v>3</v>
      </c>
      <c r="F1370" s="2" t="n">
        <v>60</v>
      </c>
      <c r="G1370" s="2" t="n">
        <v>460</v>
      </c>
      <c r="H1370" t="inlineStr">
        <is>
          <t>460</t>
        </is>
      </c>
      <c r="I1370" s="2" t="n">
        <v>460</v>
      </c>
      <c r="J1370" s="2" t="n">
        <v>460</v>
      </c>
      <c r="L1370" s="3" t="n"/>
      <c r="M1370" s="3" t="n"/>
      <c r="N1370" s="3" t="n">
        <v>79.3</v>
      </c>
      <c r="O1370" s="3" t="n"/>
      <c r="P1370" s="3">
        <f>IF(L1370&lt;&gt;"",L1370/1.4,"")</f>
        <v/>
      </c>
      <c r="Q1370" s="3">
        <f>IF(L1370&lt;&gt;"",L1370/1.56,"")</f>
        <v/>
      </c>
      <c r="R1370" s="3">
        <f>IF(M1370&lt;&gt;"",M1370/1.4,"")</f>
        <v/>
      </c>
      <c r="S1370" s="3">
        <f>IF(M1370&lt;&gt;"",M1370/1.56,"")</f>
        <v/>
      </c>
      <c r="T1370" s="3">
        <f>IF(N1370&lt;&gt;"",N1370,IF(O1370&lt;&gt;"",O1370,IF(L1370&lt;&gt;"",L1370/1.56,IF(M1370&lt;&gt;"",M1370/1.56,""))))</f>
        <v/>
      </c>
      <c r="U1370" s="3" t="n">
        <v>260</v>
      </c>
      <c r="V1370" s="3" t="n">
        <v>156</v>
      </c>
      <c r="W1370" s="3" t="n"/>
      <c r="X1370" s="4" t="n"/>
      <c r="Y1370" s="5" t="n">
        <v>0.39</v>
      </c>
      <c r="Z1370" s="4">
        <f>IF(L1370&lt;&gt;"",SQRT(3)*G1370*L1370/1000,"")</f>
        <v/>
      </c>
      <c r="AA1370" t="inlineStr">
        <is>
          <t>Source=Copeland 2D/3D/4D/4R/6D/8D/9R compressors (pdf) p66; PWS_RLA=39.6</t>
        </is>
      </c>
      <c r="AB1370" t="inlineStr">
        <is>
          <t>Copeland_RLA_230_460_3ph_60Hz.xlsx</t>
        </is>
      </c>
      <c r="AC1370" t="inlineStr">
        <is>
          <t>Recip_2D-9R</t>
        </is>
      </c>
    </row>
    <row r="1371">
      <c r="A1371" t="inlineStr">
        <is>
          <t>COPELAND</t>
        </is>
      </c>
      <c r="B1371" t="inlineStr">
        <is>
          <t>6DH3R35ML-TSK</t>
        </is>
      </c>
      <c r="D1371" t="inlineStr">
        <is>
          <t>Reciprocating Semi-hermetic</t>
        </is>
      </c>
      <c r="E1371" s="2" t="n">
        <v>3</v>
      </c>
      <c r="F1371" s="2" t="n">
        <v>60</v>
      </c>
      <c r="G1371" s="2" t="n">
        <v>230</v>
      </c>
      <c r="H1371" t="inlineStr">
        <is>
          <t>208/230</t>
        </is>
      </c>
      <c r="I1371" s="2" t="n">
        <v>208</v>
      </c>
      <c r="J1371" s="2" t="n">
        <v>230</v>
      </c>
      <c r="L1371" s="3" t="n"/>
      <c r="M1371" s="3" t="n"/>
      <c r="N1371" s="3" t="n">
        <v>147.1</v>
      </c>
      <c r="O1371" s="3" t="n"/>
      <c r="P1371" s="3">
        <f>IF(L1371&lt;&gt;"",L1371/1.4,"")</f>
        <v/>
      </c>
      <c r="Q1371" s="3">
        <f>IF(L1371&lt;&gt;"",L1371/1.56,"")</f>
        <v/>
      </c>
      <c r="R1371" s="3">
        <f>IF(M1371&lt;&gt;"",M1371/1.4,"")</f>
        <v/>
      </c>
      <c r="S1371" s="3">
        <f>IF(M1371&lt;&gt;"",M1371/1.56,"")</f>
        <v/>
      </c>
      <c r="T1371" s="3">
        <f>IF(N1371&lt;&gt;"",N1371,IF(O1371&lt;&gt;"",O1371,IF(L1371&lt;&gt;"",L1371/1.56,IF(M1371&lt;&gt;"",M1371/1.56,""))))</f>
        <v/>
      </c>
      <c r="U1371" s="3" t="n">
        <v>565</v>
      </c>
      <c r="V1371" s="3" t="n">
        <v>340</v>
      </c>
      <c r="W1371" s="3" t="n"/>
      <c r="X1371" s="4" t="n"/>
      <c r="Y1371" s="5" t="n">
        <v>0.08699999999999999</v>
      </c>
      <c r="Z1371" s="4">
        <f>IF(L1371&lt;&gt;"",SQRT(3)*G1371*L1371/1000,"")</f>
        <v/>
      </c>
      <c r="AA1371" t="inlineStr">
        <is>
          <t>Source=Copeland 2D/3D/4D/4R/6D/8D/9R compressors (pdf) p66; PWS_RLA=73.6</t>
        </is>
      </c>
      <c r="AB1371" t="inlineStr">
        <is>
          <t>Copeland_RLA_230_460_3ph_60Hz.xlsx</t>
        </is>
      </c>
      <c r="AC1371" t="inlineStr">
        <is>
          <t>Recip_2D-9R</t>
        </is>
      </c>
    </row>
    <row r="1372">
      <c r="A1372" t="inlineStr">
        <is>
          <t>COPELAND</t>
        </is>
      </c>
      <c r="B1372" t="inlineStr">
        <is>
          <t>6DH3R35ML-TSK</t>
        </is>
      </c>
      <c r="D1372" t="inlineStr">
        <is>
          <t>Reciprocating Semi-hermetic</t>
        </is>
      </c>
      <c r="E1372" s="2" t="n">
        <v>3</v>
      </c>
      <c r="F1372" s="2" t="n">
        <v>60</v>
      </c>
      <c r="G1372" s="2" t="n">
        <v>460</v>
      </c>
      <c r="H1372" t="inlineStr">
        <is>
          <t>460</t>
        </is>
      </c>
      <c r="I1372" s="2" t="n">
        <v>460</v>
      </c>
      <c r="J1372" s="2" t="n">
        <v>460</v>
      </c>
      <c r="L1372" s="3" t="n"/>
      <c r="M1372" s="3" t="n"/>
      <c r="N1372" s="3" t="n">
        <v>73.59999999999999</v>
      </c>
      <c r="O1372" s="3" t="n"/>
      <c r="P1372" s="3">
        <f>IF(L1372&lt;&gt;"",L1372/1.4,"")</f>
        <v/>
      </c>
      <c r="Q1372" s="3">
        <f>IF(L1372&lt;&gt;"",L1372/1.56,"")</f>
        <v/>
      </c>
      <c r="R1372" s="3">
        <f>IF(M1372&lt;&gt;"",M1372/1.4,"")</f>
        <v/>
      </c>
      <c r="S1372" s="3">
        <f>IF(M1372&lt;&gt;"",M1372/1.56,"")</f>
        <v/>
      </c>
      <c r="T1372" s="3">
        <f>IF(N1372&lt;&gt;"",N1372,IF(O1372&lt;&gt;"",O1372,IF(L1372&lt;&gt;"",L1372/1.56,IF(M1372&lt;&gt;"",M1372/1.56,""))))</f>
        <v/>
      </c>
      <c r="U1372" s="3" t="n">
        <v>283</v>
      </c>
      <c r="V1372" s="3" t="n"/>
      <c r="W1372" s="3" t="n"/>
      <c r="X1372" s="4" t="n"/>
      <c r="Y1372" s="5" t="n">
        <v>0.348</v>
      </c>
      <c r="Z1372" s="4">
        <f>IF(L1372&lt;&gt;"",SQRT(3)*G1372*L1372/1000,"")</f>
        <v/>
      </c>
      <c r="AA1372" t="inlineStr">
        <is>
          <t>Source=Copeland 2D/3D/4D/4R/6D/8D/9R compressors (pdf) p66</t>
        </is>
      </c>
      <c r="AB1372" t="inlineStr">
        <is>
          <t>Copeland_RLA_230_460_3ph_60Hz.xlsx</t>
        </is>
      </c>
      <c r="AC1372" t="inlineStr">
        <is>
          <t>Recip_2D-9R</t>
        </is>
      </c>
    </row>
    <row r="1373">
      <c r="A1373" t="inlineStr">
        <is>
          <t>COPELAND</t>
        </is>
      </c>
      <c r="B1373" t="inlineStr">
        <is>
          <t>6DHG-3500-FSD</t>
        </is>
      </c>
      <c r="D1373" t="inlineStr">
        <is>
          <t>Reciprocating Semi-hermetic</t>
        </is>
      </c>
      <c r="E1373" s="2" t="n">
        <v>3</v>
      </c>
      <c r="F1373" s="2" t="n">
        <v>60</v>
      </c>
      <c r="G1373" s="2" t="n">
        <v>460</v>
      </c>
      <c r="H1373" t="inlineStr">
        <is>
          <t>460</t>
        </is>
      </c>
      <c r="I1373" s="2" t="n">
        <v>460</v>
      </c>
      <c r="J1373" s="2" t="n">
        <v>460</v>
      </c>
      <c r="L1373" s="3" t="n"/>
      <c r="M1373" s="3" t="n"/>
      <c r="N1373" s="3" t="n">
        <v>62.6</v>
      </c>
      <c r="O1373" s="3" t="n"/>
      <c r="P1373" s="3">
        <f>IF(L1373&lt;&gt;"",L1373/1.4,"")</f>
        <v/>
      </c>
      <c r="Q1373" s="3">
        <f>IF(L1373&lt;&gt;"",L1373/1.56,"")</f>
        <v/>
      </c>
      <c r="R1373" s="3">
        <f>IF(M1373&lt;&gt;"",M1373/1.4,"")</f>
        <v/>
      </c>
      <c r="S1373" s="3">
        <f>IF(M1373&lt;&gt;"",M1373/1.56,"")</f>
        <v/>
      </c>
      <c r="T1373" s="3">
        <f>IF(N1373&lt;&gt;"",N1373,IF(O1373&lt;&gt;"",O1373,IF(L1373&lt;&gt;"",L1373/1.56,IF(M1373&lt;&gt;"",M1373/1.56,""))))</f>
        <v/>
      </c>
      <c r="U1373" s="3" t="n">
        <v>260</v>
      </c>
      <c r="V1373" s="3" t="n">
        <v>156</v>
      </c>
      <c r="W1373" s="3" t="n"/>
      <c r="X1373" s="4" t="n"/>
      <c r="Y1373" s="5" t="n">
        <v>0.39</v>
      </c>
      <c r="Z1373" s="4">
        <f>IF(L1373&lt;&gt;"",SQRT(3)*G1373*L1373/1000,"")</f>
        <v/>
      </c>
      <c r="AA1373" t="inlineStr">
        <is>
          <t>Source=Copeland 2D/3D/4D/4R/6D/8D/9R compressors (pdf) p66; PWS_RLA=31.3</t>
        </is>
      </c>
      <c r="AB1373" t="inlineStr">
        <is>
          <t>Copeland_RLA_230_460_3ph_60Hz.xlsx</t>
        </is>
      </c>
      <c r="AC1373" t="inlineStr">
        <is>
          <t>Recip_2D-9R</t>
        </is>
      </c>
    </row>
    <row r="1374">
      <c r="A1374" t="inlineStr">
        <is>
          <t>COPELAND</t>
        </is>
      </c>
      <c r="B1374" t="inlineStr">
        <is>
          <t>6DHG-3500-TSK</t>
        </is>
      </c>
      <c r="D1374" t="inlineStr">
        <is>
          <t>Reciprocating Semi-hermetic</t>
        </is>
      </c>
      <c r="E1374" s="2" t="n">
        <v>3</v>
      </c>
      <c r="F1374" s="2" t="n">
        <v>60</v>
      </c>
      <c r="G1374" s="2" t="n">
        <v>230</v>
      </c>
      <c r="H1374" t="inlineStr">
        <is>
          <t>208/230</t>
        </is>
      </c>
      <c r="I1374" s="2" t="n">
        <v>208</v>
      </c>
      <c r="J1374" s="2" t="n">
        <v>230</v>
      </c>
      <c r="L1374" s="3" t="n"/>
      <c r="M1374" s="3" t="n"/>
      <c r="N1374" s="3" t="n">
        <v>125.1</v>
      </c>
      <c r="O1374" s="3" t="n"/>
      <c r="P1374" s="3">
        <f>IF(L1374&lt;&gt;"",L1374/1.4,"")</f>
        <v/>
      </c>
      <c r="Q1374" s="3">
        <f>IF(L1374&lt;&gt;"",L1374/1.56,"")</f>
        <v/>
      </c>
      <c r="R1374" s="3">
        <f>IF(M1374&lt;&gt;"",M1374/1.4,"")</f>
        <v/>
      </c>
      <c r="S1374" s="3">
        <f>IF(M1374&lt;&gt;"",M1374/1.56,"")</f>
        <v/>
      </c>
      <c r="T1374" s="3">
        <f>IF(N1374&lt;&gt;"",N1374,IF(O1374&lt;&gt;"",O1374,IF(L1374&lt;&gt;"",L1374/1.56,IF(M1374&lt;&gt;"",M1374/1.56,""))))</f>
        <v/>
      </c>
      <c r="U1374" s="3" t="n">
        <v>565</v>
      </c>
      <c r="V1374" s="3" t="n">
        <v>340</v>
      </c>
      <c r="W1374" s="3" t="n"/>
      <c r="X1374" s="4" t="n"/>
      <c r="Y1374" s="5" t="n">
        <v>0.08699999999999999</v>
      </c>
      <c r="Z1374" s="4">
        <f>IF(L1374&lt;&gt;"",SQRT(3)*G1374*L1374/1000,"")</f>
        <v/>
      </c>
      <c r="AA1374" t="inlineStr">
        <is>
          <t>Source=Copeland 2D/3D/4D/4R/6D/8D/9R compressors (pdf) p66; PWS_RLA=62.6</t>
        </is>
      </c>
      <c r="AB1374" t="inlineStr">
        <is>
          <t>Copeland_RLA_230_460_3ph_60Hz.xlsx</t>
        </is>
      </c>
      <c r="AC1374" t="inlineStr">
        <is>
          <t>Recip_2D-9R</t>
        </is>
      </c>
    </row>
    <row r="1375">
      <c r="A1375" t="inlineStr">
        <is>
          <t>COPELAND</t>
        </is>
      </c>
      <c r="B1375" t="inlineStr">
        <is>
          <t>6DHG-3500-TSK</t>
        </is>
      </c>
      <c r="D1375" t="inlineStr">
        <is>
          <t>Reciprocating Semi-hermetic</t>
        </is>
      </c>
      <c r="E1375" s="2" t="n">
        <v>3</v>
      </c>
      <c r="F1375" s="2" t="n">
        <v>60</v>
      </c>
      <c r="G1375" s="2" t="n">
        <v>460</v>
      </c>
      <c r="H1375" t="inlineStr">
        <is>
          <t>460</t>
        </is>
      </c>
      <c r="I1375" s="2" t="n">
        <v>460</v>
      </c>
      <c r="J1375" s="2" t="n">
        <v>460</v>
      </c>
      <c r="L1375" s="3" t="n"/>
      <c r="M1375" s="3" t="n"/>
      <c r="N1375" s="3" t="n">
        <v>62.6</v>
      </c>
      <c r="O1375" s="3" t="n"/>
      <c r="P1375" s="3">
        <f>IF(L1375&lt;&gt;"",L1375/1.4,"")</f>
        <v/>
      </c>
      <c r="Q1375" s="3">
        <f>IF(L1375&lt;&gt;"",L1375/1.56,"")</f>
        <v/>
      </c>
      <c r="R1375" s="3">
        <f>IF(M1375&lt;&gt;"",M1375/1.4,"")</f>
        <v/>
      </c>
      <c r="S1375" s="3">
        <f>IF(M1375&lt;&gt;"",M1375/1.56,"")</f>
        <v/>
      </c>
      <c r="T1375" s="3">
        <f>IF(N1375&lt;&gt;"",N1375,IF(O1375&lt;&gt;"",O1375,IF(L1375&lt;&gt;"",L1375/1.56,IF(M1375&lt;&gt;"",M1375/1.56,""))))</f>
        <v/>
      </c>
      <c r="U1375" s="3" t="n">
        <v>283</v>
      </c>
      <c r="V1375" s="3" t="n"/>
      <c r="W1375" s="3" t="n"/>
      <c r="X1375" s="4" t="n"/>
      <c r="Y1375" s="5" t="n">
        <v>0.348</v>
      </c>
      <c r="Z1375" s="4">
        <f>IF(L1375&lt;&gt;"",SQRT(3)*G1375*L1375/1000,"")</f>
        <v/>
      </c>
      <c r="AA1375" t="inlineStr">
        <is>
          <t>Source=Copeland 2D/3D/4D/4R/6D/8D/9R compressors (pdf) p66</t>
        </is>
      </c>
      <c r="AB1375" t="inlineStr">
        <is>
          <t>Copeland_RLA_230_460_3ph_60Hz.xlsx</t>
        </is>
      </c>
      <c r="AC1375" t="inlineStr">
        <is>
          <t>Recip_2D-9R</t>
        </is>
      </c>
    </row>
    <row r="1376">
      <c r="A1376" t="inlineStr">
        <is>
          <t>COPELAND</t>
        </is>
      </c>
      <c r="B1376" t="inlineStr">
        <is>
          <t>6DHG-350E-FSD</t>
        </is>
      </c>
      <c r="D1376" t="inlineStr">
        <is>
          <t>Reciprocating Semi-hermetic</t>
        </is>
      </c>
      <c r="E1376" s="2" t="n">
        <v>3</v>
      </c>
      <c r="F1376" s="2" t="n">
        <v>60</v>
      </c>
      <c r="G1376" s="2" t="n">
        <v>460</v>
      </c>
      <c r="H1376" t="inlineStr">
        <is>
          <t>460</t>
        </is>
      </c>
      <c r="I1376" s="2" t="n">
        <v>460</v>
      </c>
      <c r="J1376" s="2" t="n">
        <v>460</v>
      </c>
      <c r="L1376" s="3" t="n"/>
      <c r="M1376" s="3" t="n"/>
      <c r="N1376" s="3" t="n">
        <v>62.6</v>
      </c>
      <c r="O1376" s="3" t="n"/>
      <c r="P1376" s="3">
        <f>IF(L1376&lt;&gt;"",L1376/1.4,"")</f>
        <v/>
      </c>
      <c r="Q1376" s="3">
        <f>IF(L1376&lt;&gt;"",L1376/1.56,"")</f>
        <v/>
      </c>
      <c r="R1376" s="3">
        <f>IF(M1376&lt;&gt;"",M1376/1.4,"")</f>
        <v/>
      </c>
      <c r="S1376" s="3">
        <f>IF(M1376&lt;&gt;"",M1376/1.56,"")</f>
        <v/>
      </c>
      <c r="T1376" s="3">
        <f>IF(N1376&lt;&gt;"",N1376,IF(O1376&lt;&gt;"",O1376,IF(L1376&lt;&gt;"",L1376/1.56,IF(M1376&lt;&gt;"",M1376/1.56,""))))</f>
        <v/>
      </c>
      <c r="U1376" s="3" t="n">
        <v>260</v>
      </c>
      <c r="V1376" s="3" t="n">
        <v>156</v>
      </c>
      <c r="W1376" s="3" t="n"/>
      <c r="X1376" s="4" t="n"/>
      <c r="Y1376" s="5" t="n">
        <v>0.39</v>
      </c>
      <c r="Z1376" s="4">
        <f>IF(L1376&lt;&gt;"",SQRT(3)*G1376*L1376/1000,"")</f>
        <v/>
      </c>
      <c r="AA1376" t="inlineStr">
        <is>
          <t>Source=Copeland 2D/3D/4D/4R/6D/8D/9R compressors (pdf) p66; PWS_RLA=31.3</t>
        </is>
      </c>
      <c r="AB1376" t="inlineStr">
        <is>
          <t>Copeland_RLA_230_460_3ph_60Hz.xlsx</t>
        </is>
      </c>
      <c r="AC1376" t="inlineStr">
        <is>
          <t>Recip_2D-9R</t>
        </is>
      </c>
    </row>
    <row r="1377">
      <c r="A1377" t="inlineStr">
        <is>
          <t>COPELAND</t>
        </is>
      </c>
      <c r="B1377" t="inlineStr">
        <is>
          <t>6DJ1-4000-FSD</t>
        </is>
      </c>
      <c r="D1377" t="inlineStr">
        <is>
          <t>Reciprocating Semi-hermetic</t>
        </is>
      </c>
      <c r="E1377" s="2" t="n">
        <v>3</v>
      </c>
      <c r="F1377" s="2" t="n">
        <v>60</v>
      </c>
      <c r="G1377" s="2" t="n">
        <v>460</v>
      </c>
      <c r="H1377" t="inlineStr">
        <is>
          <t>460</t>
        </is>
      </c>
      <c r="I1377" s="2" t="n">
        <v>460</v>
      </c>
      <c r="J1377" s="2" t="n">
        <v>460</v>
      </c>
      <c r="L1377" s="3" t="n"/>
      <c r="M1377" s="3" t="n"/>
      <c r="N1377" s="3" t="n">
        <v>69.3</v>
      </c>
      <c r="O1377" s="3" t="n"/>
      <c r="P1377" s="3">
        <f>IF(L1377&lt;&gt;"",L1377/1.4,"")</f>
        <v/>
      </c>
      <c r="Q1377" s="3">
        <f>IF(L1377&lt;&gt;"",L1377/1.56,"")</f>
        <v/>
      </c>
      <c r="R1377" s="3">
        <f>IF(M1377&lt;&gt;"",M1377/1.4,"")</f>
        <v/>
      </c>
      <c r="S1377" s="3">
        <f>IF(M1377&lt;&gt;"",M1377/1.56,"")</f>
        <v/>
      </c>
      <c r="T1377" s="3">
        <f>IF(N1377&lt;&gt;"",N1377,IF(O1377&lt;&gt;"",O1377,IF(L1377&lt;&gt;"",L1377/1.56,IF(M1377&lt;&gt;"",M1377/1.56,""))))</f>
        <v/>
      </c>
      <c r="U1377" s="3" t="n">
        <v>300</v>
      </c>
      <c r="V1377" s="3" t="n">
        <v>170</v>
      </c>
      <c r="W1377" s="3" t="n"/>
      <c r="X1377" s="4" t="n"/>
      <c r="Y1377" s="5" t="n">
        <v>0.352</v>
      </c>
      <c r="Z1377" s="4">
        <f>IF(L1377&lt;&gt;"",SQRT(3)*G1377*L1377/1000,"")</f>
        <v/>
      </c>
      <c r="AA1377" t="inlineStr">
        <is>
          <t>Source=Copeland 2D/3D/4D/4R/6D/8D/9R compressors (pdf) p66; PWS_RLA=34.7</t>
        </is>
      </c>
      <c r="AB1377" t="inlineStr">
        <is>
          <t>Copeland_RLA_230_460_3ph_60Hz.xlsx</t>
        </is>
      </c>
      <c r="AC1377" t="inlineStr">
        <is>
          <t>Recip_2D-9R</t>
        </is>
      </c>
    </row>
    <row r="1378">
      <c r="A1378" t="inlineStr">
        <is>
          <t>COPELAND</t>
        </is>
      </c>
      <c r="B1378" t="inlineStr">
        <is>
          <t>6DJ1-4000-TSN</t>
        </is>
      </c>
      <c r="D1378" t="inlineStr">
        <is>
          <t>Reciprocating Semi-hermetic</t>
        </is>
      </c>
      <c r="E1378" s="2" t="n">
        <v>3</v>
      </c>
      <c r="F1378" s="2" t="n">
        <v>60</v>
      </c>
      <c r="G1378" s="2" t="n">
        <v>230</v>
      </c>
      <c r="H1378" t="inlineStr">
        <is>
          <t>230</t>
        </is>
      </c>
      <c r="I1378" s="2" t="n">
        <v>230</v>
      </c>
      <c r="J1378" s="2" t="n">
        <v>230</v>
      </c>
      <c r="L1378" s="3" t="n"/>
      <c r="M1378" s="3" t="n"/>
      <c r="N1378" s="3" t="n">
        <v>141.4</v>
      </c>
      <c r="O1378" s="3" t="n"/>
      <c r="P1378" s="3">
        <f>IF(L1378&lt;&gt;"",L1378/1.4,"")</f>
        <v/>
      </c>
      <c r="Q1378" s="3">
        <f>IF(L1378&lt;&gt;"",L1378/1.56,"")</f>
        <v/>
      </c>
      <c r="R1378" s="3">
        <f>IF(M1378&lt;&gt;"",M1378/1.4,"")</f>
        <v/>
      </c>
      <c r="S1378" s="3">
        <f>IF(M1378&lt;&gt;"",M1378/1.56,"")</f>
        <v/>
      </c>
      <c r="T1378" s="3">
        <f>IF(N1378&lt;&gt;"",N1378,IF(O1378&lt;&gt;"",O1378,IF(L1378&lt;&gt;"",L1378/1.56,IF(M1378&lt;&gt;"",M1378/1.56,""))))</f>
        <v/>
      </c>
      <c r="U1378" s="3" t="n">
        <v>594</v>
      </c>
      <c r="V1378" s="3" t="n">
        <v>340</v>
      </c>
      <c r="W1378" s="3" t="n"/>
      <c r="X1378" s="4" t="n"/>
      <c r="Y1378" s="5" t="n">
        <v>0.08500000000000001</v>
      </c>
      <c r="Z1378" s="4">
        <f>IF(L1378&lt;&gt;"",SQRT(3)*G1378*L1378/1000,"")</f>
        <v/>
      </c>
      <c r="AA1378" t="inlineStr">
        <is>
          <t>Source=Copeland 2D/3D/4D/4R/6D/8D/9R compressors (pdf) p66; PWS_RLA=70.5</t>
        </is>
      </c>
      <c r="AB1378" t="inlineStr">
        <is>
          <t>Copeland_RLA_230_460_3ph_60Hz.xlsx</t>
        </is>
      </c>
      <c r="AC1378" t="inlineStr">
        <is>
          <t>Recip_2D-9R</t>
        </is>
      </c>
    </row>
    <row r="1379">
      <c r="A1379" t="inlineStr">
        <is>
          <t>COPELAND</t>
        </is>
      </c>
      <c r="B1379" t="inlineStr">
        <is>
          <t>6DJ1-4000-TSN</t>
        </is>
      </c>
      <c r="D1379" t="inlineStr">
        <is>
          <t>Reciprocating Semi-hermetic</t>
        </is>
      </c>
      <c r="E1379" s="2" t="n">
        <v>3</v>
      </c>
      <c r="F1379" s="2" t="n">
        <v>60</v>
      </c>
      <c r="G1379" s="2" t="n">
        <v>460</v>
      </c>
      <c r="H1379" t="inlineStr">
        <is>
          <t>460</t>
        </is>
      </c>
      <c r="I1379" s="2" t="n">
        <v>460</v>
      </c>
      <c r="J1379" s="2" t="n">
        <v>460</v>
      </c>
      <c r="L1379" s="3" t="n"/>
      <c r="M1379" s="3" t="n"/>
      <c r="N1379" s="3" t="n">
        <v>70.7</v>
      </c>
      <c r="O1379" s="3" t="n"/>
      <c r="P1379" s="3">
        <f>IF(L1379&lt;&gt;"",L1379/1.4,"")</f>
        <v/>
      </c>
      <c r="Q1379" s="3">
        <f>IF(L1379&lt;&gt;"",L1379/1.56,"")</f>
        <v/>
      </c>
      <c r="R1379" s="3">
        <f>IF(M1379&lt;&gt;"",M1379/1.4,"")</f>
        <v/>
      </c>
      <c r="S1379" s="3">
        <f>IF(M1379&lt;&gt;"",M1379/1.56,"")</f>
        <v/>
      </c>
      <c r="T1379" s="3">
        <f>IF(N1379&lt;&gt;"",N1379,IF(O1379&lt;&gt;"",O1379,IF(L1379&lt;&gt;"",L1379/1.56,IF(M1379&lt;&gt;"",M1379/1.56,""))))</f>
        <v/>
      </c>
      <c r="U1379" s="3" t="n">
        <v>297</v>
      </c>
      <c r="V1379" s="3" t="n"/>
      <c r="W1379" s="3" t="n"/>
      <c r="X1379" s="4" t="n"/>
      <c r="Y1379" s="5" t="n">
        <v>0.34</v>
      </c>
      <c r="Z1379" s="4">
        <f>IF(L1379&lt;&gt;"",SQRT(3)*G1379*L1379/1000,"")</f>
        <v/>
      </c>
      <c r="AA1379" t="inlineStr">
        <is>
          <t>Source=Copeland 2D/3D/4D/4R/6D/8D/9R compressors (pdf) p66</t>
        </is>
      </c>
      <c r="AB1379" t="inlineStr">
        <is>
          <t>Copeland_RLA_230_460_3ph_60Hz.xlsx</t>
        </is>
      </c>
      <c r="AC1379" t="inlineStr">
        <is>
          <t>Recip_2D-9R</t>
        </is>
      </c>
    </row>
    <row r="1380">
      <c r="A1380" t="inlineStr">
        <is>
          <t>COPELAND</t>
        </is>
      </c>
      <c r="B1380" t="inlineStr">
        <is>
          <t>6DJ1-4000-TXN</t>
        </is>
      </c>
      <c r="D1380" t="inlineStr">
        <is>
          <t>Reciprocating Semi-hermetic</t>
        </is>
      </c>
      <c r="E1380" s="2" t="n">
        <v>3</v>
      </c>
      <c r="F1380" s="2" t="n">
        <v>60</v>
      </c>
      <c r="G1380" s="2" t="n">
        <v>230</v>
      </c>
      <c r="H1380" t="inlineStr">
        <is>
          <t>230</t>
        </is>
      </c>
      <c r="I1380" s="2" t="n">
        <v>230</v>
      </c>
      <c r="J1380" s="2" t="n">
        <v>230</v>
      </c>
      <c r="L1380" s="3" t="n"/>
      <c r="M1380" s="3" t="n"/>
      <c r="N1380" s="3" t="n"/>
      <c r="O1380" s="3" t="n"/>
      <c r="P1380" s="3">
        <f>IF(L1380&lt;&gt;"",L1380/1.4,"")</f>
        <v/>
      </c>
      <c r="Q1380" s="3">
        <f>IF(L1380&lt;&gt;"",L1380/1.56,"")</f>
        <v/>
      </c>
      <c r="R1380" s="3">
        <f>IF(M1380&lt;&gt;"",M1380/1.4,"")</f>
        <v/>
      </c>
      <c r="S1380" s="3">
        <f>IF(M1380&lt;&gt;"",M1380/1.56,"")</f>
        <v/>
      </c>
      <c r="T1380" s="3">
        <f>IF(N1380&lt;&gt;"",N1380,IF(O1380&lt;&gt;"",O1380,IF(L1380&lt;&gt;"",L1380/1.56,IF(M1380&lt;&gt;"",M1380/1.56,""))))</f>
        <v/>
      </c>
      <c r="U1380" s="3" t="n">
        <v>594</v>
      </c>
      <c r="V1380" s="3" t="n">
        <v>340</v>
      </c>
      <c r="W1380" s="3" t="n"/>
      <c r="X1380" s="4" t="n"/>
      <c r="Y1380" s="5" t="n">
        <v>0.08500000000000001</v>
      </c>
      <c r="Z1380" s="4">
        <f>IF(L1380&lt;&gt;"",SQRT(3)*G1380*L1380/1000,"")</f>
        <v/>
      </c>
      <c r="AA1380" t="inlineStr">
        <is>
          <t>Source=Copeland 2D/3D/4D/4R/6D/8D/9R compressors (pdf) p67</t>
        </is>
      </c>
      <c r="AB1380" t="inlineStr">
        <is>
          <t>Copeland_RLA_230_460_3ph_60Hz.xlsx</t>
        </is>
      </c>
      <c r="AC1380" t="inlineStr">
        <is>
          <t>Recip_2D-9R</t>
        </is>
      </c>
    </row>
    <row r="1381">
      <c r="A1381" t="inlineStr">
        <is>
          <t>COPELAND</t>
        </is>
      </c>
      <c r="B1381" t="inlineStr">
        <is>
          <t>6DJ1-4000-TXN</t>
        </is>
      </c>
      <c r="D1381" t="inlineStr">
        <is>
          <t>Reciprocating Semi-hermetic</t>
        </is>
      </c>
      <c r="E1381" s="2" t="n">
        <v>3</v>
      </c>
      <c r="F1381" s="2" t="n">
        <v>60</v>
      </c>
      <c r="G1381" s="2" t="n">
        <v>460</v>
      </c>
      <c r="H1381" t="inlineStr">
        <is>
          <t>460</t>
        </is>
      </c>
      <c r="I1381" s="2" t="n">
        <v>460</v>
      </c>
      <c r="J1381" s="2" t="n">
        <v>460</v>
      </c>
      <c r="L1381" s="3" t="n"/>
      <c r="M1381" s="3" t="n"/>
      <c r="N1381" s="3" t="n"/>
      <c r="O1381" s="3" t="n"/>
      <c r="P1381" s="3">
        <f>IF(L1381&lt;&gt;"",L1381/1.4,"")</f>
        <v/>
      </c>
      <c r="Q1381" s="3">
        <f>IF(L1381&lt;&gt;"",L1381/1.56,"")</f>
        <v/>
      </c>
      <c r="R1381" s="3">
        <f>IF(M1381&lt;&gt;"",M1381/1.4,"")</f>
        <v/>
      </c>
      <c r="S1381" s="3">
        <f>IF(M1381&lt;&gt;"",M1381/1.56,"")</f>
        <v/>
      </c>
      <c r="T1381" s="3">
        <f>IF(N1381&lt;&gt;"",N1381,IF(O1381&lt;&gt;"",O1381,IF(L1381&lt;&gt;"",L1381/1.56,IF(M1381&lt;&gt;"",M1381/1.56,""))))</f>
        <v/>
      </c>
      <c r="U1381" s="3" t="n">
        <v>297</v>
      </c>
      <c r="V1381" s="3" t="n"/>
      <c r="W1381" s="3" t="n"/>
      <c r="X1381" s="4" t="n"/>
      <c r="Y1381" s="5" t="n">
        <v>0.34</v>
      </c>
      <c r="Z1381" s="4">
        <f>IF(L1381&lt;&gt;"",SQRT(3)*G1381*L1381/1000,"")</f>
        <v/>
      </c>
      <c r="AA1381" t="inlineStr">
        <is>
          <t>Source=Copeland 2D/3D/4D/4R/6D/8D/9R compressors (pdf) p67</t>
        </is>
      </c>
      <c r="AB1381" t="inlineStr">
        <is>
          <t>Copeland_RLA_230_460_3ph_60Hz.xlsx</t>
        </is>
      </c>
      <c r="AC1381" t="inlineStr">
        <is>
          <t>Recip_2D-9R</t>
        </is>
      </c>
    </row>
    <row r="1382">
      <c r="A1382" t="inlineStr">
        <is>
          <t>COPELAND</t>
        </is>
      </c>
      <c r="B1382" t="inlineStr">
        <is>
          <t>6DJ1A4000-FSD</t>
        </is>
      </c>
      <c r="D1382" t="inlineStr">
        <is>
          <t>Reciprocating Semi-hermetic</t>
        </is>
      </c>
      <c r="E1382" s="2" t="n">
        <v>3</v>
      </c>
      <c r="F1382" s="2" t="n">
        <v>60</v>
      </c>
      <c r="G1382" s="2" t="n">
        <v>460</v>
      </c>
      <c r="H1382" t="inlineStr">
        <is>
          <t>460</t>
        </is>
      </c>
      <c r="I1382" s="2" t="n">
        <v>460</v>
      </c>
      <c r="J1382" s="2" t="n">
        <v>460</v>
      </c>
      <c r="L1382" s="3" t="n"/>
      <c r="M1382" s="3" t="n"/>
      <c r="N1382" s="3" t="n">
        <v>69.3</v>
      </c>
      <c r="O1382" s="3" t="n"/>
      <c r="P1382" s="3">
        <f>IF(L1382&lt;&gt;"",L1382/1.4,"")</f>
        <v/>
      </c>
      <c r="Q1382" s="3">
        <f>IF(L1382&lt;&gt;"",L1382/1.56,"")</f>
        <v/>
      </c>
      <c r="R1382" s="3">
        <f>IF(M1382&lt;&gt;"",M1382/1.4,"")</f>
        <v/>
      </c>
      <c r="S1382" s="3">
        <f>IF(M1382&lt;&gt;"",M1382/1.56,"")</f>
        <v/>
      </c>
      <c r="T1382" s="3">
        <f>IF(N1382&lt;&gt;"",N1382,IF(O1382&lt;&gt;"",O1382,IF(L1382&lt;&gt;"",L1382/1.56,IF(M1382&lt;&gt;"",M1382/1.56,""))))</f>
        <v/>
      </c>
      <c r="U1382" s="3" t="n">
        <v>300</v>
      </c>
      <c r="V1382" s="3" t="n">
        <v>170</v>
      </c>
      <c r="W1382" s="3" t="n"/>
      <c r="X1382" s="4" t="n"/>
      <c r="Y1382" s="5" t="n">
        <v>0.352</v>
      </c>
      <c r="Z1382" s="4">
        <f>IF(L1382&lt;&gt;"",SQRT(3)*G1382*L1382/1000,"")</f>
        <v/>
      </c>
      <c r="AA1382" t="inlineStr">
        <is>
          <t>Source=Copeland 2D/3D/4D/4R/6D/8D/9R compressors (pdf) p67; PWS_RLA=34.7</t>
        </is>
      </c>
      <c r="AB1382" t="inlineStr">
        <is>
          <t>Copeland_RLA_230_460_3ph_60Hz.xlsx</t>
        </is>
      </c>
      <c r="AC1382" t="inlineStr">
        <is>
          <t>Recip_2D-9R</t>
        </is>
      </c>
    </row>
    <row r="1383">
      <c r="A1383" t="inlineStr">
        <is>
          <t>COPELAND</t>
        </is>
      </c>
      <c r="B1383" t="inlineStr">
        <is>
          <t>6DJ1A4000-TSN</t>
        </is>
      </c>
      <c r="D1383" t="inlineStr">
        <is>
          <t>Reciprocating Semi-hermetic</t>
        </is>
      </c>
      <c r="E1383" s="2" t="n">
        <v>3</v>
      </c>
      <c r="F1383" s="2" t="n">
        <v>60</v>
      </c>
      <c r="G1383" s="2" t="n">
        <v>230</v>
      </c>
      <c r="H1383" t="inlineStr">
        <is>
          <t>230</t>
        </is>
      </c>
      <c r="I1383" s="2" t="n">
        <v>230</v>
      </c>
      <c r="J1383" s="2" t="n">
        <v>230</v>
      </c>
      <c r="L1383" s="3" t="n"/>
      <c r="M1383" s="3" t="n"/>
      <c r="N1383" s="3" t="n">
        <v>141.4</v>
      </c>
      <c r="O1383" s="3" t="n"/>
      <c r="P1383" s="3">
        <f>IF(L1383&lt;&gt;"",L1383/1.4,"")</f>
        <v/>
      </c>
      <c r="Q1383" s="3">
        <f>IF(L1383&lt;&gt;"",L1383/1.56,"")</f>
        <v/>
      </c>
      <c r="R1383" s="3">
        <f>IF(M1383&lt;&gt;"",M1383/1.4,"")</f>
        <v/>
      </c>
      <c r="S1383" s="3">
        <f>IF(M1383&lt;&gt;"",M1383/1.56,"")</f>
        <v/>
      </c>
      <c r="T1383" s="3">
        <f>IF(N1383&lt;&gt;"",N1383,IF(O1383&lt;&gt;"",O1383,IF(L1383&lt;&gt;"",L1383/1.56,IF(M1383&lt;&gt;"",M1383/1.56,""))))</f>
        <v/>
      </c>
      <c r="U1383" s="3" t="n">
        <v>594</v>
      </c>
      <c r="V1383" s="3" t="n">
        <v>340</v>
      </c>
      <c r="W1383" s="3" t="n"/>
      <c r="X1383" s="4" t="n"/>
      <c r="Y1383" s="5" t="n">
        <v>0.08500000000000001</v>
      </c>
      <c r="Z1383" s="4">
        <f>IF(L1383&lt;&gt;"",SQRT(3)*G1383*L1383/1000,"")</f>
        <v/>
      </c>
      <c r="AA1383" t="inlineStr">
        <is>
          <t>Source=Copeland 2D/3D/4D/4R/6D/8D/9R compressors (pdf) p67; PWS_RLA=70.5</t>
        </is>
      </c>
      <c r="AB1383" t="inlineStr">
        <is>
          <t>Copeland_RLA_230_460_3ph_60Hz.xlsx</t>
        </is>
      </c>
      <c r="AC1383" t="inlineStr">
        <is>
          <t>Recip_2D-9R</t>
        </is>
      </c>
    </row>
    <row r="1384">
      <c r="A1384" t="inlineStr">
        <is>
          <t>COPELAND</t>
        </is>
      </c>
      <c r="B1384" t="inlineStr">
        <is>
          <t>6DJ1A4000-TSN</t>
        </is>
      </c>
      <c r="D1384" t="inlineStr">
        <is>
          <t>Reciprocating Semi-hermetic</t>
        </is>
      </c>
      <c r="E1384" s="2" t="n">
        <v>3</v>
      </c>
      <c r="F1384" s="2" t="n">
        <v>60</v>
      </c>
      <c r="G1384" s="2" t="n">
        <v>460</v>
      </c>
      <c r="H1384" t="inlineStr">
        <is>
          <t>460</t>
        </is>
      </c>
      <c r="I1384" s="2" t="n">
        <v>460</v>
      </c>
      <c r="J1384" s="2" t="n">
        <v>460</v>
      </c>
      <c r="L1384" s="3" t="n"/>
      <c r="M1384" s="3" t="n"/>
      <c r="N1384" s="3" t="n">
        <v>70.7</v>
      </c>
      <c r="O1384" s="3" t="n"/>
      <c r="P1384" s="3">
        <f>IF(L1384&lt;&gt;"",L1384/1.4,"")</f>
        <v/>
      </c>
      <c r="Q1384" s="3">
        <f>IF(L1384&lt;&gt;"",L1384/1.56,"")</f>
        <v/>
      </c>
      <c r="R1384" s="3">
        <f>IF(M1384&lt;&gt;"",M1384/1.4,"")</f>
        <v/>
      </c>
      <c r="S1384" s="3">
        <f>IF(M1384&lt;&gt;"",M1384/1.56,"")</f>
        <v/>
      </c>
      <c r="T1384" s="3">
        <f>IF(N1384&lt;&gt;"",N1384,IF(O1384&lt;&gt;"",O1384,IF(L1384&lt;&gt;"",L1384/1.56,IF(M1384&lt;&gt;"",M1384/1.56,""))))</f>
        <v/>
      </c>
      <c r="U1384" s="3" t="n">
        <v>297</v>
      </c>
      <c r="V1384" s="3" t="n"/>
      <c r="W1384" s="3" t="n"/>
      <c r="X1384" s="4" t="n"/>
      <c r="Y1384" s="5" t="n">
        <v>0.34</v>
      </c>
      <c r="Z1384" s="4">
        <f>IF(L1384&lt;&gt;"",SQRT(3)*G1384*L1384/1000,"")</f>
        <v/>
      </c>
      <c r="AA1384" t="inlineStr">
        <is>
          <t>Source=Copeland 2D/3D/4D/4R/6D/8D/9R compressors (pdf) p67</t>
        </is>
      </c>
      <c r="AB1384" t="inlineStr">
        <is>
          <t>Copeland_RLA_230_460_3ph_60Hz.xlsx</t>
        </is>
      </c>
      <c r="AC1384" t="inlineStr">
        <is>
          <t>Recip_2D-9R</t>
        </is>
      </c>
    </row>
    <row r="1385">
      <c r="A1385" t="inlineStr">
        <is>
          <t>COPELAND</t>
        </is>
      </c>
      <c r="B1385" t="inlineStr">
        <is>
          <t>6DJ1A4000-TXN</t>
        </is>
      </c>
      <c r="D1385" t="inlineStr">
        <is>
          <t>Reciprocating Semi-hermetic</t>
        </is>
      </c>
      <c r="E1385" s="2" t="n">
        <v>3</v>
      </c>
      <c r="F1385" s="2" t="n">
        <v>60</v>
      </c>
      <c r="G1385" s="2" t="n">
        <v>230</v>
      </c>
      <c r="H1385" t="inlineStr">
        <is>
          <t>230</t>
        </is>
      </c>
      <c r="I1385" s="2" t="n">
        <v>230</v>
      </c>
      <c r="J1385" s="2" t="n">
        <v>230</v>
      </c>
      <c r="L1385" s="3" t="n"/>
      <c r="M1385" s="3" t="n"/>
      <c r="N1385" s="3" t="n"/>
      <c r="O1385" s="3" t="n"/>
      <c r="P1385" s="3">
        <f>IF(L1385&lt;&gt;"",L1385/1.4,"")</f>
        <v/>
      </c>
      <c r="Q1385" s="3">
        <f>IF(L1385&lt;&gt;"",L1385/1.56,"")</f>
        <v/>
      </c>
      <c r="R1385" s="3">
        <f>IF(M1385&lt;&gt;"",M1385/1.4,"")</f>
        <v/>
      </c>
      <c r="S1385" s="3">
        <f>IF(M1385&lt;&gt;"",M1385/1.56,"")</f>
        <v/>
      </c>
      <c r="T1385" s="3">
        <f>IF(N1385&lt;&gt;"",N1385,IF(O1385&lt;&gt;"",O1385,IF(L1385&lt;&gt;"",L1385/1.56,IF(M1385&lt;&gt;"",M1385/1.56,""))))</f>
        <v/>
      </c>
      <c r="U1385" s="3" t="n">
        <v>594</v>
      </c>
      <c r="V1385" s="3" t="n">
        <v>340</v>
      </c>
      <c r="W1385" s="3" t="n"/>
      <c r="X1385" s="4" t="n"/>
      <c r="Y1385" s="5" t="n">
        <v>0.08500000000000001</v>
      </c>
      <c r="Z1385" s="4">
        <f>IF(L1385&lt;&gt;"",SQRT(3)*G1385*L1385/1000,"")</f>
        <v/>
      </c>
      <c r="AA1385" t="inlineStr">
        <is>
          <t>Source=Copeland 2D/3D/4D/4R/6D/8D/9R compressors (pdf) p67</t>
        </is>
      </c>
      <c r="AB1385" t="inlineStr">
        <is>
          <t>Copeland_RLA_230_460_3ph_60Hz.xlsx</t>
        </is>
      </c>
      <c r="AC1385" t="inlineStr">
        <is>
          <t>Recip_2D-9R</t>
        </is>
      </c>
    </row>
    <row r="1386">
      <c r="A1386" t="inlineStr">
        <is>
          <t>COPELAND</t>
        </is>
      </c>
      <c r="B1386" t="inlineStr">
        <is>
          <t>6DJ1A4000-TXN</t>
        </is>
      </c>
      <c r="D1386" t="inlineStr">
        <is>
          <t>Reciprocating Semi-hermetic</t>
        </is>
      </c>
      <c r="E1386" s="2" t="n">
        <v>3</v>
      </c>
      <c r="F1386" s="2" t="n">
        <v>60</v>
      </c>
      <c r="G1386" s="2" t="n">
        <v>460</v>
      </c>
      <c r="H1386" t="inlineStr">
        <is>
          <t>460</t>
        </is>
      </c>
      <c r="I1386" s="2" t="n">
        <v>460</v>
      </c>
      <c r="J1386" s="2" t="n">
        <v>460</v>
      </c>
      <c r="L1386" s="3" t="n"/>
      <c r="M1386" s="3" t="n"/>
      <c r="N1386" s="3" t="n"/>
      <c r="O1386" s="3" t="n"/>
      <c r="P1386" s="3">
        <f>IF(L1386&lt;&gt;"",L1386/1.4,"")</f>
        <v/>
      </c>
      <c r="Q1386" s="3">
        <f>IF(L1386&lt;&gt;"",L1386/1.56,"")</f>
        <v/>
      </c>
      <c r="R1386" s="3">
        <f>IF(M1386&lt;&gt;"",M1386/1.4,"")</f>
        <v/>
      </c>
      <c r="S1386" s="3">
        <f>IF(M1386&lt;&gt;"",M1386/1.56,"")</f>
        <v/>
      </c>
      <c r="T1386" s="3">
        <f>IF(N1386&lt;&gt;"",N1386,IF(O1386&lt;&gt;"",O1386,IF(L1386&lt;&gt;"",L1386/1.56,IF(M1386&lt;&gt;"",M1386/1.56,""))))</f>
        <v/>
      </c>
      <c r="U1386" s="3" t="n">
        <v>297</v>
      </c>
      <c r="V1386" s="3" t="n"/>
      <c r="W1386" s="3" t="n"/>
      <c r="X1386" s="4" t="n"/>
      <c r="Y1386" s="5" t="n">
        <v>0.34</v>
      </c>
      <c r="Z1386" s="4">
        <f>IF(L1386&lt;&gt;"",SQRT(3)*G1386*L1386/1000,"")</f>
        <v/>
      </c>
      <c r="AA1386" t="inlineStr">
        <is>
          <t>Source=Copeland 2D/3D/4D/4R/6D/8D/9R compressors (pdf) p67</t>
        </is>
      </c>
      <c r="AB1386" t="inlineStr">
        <is>
          <t>Copeland_RLA_230_460_3ph_60Hz.xlsx</t>
        </is>
      </c>
      <c r="AC1386" t="inlineStr">
        <is>
          <t>Recip_2D-9R</t>
        </is>
      </c>
    </row>
    <row r="1387">
      <c r="A1387" t="inlineStr">
        <is>
          <t>COPELAND</t>
        </is>
      </c>
      <c r="B1387" t="inlineStr">
        <is>
          <t>6DJ1R40M0-FSD</t>
        </is>
      </c>
      <c r="D1387" t="inlineStr">
        <is>
          <t>Reciprocating Semi-hermetic</t>
        </is>
      </c>
      <c r="E1387" s="2" t="n">
        <v>3</v>
      </c>
      <c r="F1387" s="2" t="n">
        <v>60</v>
      </c>
      <c r="G1387" s="2" t="n">
        <v>460</v>
      </c>
      <c r="H1387" t="inlineStr">
        <is>
          <t>460</t>
        </is>
      </c>
      <c r="I1387" s="2" t="n">
        <v>460</v>
      </c>
      <c r="J1387" s="2" t="n">
        <v>460</v>
      </c>
      <c r="L1387" s="3" t="n"/>
      <c r="M1387" s="3" t="n"/>
      <c r="N1387" s="3" t="n">
        <v>69.3</v>
      </c>
      <c r="O1387" s="3" t="n"/>
      <c r="P1387" s="3">
        <f>IF(L1387&lt;&gt;"",L1387/1.4,"")</f>
        <v/>
      </c>
      <c r="Q1387" s="3">
        <f>IF(L1387&lt;&gt;"",L1387/1.56,"")</f>
        <v/>
      </c>
      <c r="R1387" s="3">
        <f>IF(M1387&lt;&gt;"",M1387/1.4,"")</f>
        <v/>
      </c>
      <c r="S1387" s="3">
        <f>IF(M1387&lt;&gt;"",M1387/1.56,"")</f>
        <v/>
      </c>
      <c r="T1387" s="3">
        <f>IF(N1387&lt;&gt;"",N1387,IF(O1387&lt;&gt;"",O1387,IF(L1387&lt;&gt;"",L1387/1.56,IF(M1387&lt;&gt;"",M1387/1.56,""))))</f>
        <v/>
      </c>
      <c r="U1387" s="3" t="n">
        <v>300</v>
      </c>
      <c r="V1387" s="3" t="n">
        <v>170</v>
      </c>
      <c r="W1387" s="3" t="n"/>
      <c r="X1387" s="4" t="n"/>
      <c r="Y1387" s="5" t="n">
        <v>0.352</v>
      </c>
      <c r="Z1387" s="4">
        <f>IF(L1387&lt;&gt;"",SQRT(3)*G1387*L1387/1000,"")</f>
        <v/>
      </c>
      <c r="AA1387" t="inlineStr">
        <is>
          <t>Source=Copeland 2D/3D/4D/4R/6D/8D/9R compressors (pdf) p67; PWS_RLA=34.7</t>
        </is>
      </c>
      <c r="AB1387" t="inlineStr">
        <is>
          <t>Copeland_RLA_230_460_3ph_60Hz.xlsx</t>
        </is>
      </c>
      <c r="AC1387" t="inlineStr">
        <is>
          <t>Recip_2D-9R</t>
        </is>
      </c>
    </row>
    <row r="1388">
      <c r="A1388" t="inlineStr">
        <is>
          <t>COPELAND</t>
        </is>
      </c>
      <c r="B1388" t="inlineStr">
        <is>
          <t>6DJ1R40M0-TSN</t>
        </is>
      </c>
      <c r="D1388" t="inlineStr">
        <is>
          <t>Reciprocating Semi-hermetic</t>
        </is>
      </c>
      <c r="E1388" s="2" t="n">
        <v>3</v>
      </c>
      <c r="F1388" s="2" t="n">
        <v>60</v>
      </c>
      <c r="G1388" s="2" t="n">
        <v>230</v>
      </c>
      <c r="H1388" t="inlineStr">
        <is>
          <t>230</t>
        </is>
      </c>
      <c r="I1388" s="2" t="n">
        <v>230</v>
      </c>
      <c r="J1388" s="2" t="n">
        <v>230</v>
      </c>
      <c r="L1388" s="3" t="n"/>
      <c r="M1388" s="3" t="n"/>
      <c r="N1388" s="3" t="n">
        <v>141.4</v>
      </c>
      <c r="O1388" s="3" t="n"/>
      <c r="P1388" s="3">
        <f>IF(L1388&lt;&gt;"",L1388/1.4,"")</f>
        <v/>
      </c>
      <c r="Q1388" s="3">
        <f>IF(L1388&lt;&gt;"",L1388/1.56,"")</f>
        <v/>
      </c>
      <c r="R1388" s="3">
        <f>IF(M1388&lt;&gt;"",M1388/1.4,"")</f>
        <v/>
      </c>
      <c r="S1388" s="3">
        <f>IF(M1388&lt;&gt;"",M1388/1.56,"")</f>
        <v/>
      </c>
      <c r="T1388" s="3">
        <f>IF(N1388&lt;&gt;"",N1388,IF(O1388&lt;&gt;"",O1388,IF(L1388&lt;&gt;"",L1388/1.56,IF(M1388&lt;&gt;"",M1388/1.56,""))))</f>
        <v/>
      </c>
      <c r="U1388" s="3" t="n">
        <v>594</v>
      </c>
      <c r="V1388" s="3" t="n">
        <v>340</v>
      </c>
      <c r="W1388" s="3" t="n"/>
      <c r="X1388" s="4" t="n"/>
      <c r="Y1388" s="5" t="n">
        <v>0.08500000000000001</v>
      </c>
      <c r="Z1388" s="4">
        <f>IF(L1388&lt;&gt;"",SQRT(3)*G1388*L1388/1000,"")</f>
        <v/>
      </c>
      <c r="AA1388" t="inlineStr">
        <is>
          <t>Source=Copeland 2D/3D/4D/4R/6D/8D/9R compressors (pdf) p67; PWS_RLA=70.5</t>
        </is>
      </c>
      <c r="AB1388" t="inlineStr">
        <is>
          <t>Copeland_RLA_230_460_3ph_60Hz.xlsx</t>
        </is>
      </c>
      <c r="AC1388" t="inlineStr">
        <is>
          <t>Recip_2D-9R</t>
        </is>
      </c>
    </row>
    <row r="1389">
      <c r="A1389" t="inlineStr">
        <is>
          <t>COPELAND</t>
        </is>
      </c>
      <c r="B1389" t="inlineStr">
        <is>
          <t>6DJ1R40M0-TSN</t>
        </is>
      </c>
      <c r="D1389" t="inlineStr">
        <is>
          <t>Reciprocating Semi-hermetic</t>
        </is>
      </c>
      <c r="E1389" s="2" t="n">
        <v>3</v>
      </c>
      <c r="F1389" s="2" t="n">
        <v>60</v>
      </c>
      <c r="G1389" s="2" t="n">
        <v>460</v>
      </c>
      <c r="H1389" t="inlineStr">
        <is>
          <t>460</t>
        </is>
      </c>
      <c r="I1389" s="2" t="n">
        <v>460</v>
      </c>
      <c r="J1389" s="2" t="n">
        <v>460</v>
      </c>
      <c r="L1389" s="3" t="n"/>
      <c r="M1389" s="3" t="n"/>
      <c r="N1389" s="3" t="n">
        <v>70.7</v>
      </c>
      <c r="O1389" s="3" t="n"/>
      <c r="P1389" s="3">
        <f>IF(L1389&lt;&gt;"",L1389/1.4,"")</f>
        <v/>
      </c>
      <c r="Q1389" s="3">
        <f>IF(L1389&lt;&gt;"",L1389/1.56,"")</f>
        <v/>
      </c>
      <c r="R1389" s="3">
        <f>IF(M1389&lt;&gt;"",M1389/1.4,"")</f>
        <v/>
      </c>
      <c r="S1389" s="3">
        <f>IF(M1389&lt;&gt;"",M1389/1.56,"")</f>
        <v/>
      </c>
      <c r="T1389" s="3">
        <f>IF(N1389&lt;&gt;"",N1389,IF(O1389&lt;&gt;"",O1389,IF(L1389&lt;&gt;"",L1389/1.56,IF(M1389&lt;&gt;"",M1389/1.56,""))))</f>
        <v/>
      </c>
      <c r="U1389" s="3" t="n">
        <v>297</v>
      </c>
      <c r="V1389" s="3" t="n"/>
      <c r="W1389" s="3" t="n"/>
      <c r="X1389" s="4" t="n"/>
      <c r="Y1389" s="5" t="n">
        <v>0.34</v>
      </c>
      <c r="Z1389" s="4">
        <f>IF(L1389&lt;&gt;"",SQRT(3)*G1389*L1389/1000,"")</f>
        <v/>
      </c>
      <c r="AA1389" t="inlineStr">
        <is>
          <t>Source=Copeland 2D/3D/4D/4R/6D/8D/9R compressors (pdf) p67</t>
        </is>
      </c>
      <c r="AB1389" t="inlineStr">
        <is>
          <t>Copeland_RLA_230_460_3ph_60Hz.xlsx</t>
        </is>
      </c>
      <c r="AC1389" t="inlineStr">
        <is>
          <t>Recip_2D-9R</t>
        </is>
      </c>
    </row>
    <row r="1390">
      <c r="A1390" t="inlineStr">
        <is>
          <t>COPELAND</t>
        </is>
      </c>
      <c r="B1390" t="inlineStr">
        <is>
          <t>6DJ3-300E-TSK</t>
        </is>
      </c>
      <c r="D1390" t="inlineStr">
        <is>
          <t>Reciprocating Semi-hermetic</t>
        </is>
      </c>
      <c r="E1390" s="2" t="n">
        <v>3</v>
      </c>
      <c r="F1390" s="2" t="n">
        <v>60</v>
      </c>
      <c r="G1390" s="2" t="n">
        <v>230</v>
      </c>
      <c r="H1390" t="inlineStr">
        <is>
          <t>208/230</t>
        </is>
      </c>
      <c r="I1390" s="2" t="n">
        <v>208</v>
      </c>
      <c r="J1390" s="2" t="n">
        <v>230</v>
      </c>
      <c r="L1390" s="3" t="n"/>
      <c r="M1390" s="3" t="n"/>
      <c r="N1390" s="3" t="n">
        <v>100</v>
      </c>
      <c r="O1390" s="3" t="n"/>
      <c r="P1390" s="3">
        <f>IF(L1390&lt;&gt;"",L1390/1.4,"")</f>
        <v/>
      </c>
      <c r="Q1390" s="3">
        <f>IF(L1390&lt;&gt;"",L1390/1.56,"")</f>
        <v/>
      </c>
      <c r="R1390" s="3">
        <f>IF(M1390&lt;&gt;"",M1390/1.4,"")</f>
        <v/>
      </c>
      <c r="S1390" s="3">
        <f>IF(M1390&lt;&gt;"",M1390/1.56,"")</f>
        <v/>
      </c>
      <c r="T1390" s="3">
        <f>IF(N1390&lt;&gt;"",N1390,IF(O1390&lt;&gt;"",O1390,IF(L1390&lt;&gt;"",L1390/1.56,IF(M1390&lt;&gt;"",M1390/1.56,""))))</f>
        <v/>
      </c>
      <c r="U1390" s="3" t="n">
        <v>470</v>
      </c>
      <c r="V1390" s="3" t="n">
        <v>292</v>
      </c>
      <c r="W1390" s="3" t="n"/>
      <c r="X1390" s="4" t="n"/>
      <c r="Y1390" s="5" t="n">
        <v>0.111</v>
      </c>
      <c r="Z1390" s="4">
        <f>IF(L1390&lt;&gt;"",SQRT(3)*G1390*L1390/1000,"")</f>
        <v/>
      </c>
      <c r="AA1390" t="inlineStr">
        <is>
          <t>Source=Copeland 2D/3D/4D/4R/6D/8D/9R compressors (pdf) p67; PWS_RLA=50.0</t>
        </is>
      </c>
      <c r="AB1390" t="inlineStr">
        <is>
          <t>Copeland_RLA_230_460_3ph_60Hz.xlsx</t>
        </is>
      </c>
      <c r="AC1390" t="inlineStr">
        <is>
          <t>Recip_2D-9R</t>
        </is>
      </c>
    </row>
    <row r="1391">
      <c r="A1391" t="inlineStr">
        <is>
          <t>COPELAND</t>
        </is>
      </c>
      <c r="B1391" t="inlineStr">
        <is>
          <t>6DJ3-300E-TSK</t>
        </is>
      </c>
      <c r="D1391" t="inlineStr">
        <is>
          <t>Reciprocating Semi-hermetic</t>
        </is>
      </c>
      <c r="E1391" s="2" t="n">
        <v>3</v>
      </c>
      <c r="F1391" s="2" t="n">
        <v>60</v>
      </c>
      <c r="G1391" s="2" t="n">
        <v>460</v>
      </c>
      <c r="H1391" t="inlineStr">
        <is>
          <t>460</t>
        </is>
      </c>
      <c r="I1391" s="2" t="n">
        <v>460</v>
      </c>
      <c r="J1391" s="2" t="n">
        <v>460</v>
      </c>
      <c r="L1391" s="3" t="n"/>
      <c r="M1391" s="3" t="n"/>
      <c r="N1391" s="3" t="n">
        <v>50</v>
      </c>
      <c r="O1391" s="3" t="n"/>
      <c r="P1391" s="3">
        <f>IF(L1391&lt;&gt;"",L1391/1.4,"")</f>
        <v/>
      </c>
      <c r="Q1391" s="3">
        <f>IF(L1391&lt;&gt;"",L1391/1.56,"")</f>
        <v/>
      </c>
      <c r="R1391" s="3">
        <f>IF(M1391&lt;&gt;"",M1391/1.4,"")</f>
        <v/>
      </c>
      <c r="S1391" s="3">
        <f>IF(M1391&lt;&gt;"",M1391/1.56,"")</f>
        <v/>
      </c>
      <c r="T1391" s="3">
        <f>IF(N1391&lt;&gt;"",N1391,IF(O1391&lt;&gt;"",O1391,IF(L1391&lt;&gt;"",L1391/1.56,IF(M1391&lt;&gt;"",M1391/1.56,""))))</f>
        <v/>
      </c>
      <c r="U1391" s="3" t="n">
        <v>235</v>
      </c>
      <c r="V1391" s="3" t="n"/>
      <c r="W1391" s="3" t="n"/>
      <c r="X1391" s="4" t="n"/>
      <c r="Y1391" s="5" t="n">
        <v>0.444</v>
      </c>
      <c r="Z1391" s="4">
        <f>IF(L1391&lt;&gt;"",SQRT(3)*G1391*L1391/1000,"")</f>
        <v/>
      </c>
      <c r="AA1391" t="inlineStr">
        <is>
          <t>Source=Copeland 2D/3D/4D/4R/6D/8D/9R compressors (pdf) p67</t>
        </is>
      </c>
      <c r="AB1391" t="inlineStr">
        <is>
          <t>Copeland_RLA_230_460_3ph_60Hz.xlsx</t>
        </is>
      </c>
      <c r="AC1391" t="inlineStr">
        <is>
          <t>Recip_2D-9R</t>
        </is>
      </c>
    </row>
    <row r="1392">
      <c r="A1392" t="inlineStr">
        <is>
          <t>COPELAND</t>
        </is>
      </c>
      <c r="B1392" t="inlineStr">
        <is>
          <t>6DJ3-300L-TSK</t>
        </is>
      </c>
      <c r="D1392" t="inlineStr">
        <is>
          <t>Reciprocating Semi-hermetic</t>
        </is>
      </c>
      <c r="E1392" s="2" t="n">
        <v>3</v>
      </c>
      <c r="F1392" s="2" t="n">
        <v>60</v>
      </c>
      <c r="G1392" s="2" t="n">
        <v>230</v>
      </c>
      <c r="H1392" t="inlineStr">
        <is>
          <t>208/230</t>
        </is>
      </c>
      <c r="I1392" s="2" t="n">
        <v>208</v>
      </c>
      <c r="J1392" s="2" t="n">
        <v>230</v>
      </c>
      <c r="L1392" s="3" t="n"/>
      <c r="M1392" s="3" t="n"/>
      <c r="N1392" s="3" t="n">
        <v>100</v>
      </c>
      <c r="O1392" s="3" t="n"/>
      <c r="P1392" s="3">
        <f>IF(L1392&lt;&gt;"",L1392/1.4,"")</f>
        <v/>
      </c>
      <c r="Q1392" s="3">
        <f>IF(L1392&lt;&gt;"",L1392/1.56,"")</f>
        <v/>
      </c>
      <c r="R1392" s="3">
        <f>IF(M1392&lt;&gt;"",M1392/1.4,"")</f>
        <v/>
      </c>
      <c r="S1392" s="3">
        <f>IF(M1392&lt;&gt;"",M1392/1.56,"")</f>
        <v/>
      </c>
      <c r="T1392" s="3">
        <f>IF(N1392&lt;&gt;"",N1392,IF(O1392&lt;&gt;"",O1392,IF(L1392&lt;&gt;"",L1392/1.56,IF(M1392&lt;&gt;"",M1392/1.56,""))))</f>
        <v/>
      </c>
      <c r="U1392" s="3" t="n">
        <v>470</v>
      </c>
      <c r="V1392" s="3" t="n">
        <v>292</v>
      </c>
      <c r="W1392" s="3" t="n"/>
      <c r="X1392" s="4" t="n"/>
      <c r="Y1392" s="5" t="n">
        <v>0.111</v>
      </c>
      <c r="Z1392" s="4">
        <f>IF(L1392&lt;&gt;"",SQRT(3)*G1392*L1392/1000,"")</f>
        <v/>
      </c>
      <c r="AA1392" t="inlineStr">
        <is>
          <t>Source=Copeland 2D/3D/4D/4R/6D/8D/9R compressors (pdf) p67; PWS_RLA=50.0</t>
        </is>
      </c>
      <c r="AB1392" t="inlineStr">
        <is>
          <t>Copeland_RLA_230_460_3ph_60Hz.xlsx</t>
        </is>
      </c>
      <c r="AC1392" t="inlineStr">
        <is>
          <t>Recip_2D-9R</t>
        </is>
      </c>
    </row>
    <row r="1393">
      <c r="A1393" t="inlineStr">
        <is>
          <t>COPELAND</t>
        </is>
      </c>
      <c r="B1393" t="inlineStr">
        <is>
          <t>6DJ3-300L-TSK</t>
        </is>
      </c>
      <c r="D1393" t="inlineStr">
        <is>
          <t>Reciprocating Semi-hermetic</t>
        </is>
      </c>
      <c r="E1393" s="2" t="n">
        <v>3</v>
      </c>
      <c r="F1393" s="2" t="n">
        <v>60</v>
      </c>
      <c r="G1393" s="2" t="n">
        <v>460</v>
      </c>
      <c r="H1393" t="inlineStr">
        <is>
          <t>460</t>
        </is>
      </c>
      <c r="I1393" s="2" t="n">
        <v>460</v>
      </c>
      <c r="J1393" s="2" t="n">
        <v>460</v>
      </c>
      <c r="L1393" s="3" t="n"/>
      <c r="M1393" s="3" t="n"/>
      <c r="N1393" s="3" t="n">
        <v>50</v>
      </c>
      <c r="O1393" s="3" t="n"/>
      <c r="P1393" s="3">
        <f>IF(L1393&lt;&gt;"",L1393/1.4,"")</f>
        <v/>
      </c>
      <c r="Q1393" s="3">
        <f>IF(L1393&lt;&gt;"",L1393/1.56,"")</f>
        <v/>
      </c>
      <c r="R1393" s="3">
        <f>IF(M1393&lt;&gt;"",M1393/1.4,"")</f>
        <v/>
      </c>
      <c r="S1393" s="3">
        <f>IF(M1393&lt;&gt;"",M1393/1.56,"")</f>
        <v/>
      </c>
      <c r="T1393" s="3">
        <f>IF(N1393&lt;&gt;"",N1393,IF(O1393&lt;&gt;"",O1393,IF(L1393&lt;&gt;"",L1393/1.56,IF(M1393&lt;&gt;"",M1393/1.56,""))))</f>
        <v/>
      </c>
      <c r="U1393" s="3" t="n">
        <v>235</v>
      </c>
      <c r="V1393" s="3" t="n"/>
      <c r="W1393" s="3" t="n"/>
      <c r="X1393" s="4" t="n"/>
      <c r="Y1393" s="5" t="n">
        <v>0.444</v>
      </c>
      <c r="Z1393" s="4">
        <f>IF(L1393&lt;&gt;"",SQRT(3)*G1393*L1393/1000,"")</f>
        <v/>
      </c>
      <c r="AA1393" t="inlineStr">
        <is>
          <t>Source=Copeland 2D/3D/4D/4R/6D/8D/9R compressors (pdf) p67</t>
        </is>
      </c>
      <c r="AB1393" t="inlineStr">
        <is>
          <t>Copeland_RLA_230_460_3ph_60Hz.xlsx</t>
        </is>
      </c>
      <c r="AC1393" t="inlineStr">
        <is>
          <t>Recip_2D-9R</t>
        </is>
      </c>
    </row>
    <row r="1394">
      <c r="A1394" t="inlineStr">
        <is>
          <t>COPELAND</t>
        </is>
      </c>
      <c r="B1394" t="inlineStr">
        <is>
          <t>6DJ3-4000-FSD</t>
        </is>
      </c>
      <c r="D1394" t="inlineStr">
        <is>
          <t>Reciprocating Semi-hermetic</t>
        </is>
      </c>
      <c r="E1394" s="2" t="n">
        <v>3</v>
      </c>
      <c r="F1394" s="2" t="n">
        <v>60</v>
      </c>
      <c r="G1394" s="2" t="n">
        <v>460</v>
      </c>
      <c r="H1394" t="inlineStr">
        <is>
          <t>460</t>
        </is>
      </c>
      <c r="I1394" s="2" t="n">
        <v>460</v>
      </c>
      <c r="J1394" s="2" t="n">
        <v>460</v>
      </c>
      <c r="L1394" s="3" t="n"/>
      <c r="M1394" s="3" t="n"/>
      <c r="N1394" s="3" t="n">
        <v>70</v>
      </c>
      <c r="O1394" s="3" t="n"/>
      <c r="P1394" s="3">
        <f>IF(L1394&lt;&gt;"",L1394/1.4,"")</f>
        <v/>
      </c>
      <c r="Q1394" s="3">
        <f>IF(L1394&lt;&gt;"",L1394/1.56,"")</f>
        <v/>
      </c>
      <c r="R1394" s="3">
        <f>IF(M1394&lt;&gt;"",M1394/1.4,"")</f>
        <v/>
      </c>
      <c r="S1394" s="3">
        <f>IF(M1394&lt;&gt;"",M1394/1.56,"")</f>
        <v/>
      </c>
      <c r="T1394" s="3">
        <f>IF(N1394&lt;&gt;"",N1394,IF(O1394&lt;&gt;"",O1394,IF(L1394&lt;&gt;"",L1394/1.56,IF(M1394&lt;&gt;"",M1394/1.56,""))))</f>
        <v/>
      </c>
      <c r="U1394" s="3" t="n">
        <v>315</v>
      </c>
      <c r="V1394" s="3" t="n">
        <v>195</v>
      </c>
      <c r="W1394" s="3" t="n"/>
      <c r="X1394" s="4" t="n"/>
      <c r="Y1394" s="5" t="n">
        <v>0.32</v>
      </c>
      <c r="Z1394" s="4">
        <f>IF(L1394&lt;&gt;"",SQRT(3)*G1394*L1394/1000,"")</f>
        <v/>
      </c>
      <c r="AA1394" t="inlineStr">
        <is>
          <t>Source=Copeland 2D/3D/4D/4R/6D/8D/9R compressors (pdf) p67; PWS_RLA=35.0</t>
        </is>
      </c>
      <c r="AB1394" t="inlineStr">
        <is>
          <t>Copeland_RLA_230_460_3ph_60Hz.xlsx</t>
        </is>
      </c>
      <c r="AC1394" t="inlineStr">
        <is>
          <t>Recip_2D-9R</t>
        </is>
      </c>
    </row>
    <row r="1395">
      <c r="A1395" t="inlineStr">
        <is>
          <t>COPELAND</t>
        </is>
      </c>
      <c r="B1395" t="inlineStr">
        <is>
          <t>6DJ3-4000-FXD</t>
        </is>
      </c>
      <c r="D1395" t="inlineStr">
        <is>
          <t>Reciprocating Semi-hermetic</t>
        </is>
      </c>
      <c r="E1395" s="2" t="n">
        <v>3</v>
      </c>
      <c r="F1395" s="2" t="n">
        <v>60</v>
      </c>
      <c r="G1395" s="2" t="n">
        <v>460</v>
      </c>
      <c r="H1395" t="inlineStr">
        <is>
          <t>460</t>
        </is>
      </c>
      <c r="I1395" s="2" t="n">
        <v>460</v>
      </c>
      <c r="J1395" s="2" t="n">
        <v>460</v>
      </c>
      <c r="L1395" s="3" t="n"/>
      <c r="M1395" s="3" t="n"/>
      <c r="N1395" s="3" t="n"/>
      <c r="O1395" s="3" t="n"/>
      <c r="P1395" s="3">
        <f>IF(L1395&lt;&gt;"",L1395/1.4,"")</f>
        <v/>
      </c>
      <c r="Q1395" s="3">
        <f>IF(L1395&lt;&gt;"",L1395/1.56,"")</f>
        <v/>
      </c>
      <c r="R1395" s="3">
        <f>IF(M1395&lt;&gt;"",M1395/1.4,"")</f>
        <v/>
      </c>
      <c r="S1395" s="3">
        <f>IF(M1395&lt;&gt;"",M1395/1.56,"")</f>
        <v/>
      </c>
      <c r="T1395" s="3">
        <f>IF(N1395&lt;&gt;"",N1395,IF(O1395&lt;&gt;"",O1395,IF(L1395&lt;&gt;"",L1395/1.56,IF(M1395&lt;&gt;"",M1395/1.56,""))))</f>
        <v/>
      </c>
      <c r="U1395" s="3" t="n">
        <v>315</v>
      </c>
      <c r="V1395" s="3" t="n">
        <v>195</v>
      </c>
      <c r="W1395" s="3" t="n"/>
      <c r="X1395" s="4" t="n"/>
      <c r="Y1395" s="5" t="n">
        <v>0.32</v>
      </c>
      <c r="Z1395" s="4">
        <f>IF(L1395&lt;&gt;"",SQRT(3)*G1395*L1395/1000,"")</f>
        <v/>
      </c>
      <c r="AA1395" t="inlineStr">
        <is>
          <t>Source=Copeland 2D/3D/4D/4R/6D/8D/9R compressors (pdf) p68</t>
        </is>
      </c>
      <c r="AB1395" t="inlineStr">
        <is>
          <t>Copeland_RLA_230_460_3ph_60Hz.xlsx</t>
        </is>
      </c>
      <c r="AC1395" t="inlineStr">
        <is>
          <t>Recip_2D-9R</t>
        </is>
      </c>
    </row>
    <row r="1396">
      <c r="A1396" t="inlineStr">
        <is>
          <t>COPELAND</t>
        </is>
      </c>
      <c r="B1396" t="inlineStr">
        <is>
          <t>6DJ3-4000-TSN</t>
        </is>
      </c>
      <c r="D1396" t="inlineStr">
        <is>
          <t>Reciprocating Semi-hermetic</t>
        </is>
      </c>
      <c r="E1396" s="2" t="n">
        <v>3</v>
      </c>
      <c r="F1396" s="2" t="n">
        <v>60</v>
      </c>
      <c r="G1396" s="2" t="n">
        <v>230</v>
      </c>
      <c r="H1396" t="inlineStr">
        <is>
          <t>230</t>
        </is>
      </c>
      <c r="I1396" s="2" t="n">
        <v>230</v>
      </c>
      <c r="J1396" s="2" t="n">
        <v>230</v>
      </c>
      <c r="L1396" s="3" t="n"/>
      <c r="M1396" s="3" t="n"/>
      <c r="N1396" s="3" t="n">
        <v>141.4</v>
      </c>
      <c r="O1396" s="3" t="n"/>
      <c r="P1396" s="3">
        <f>IF(L1396&lt;&gt;"",L1396/1.4,"")</f>
        <v/>
      </c>
      <c r="Q1396" s="3">
        <f>IF(L1396&lt;&gt;"",L1396/1.56,"")</f>
        <v/>
      </c>
      <c r="R1396" s="3">
        <f>IF(M1396&lt;&gt;"",M1396/1.4,"")</f>
        <v/>
      </c>
      <c r="S1396" s="3">
        <f>IF(M1396&lt;&gt;"",M1396/1.56,"")</f>
        <v/>
      </c>
      <c r="T1396" s="3">
        <f>IF(N1396&lt;&gt;"",N1396,IF(O1396&lt;&gt;"",O1396,IF(L1396&lt;&gt;"",L1396/1.56,IF(M1396&lt;&gt;"",M1396/1.56,""))))</f>
        <v/>
      </c>
      <c r="U1396" s="3" t="n">
        <v>594</v>
      </c>
      <c r="V1396" s="3" t="n">
        <v>340</v>
      </c>
      <c r="W1396" s="3" t="n"/>
      <c r="X1396" s="4" t="n"/>
      <c r="Y1396" s="5" t="n">
        <v>0.08500000000000001</v>
      </c>
      <c r="Z1396" s="4">
        <f>IF(L1396&lt;&gt;"",SQRT(3)*G1396*L1396/1000,"")</f>
        <v/>
      </c>
      <c r="AA1396" t="inlineStr">
        <is>
          <t>Source=Copeland 2D/3D/4D/4R/6D/8D/9R compressors (pdf) p68; PWS_RLA=71.0</t>
        </is>
      </c>
      <c r="AB1396" t="inlineStr">
        <is>
          <t>Copeland_RLA_230_460_3ph_60Hz.xlsx</t>
        </is>
      </c>
      <c r="AC1396" t="inlineStr">
        <is>
          <t>Recip_2D-9R</t>
        </is>
      </c>
    </row>
    <row r="1397">
      <c r="A1397" t="inlineStr">
        <is>
          <t>COPELAND</t>
        </is>
      </c>
      <c r="B1397" t="inlineStr">
        <is>
          <t>6DJ3-4000-TSN</t>
        </is>
      </c>
      <c r="D1397" t="inlineStr">
        <is>
          <t>Reciprocating Semi-hermetic</t>
        </is>
      </c>
      <c r="E1397" s="2" t="n">
        <v>3</v>
      </c>
      <c r="F1397" s="2" t="n">
        <v>60</v>
      </c>
      <c r="G1397" s="2" t="n">
        <v>460</v>
      </c>
      <c r="H1397" t="inlineStr">
        <is>
          <t>460</t>
        </is>
      </c>
      <c r="I1397" s="2" t="n">
        <v>460</v>
      </c>
      <c r="J1397" s="2" t="n">
        <v>460</v>
      </c>
      <c r="L1397" s="3" t="n"/>
      <c r="M1397" s="3" t="n"/>
      <c r="N1397" s="3" t="n">
        <v>70.7</v>
      </c>
      <c r="O1397" s="3" t="n"/>
      <c r="P1397" s="3">
        <f>IF(L1397&lt;&gt;"",L1397/1.4,"")</f>
        <v/>
      </c>
      <c r="Q1397" s="3">
        <f>IF(L1397&lt;&gt;"",L1397/1.56,"")</f>
        <v/>
      </c>
      <c r="R1397" s="3">
        <f>IF(M1397&lt;&gt;"",M1397/1.4,"")</f>
        <v/>
      </c>
      <c r="S1397" s="3">
        <f>IF(M1397&lt;&gt;"",M1397/1.56,"")</f>
        <v/>
      </c>
      <c r="T1397" s="3">
        <f>IF(N1397&lt;&gt;"",N1397,IF(O1397&lt;&gt;"",O1397,IF(L1397&lt;&gt;"",L1397/1.56,IF(M1397&lt;&gt;"",M1397/1.56,""))))</f>
        <v/>
      </c>
      <c r="U1397" s="3" t="n">
        <v>297</v>
      </c>
      <c r="V1397" s="3" t="n"/>
      <c r="W1397" s="3" t="n"/>
      <c r="X1397" s="4" t="n"/>
      <c r="Y1397" s="5" t="n">
        <v>0.34</v>
      </c>
      <c r="Z1397" s="4">
        <f>IF(L1397&lt;&gt;"",SQRT(3)*G1397*L1397/1000,"")</f>
        <v/>
      </c>
      <c r="AA1397" t="inlineStr">
        <is>
          <t>Source=Copeland 2D/3D/4D/4R/6D/8D/9R compressors (pdf) p68</t>
        </is>
      </c>
      <c r="AB1397" t="inlineStr">
        <is>
          <t>Copeland_RLA_230_460_3ph_60Hz.xlsx</t>
        </is>
      </c>
      <c r="AC1397" t="inlineStr">
        <is>
          <t>Recip_2D-9R</t>
        </is>
      </c>
    </row>
    <row r="1398">
      <c r="A1398" t="inlineStr">
        <is>
          <t>COPELAND</t>
        </is>
      </c>
      <c r="B1398" t="inlineStr">
        <is>
          <t>6DJ3-4000-TXN</t>
        </is>
      </c>
      <c r="D1398" t="inlineStr">
        <is>
          <t>Reciprocating Semi-hermetic</t>
        </is>
      </c>
      <c r="E1398" s="2" t="n">
        <v>3</v>
      </c>
      <c r="F1398" s="2" t="n">
        <v>60</v>
      </c>
      <c r="G1398" s="2" t="n">
        <v>230</v>
      </c>
      <c r="H1398" t="inlineStr">
        <is>
          <t>230</t>
        </is>
      </c>
      <c r="I1398" s="2" t="n">
        <v>230</v>
      </c>
      <c r="J1398" s="2" t="n">
        <v>230</v>
      </c>
      <c r="L1398" s="3" t="n"/>
      <c r="M1398" s="3" t="n"/>
      <c r="N1398" s="3" t="n"/>
      <c r="O1398" s="3" t="n"/>
      <c r="P1398" s="3">
        <f>IF(L1398&lt;&gt;"",L1398/1.4,"")</f>
        <v/>
      </c>
      <c r="Q1398" s="3">
        <f>IF(L1398&lt;&gt;"",L1398/1.56,"")</f>
        <v/>
      </c>
      <c r="R1398" s="3">
        <f>IF(M1398&lt;&gt;"",M1398/1.4,"")</f>
        <v/>
      </c>
      <c r="S1398" s="3">
        <f>IF(M1398&lt;&gt;"",M1398/1.56,"")</f>
        <v/>
      </c>
      <c r="T1398" s="3">
        <f>IF(N1398&lt;&gt;"",N1398,IF(O1398&lt;&gt;"",O1398,IF(L1398&lt;&gt;"",L1398/1.56,IF(M1398&lt;&gt;"",M1398/1.56,""))))</f>
        <v/>
      </c>
      <c r="U1398" s="3" t="n">
        <v>594</v>
      </c>
      <c r="V1398" s="3" t="n">
        <v>340</v>
      </c>
      <c r="W1398" s="3" t="n"/>
      <c r="X1398" s="4" t="n"/>
      <c r="Y1398" s="5" t="n">
        <v>0.08500000000000001</v>
      </c>
      <c r="Z1398" s="4">
        <f>IF(L1398&lt;&gt;"",SQRT(3)*G1398*L1398/1000,"")</f>
        <v/>
      </c>
      <c r="AA1398" t="inlineStr">
        <is>
          <t>Source=Copeland 2D/3D/4D/4R/6D/8D/9R compressors (pdf) p68</t>
        </is>
      </c>
      <c r="AB1398" t="inlineStr">
        <is>
          <t>Copeland_RLA_230_460_3ph_60Hz.xlsx</t>
        </is>
      </c>
      <c r="AC1398" t="inlineStr">
        <is>
          <t>Recip_2D-9R</t>
        </is>
      </c>
    </row>
    <row r="1399">
      <c r="A1399" t="inlineStr">
        <is>
          <t>COPELAND</t>
        </is>
      </c>
      <c r="B1399" t="inlineStr">
        <is>
          <t>6DJ3-4000-TXN</t>
        </is>
      </c>
      <c r="D1399" t="inlineStr">
        <is>
          <t>Reciprocating Semi-hermetic</t>
        </is>
      </c>
      <c r="E1399" s="2" t="n">
        <v>3</v>
      </c>
      <c r="F1399" s="2" t="n">
        <v>60</v>
      </c>
      <c r="G1399" s="2" t="n">
        <v>460</v>
      </c>
      <c r="H1399" t="inlineStr">
        <is>
          <t>460</t>
        </is>
      </c>
      <c r="I1399" s="2" t="n">
        <v>460</v>
      </c>
      <c r="J1399" s="2" t="n">
        <v>460</v>
      </c>
      <c r="L1399" s="3" t="n"/>
      <c r="M1399" s="3" t="n"/>
      <c r="N1399" s="3" t="n"/>
      <c r="O1399" s="3" t="n"/>
      <c r="P1399" s="3">
        <f>IF(L1399&lt;&gt;"",L1399/1.4,"")</f>
        <v/>
      </c>
      <c r="Q1399" s="3">
        <f>IF(L1399&lt;&gt;"",L1399/1.56,"")</f>
        <v/>
      </c>
      <c r="R1399" s="3">
        <f>IF(M1399&lt;&gt;"",M1399/1.4,"")</f>
        <v/>
      </c>
      <c r="S1399" s="3">
        <f>IF(M1399&lt;&gt;"",M1399/1.56,"")</f>
        <v/>
      </c>
      <c r="T1399" s="3">
        <f>IF(N1399&lt;&gt;"",N1399,IF(O1399&lt;&gt;"",O1399,IF(L1399&lt;&gt;"",L1399/1.56,IF(M1399&lt;&gt;"",M1399/1.56,""))))</f>
        <v/>
      </c>
      <c r="U1399" s="3" t="n">
        <v>297</v>
      </c>
      <c r="V1399" s="3" t="n"/>
      <c r="W1399" s="3" t="n"/>
      <c r="X1399" s="4" t="n"/>
      <c r="Y1399" s="5" t="n">
        <v>0.34</v>
      </c>
      <c r="Z1399" s="4">
        <f>IF(L1399&lt;&gt;"",SQRT(3)*G1399*L1399/1000,"")</f>
        <v/>
      </c>
      <c r="AA1399" t="inlineStr">
        <is>
          <t>Source=Copeland 2D/3D/4D/4R/6D/8D/9R compressors (pdf) p68</t>
        </is>
      </c>
      <c r="AB1399" t="inlineStr">
        <is>
          <t>Copeland_RLA_230_460_3ph_60Hz.xlsx</t>
        </is>
      </c>
      <c r="AC1399" t="inlineStr">
        <is>
          <t>Recip_2D-9R</t>
        </is>
      </c>
    </row>
    <row r="1400">
      <c r="A1400" t="inlineStr">
        <is>
          <t>COPELAND</t>
        </is>
      </c>
      <c r="B1400" t="inlineStr">
        <is>
          <t>6DJ3-400E-FSD</t>
        </is>
      </c>
      <c r="D1400" t="inlineStr">
        <is>
          <t>Reciprocating Semi-hermetic</t>
        </is>
      </c>
      <c r="E1400" s="2" t="n">
        <v>3</v>
      </c>
      <c r="F1400" s="2" t="n">
        <v>60</v>
      </c>
      <c r="G1400" s="2" t="n">
        <v>460</v>
      </c>
      <c r="H1400" t="inlineStr">
        <is>
          <t>460</t>
        </is>
      </c>
      <c r="I1400" s="2" t="n">
        <v>460</v>
      </c>
      <c r="J1400" s="2" t="n">
        <v>460</v>
      </c>
      <c r="L1400" s="3" t="n"/>
      <c r="M1400" s="3" t="n"/>
      <c r="N1400" s="3" t="n">
        <v>70</v>
      </c>
      <c r="O1400" s="3" t="n"/>
      <c r="P1400" s="3">
        <f>IF(L1400&lt;&gt;"",L1400/1.4,"")</f>
        <v/>
      </c>
      <c r="Q1400" s="3">
        <f>IF(L1400&lt;&gt;"",L1400/1.56,"")</f>
        <v/>
      </c>
      <c r="R1400" s="3">
        <f>IF(M1400&lt;&gt;"",M1400/1.4,"")</f>
        <v/>
      </c>
      <c r="S1400" s="3">
        <f>IF(M1400&lt;&gt;"",M1400/1.56,"")</f>
        <v/>
      </c>
      <c r="T1400" s="3">
        <f>IF(N1400&lt;&gt;"",N1400,IF(O1400&lt;&gt;"",O1400,IF(L1400&lt;&gt;"",L1400/1.56,IF(M1400&lt;&gt;"",M1400/1.56,""))))</f>
        <v/>
      </c>
      <c r="U1400" s="3" t="n">
        <v>315</v>
      </c>
      <c r="V1400" s="3" t="n">
        <v>195</v>
      </c>
      <c r="W1400" s="3" t="n"/>
      <c r="X1400" s="4" t="n"/>
      <c r="Y1400" s="5" t="n">
        <v>0.32</v>
      </c>
      <c r="Z1400" s="4">
        <f>IF(L1400&lt;&gt;"",SQRT(3)*G1400*L1400/1000,"")</f>
        <v/>
      </c>
      <c r="AA1400" t="inlineStr">
        <is>
          <t>Source=Copeland 2D/3D/4D/4R/6D/8D/9R compressors (pdf) p68; PWS_RLA=35.0</t>
        </is>
      </c>
      <c r="AB1400" t="inlineStr">
        <is>
          <t>Copeland_RLA_230_460_3ph_60Hz.xlsx</t>
        </is>
      </c>
      <c r="AC1400" t="inlineStr">
        <is>
          <t>Recip_2D-9R</t>
        </is>
      </c>
    </row>
    <row r="1401">
      <c r="A1401" t="inlineStr">
        <is>
          <t>COPELAND</t>
        </is>
      </c>
      <c r="B1401" t="inlineStr">
        <is>
          <t>6DJ3-400E-TSN</t>
        </is>
      </c>
      <c r="D1401" t="inlineStr">
        <is>
          <t>Reciprocating Semi-hermetic</t>
        </is>
      </c>
      <c r="E1401" s="2" t="n">
        <v>3</v>
      </c>
      <c r="F1401" s="2" t="n">
        <v>60</v>
      </c>
      <c r="G1401" s="2" t="n">
        <v>230</v>
      </c>
      <c r="H1401" t="inlineStr">
        <is>
          <t>230</t>
        </is>
      </c>
      <c r="I1401" s="2" t="n">
        <v>230</v>
      </c>
      <c r="J1401" s="2" t="n">
        <v>230</v>
      </c>
      <c r="L1401" s="3" t="n"/>
      <c r="M1401" s="3" t="n"/>
      <c r="N1401" s="3" t="n">
        <v>141.4</v>
      </c>
      <c r="O1401" s="3" t="n"/>
      <c r="P1401" s="3">
        <f>IF(L1401&lt;&gt;"",L1401/1.4,"")</f>
        <v/>
      </c>
      <c r="Q1401" s="3">
        <f>IF(L1401&lt;&gt;"",L1401/1.56,"")</f>
        <v/>
      </c>
      <c r="R1401" s="3">
        <f>IF(M1401&lt;&gt;"",M1401/1.4,"")</f>
        <v/>
      </c>
      <c r="S1401" s="3">
        <f>IF(M1401&lt;&gt;"",M1401/1.56,"")</f>
        <v/>
      </c>
      <c r="T1401" s="3">
        <f>IF(N1401&lt;&gt;"",N1401,IF(O1401&lt;&gt;"",O1401,IF(L1401&lt;&gt;"",L1401/1.56,IF(M1401&lt;&gt;"",M1401/1.56,""))))</f>
        <v/>
      </c>
      <c r="U1401" s="3" t="n">
        <v>594</v>
      </c>
      <c r="V1401" s="3" t="n">
        <v>340</v>
      </c>
      <c r="W1401" s="3" t="n"/>
      <c r="X1401" s="4" t="n"/>
      <c r="Y1401" s="5" t="n">
        <v>0.08500000000000001</v>
      </c>
      <c r="Z1401" s="4">
        <f>IF(L1401&lt;&gt;"",SQRT(3)*G1401*L1401/1000,"")</f>
        <v/>
      </c>
      <c r="AA1401" t="inlineStr">
        <is>
          <t>Source=Copeland 2D/3D/4D/4R/6D/8D/9R compressors (pdf) p68; PWS_RLA=71.0</t>
        </is>
      </c>
      <c r="AB1401" t="inlineStr">
        <is>
          <t>Copeland_RLA_230_460_3ph_60Hz.xlsx</t>
        </is>
      </c>
      <c r="AC1401" t="inlineStr">
        <is>
          <t>Recip_2D-9R</t>
        </is>
      </c>
    </row>
    <row r="1402">
      <c r="A1402" t="inlineStr">
        <is>
          <t>COPELAND</t>
        </is>
      </c>
      <c r="B1402" t="inlineStr">
        <is>
          <t>6DJ3-400E-TSN</t>
        </is>
      </c>
      <c r="D1402" t="inlineStr">
        <is>
          <t>Reciprocating Semi-hermetic</t>
        </is>
      </c>
      <c r="E1402" s="2" t="n">
        <v>3</v>
      </c>
      <c r="F1402" s="2" t="n">
        <v>60</v>
      </c>
      <c r="G1402" s="2" t="n">
        <v>460</v>
      </c>
      <c r="H1402" t="inlineStr">
        <is>
          <t>460</t>
        </is>
      </c>
      <c r="I1402" s="2" t="n">
        <v>460</v>
      </c>
      <c r="J1402" s="2" t="n">
        <v>460</v>
      </c>
      <c r="L1402" s="3" t="n"/>
      <c r="M1402" s="3" t="n"/>
      <c r="N1402" s="3" t="n">
        <v>70.7</v>
      </c>
      <c r="O1402" s="3" t="n"/>
      <c r="P1402" s="3">
        <f>IF(L1402&lt;&gt;"",L1402/1.4,"")</f>
        <v/>
      </c>
      <c r="Q1402" s="3">
        <f>IF(L1402&lt;&gt;"",L1402/1.56,"")</f>
        <v/>
      </c>
      <c r="R1402" s="3">
        <f>IF(M1402&lt;&gt;"",M1402/1.4,"")</f>
        <v/>
      </c>
      <c r="S1402" s="3">
        <f>IF(M1402&lt;&gt;"",M1402/1.56,"")</f>
        <v/>
      </c>
      <c r="T1402" s="3">
        <f>IF(N1402&lt;&gt;"",N1402,IF(O1402&lt;&gt;"",O1402,IF(L1402&lt;&gt;"",L1402/1.56,IF(M1402&lt;&gt;"",M1402/1.56,""))))</f>
        <v/>
      </c>
      <c r="U1402" s="3" t="n">
        <v>297</v>
      </c>
      <c r="V1402" s="3" t="n"/>
      <c r="W1402" s="3" t="n"/>
      <c r="X1402" s="4" t="n"/>
      <c r="Y1402" s="5" t="n">
        <v>0.34</v>
      </c>
      <c r="Z1402" s="4">
        <f>IF(L1402&lt;&gt;"",SQRT(3)*G1402*L1402/1000,"")</f>
        <v/>
      </c>
      <c r="AA1402" t="inlineStr">
        <is>
          <t>Source=Copeland 2D/3D/4D/4R/6D/8D/9R compressors (pdf) p68</t>
        </is>
      </c>
      <c r="AB1402" t="inlineStr">
        <is>
          <t>Copeland_RLA_230_460_3ph_60Hz.xlsx</t>
        </is>
      </c>
      <c r="AC1402" t="inlineStr">
        <is>
          <t>Recip_2D-9R</t>
        </is>
      </c>
    </row>
    <row r="1403">
      <c r="A1403" t="inlineStr">
        <is>
          <t>COPELAND</t>
        </is>
      </c>
      <c r="B1403" t="inlineStr">
        <is>
          <t>6DJ3-400L-FSD</t>
        </is>
      </c>
      <c r="D1403" t="inlineStr">
        <is>
          <t>Reciprocating Semi-hermetic</t>
        </is>
      </c>
      <c r="E1403" s="2" t="n">
        <v>3</v>
      </c>
      <c r="F1403" s="2" t="n">
        <v>60</v>
      </c>
      <c r="G1403" s="2" t="n">
        <v>460</v>
      </c>
      <c r="H1403" t="inlineStr">
        <is>
          <t>460</t>
        </is>
      </c>
      <c r="I1403" s="2" t="n">
        <v>460</v>
      </c>
      <c r="J1403" s="2" t="n">
        <v>460</v>
      </c>
      <c r="L1403" s="3" t="n"/>
      <c r="M1403" s="3" t="n"/>
      <c r="N1403" s="3" t="n">
        <v>70</v>
      </c>
      <c r="O1403" s="3" t="n"/>
      <c r="P1403" s="3">
        <f>IF(L1403&lt;&gt;"",L1403/1.4,"")</f>
        <v/>
      </c>
      <c r="Q1403" s="3">
        <f>IF(L1403&lt;&gt;"",L1403/1.56,"")</f>
        <v/>
      </c>
      <c r="R1403" s="3">
        <f>IF(M1403&lt;&gt;"",M1403/1.4,"")</f>
        <v/>
      </c>
      <c r="S1403" s="3">
        <f>IF(M1403&lt;&gt;"",M1403/1.56,"")</f>
        <v/>
      </c>
      <c r="T1403" s="3">
        <f>IF(N1403&lt;&gt;"",N1403,IF(O1403&lt;&gt;"",O1403,IF(L1403&lt;&gt;"",L1403/1.56,IF(M1403&lt;&gt;"",M1403/1.56,""))))</f>
        <v/>
      </c>
      <c r="U1403" s="3" t="n">
        <v>315</v>
      </c>
      <c r="V1403" s="3" t="n">
        <v>195</v>
      </c>
      <c r="W1403" s="3" t="n"/>
      <c r="X1403" s="4" t="n"/>
      <c r="Y1403" s="5" t="n">
        <v>0.32</v>
      </c>
      <c r="Z1403" s="4">
        <f>IF(L1403&lt;&gt;"",SQRT(3)*G1403*L1403/1000,"")</f>
        <v/>
      </c>
      <c r="AA1403" t="inlineStr">
        <is>
          <t>Source=Copeland 2D/3D/4D/4R/6D/8D/9R compressors (pdf) p68; PWS_RLA=35.0</t>
        </is>
      </c>
      <c r="AB1403" t="inlineStr">
        <is>
          <t>Copeland_RLA_230_460_3ph_60Hz.xlsx</t>
        </is>
      </c>
      <c r="AC1403" t="inlineStr">
        <is>
          <t>Recip_2D-9R</t>
        </is>
      </c>
    </row>
    <row r="1404">
      <c r="A1404" t="inlineStr">
        <is>
          <t>COPELAND</t>
        </is>
      </c>
      <c r="B1404" t="inlineStr">
        <is>
          <t>6DJ3-400L-TSN</t>
        </is>
      </c>
      <c r="D1404" t="inlineStr">
        <is>
          <t>Reciprocating Semi-hermetic</t>
        </is>
      </c>
      <c r="E1404" s="2" t="n">
        <v>3</v>
      </c>
      <c r="F1404" s="2" t="n">
        <v>60</v>
      </c>
      <c r="G1404" s="2" t="n">
        <v>230</v>
      </c>
      <c r="H1404" t="inlineStr">
        <is>
          <t>230</t>
        </is>
      </c>
      <c r="I1404" s="2" t="n">
        <v>230</v>
      </c>
      <c r="J1404" s="2" t="n">
        <v>230</v>
      </c>
      <c r="L1404" s="3" t="n"/>
      <c r="M1404" s="3" t="n"/>
      <c r="N1404" s="3" t="n">
        <v>141.4</v>
      </c>
      <c r="O1404" s="3" t="n"/>
      <c r="P1404" s="3">
        <f>IF(L1404&lt;&gt;"",L1404/1.4,"")</f>
        <v/>
      </c>
      <c r="Q1404" s="3">
        <f>IF(L1404&lt;&gt;"",L1404/1.56,"")</f>
        <v/>
      </c>
      <c r="R1404" s="3">
        <f>IF(M1404&lt;&gt;"",M1404/1.4,"")</f>
        <v/>
      </c>
      <c r="S1404" s="3">
        <f>IF(M1404&lt;&gt;"",M1404/1.56,"")</f>
        <v/>
      </c>
      <c r="T1404" s="3">
        <f>IF(N1404&lt;&gt;"",N1404,IF(O1404&lt;&gt;"",O1404,IF(L1404&lt;&gt;"",L1404/1.56,IF(M1404&lt;&gt;"",M1404/1.56,""))))</f>
        <v/>
      </c>
      <c r="U1404" s="3" t="n">
        <v>594</v>
      </c>
      <c r="V1404" s="3" t="n">
        <v>340</v>
      </c>
      <c r="W1404" s="3" t="n"/>
      <c r="X1404" s="4" t="n"/>
      <c r="Y1404" s="5" t="n">
        <v>0.08500000000000001</v>
      </c>
      <c r="Z1404" s="4">
        <f>IF(L1404&lt;&gt;"",SQRT(3)*G1404*L1404/1000,"")</f>
        <v/>
      </c>
      <c r="AA1404" t="inlineStr">
        <is>
          <t>Source=Copeland 2D/3D/4D/4R/6D/8D/9R compressors (pdf) p68; PWS_RLA=71.0</t>
        </is>
      </c>
      <c r="AB1404" t="inlineStr">
        <is>
          <t>Copeland_RLA_230_460_3ph_60Hz.xlsx</t>
        </is>
      </c>
      <c r="AC1404" t="inlineStr">
        <is>
          <t>Recip_2D-9R</t>
        </is>
      </c>
    </row>
    <row r="1405">
      <c r="A1405" t="inlineStr">
        <is>
          <t>COPELAND</t>
        </is>
      </c>
      <c r="B1405" t="inlineStr">
        <is>
          <t>6DJ3-400L-TSN</t>
        </is>
      </c>
      <c r="D1405" t="inlineStr">
        <is>
          <t>Reciprocating Semi-hermetic</t>
        </is>
      </c>
      <c r="E1405" s="2" t="n">
        <v>3</v>
      </c>
      <c r="F1405" s="2" t="n">
        <v>60</v>
      </c>
      <c r="G1405" s="2" t="n">
        <v>460</v>
      </c>
      <c r="H1405" t="inlineStr">
        <is>
          <t>460</t>
        </is>
      </c>
      <c r="I1405" s="2" t="n">
        <v>460</v>
      </c>
      <c r="J1405" s="2" t="n">
        <v>460</v>
      </c>
      <c r="L1405" s="3" t="n"/>
      <c r="M1405" s="3" t="n"/>
      <c r="N1405" s="3" t="n">
        <v>70.7</v>
      </c>
      <c r="O1405" s="3" t="n"/>
      <c r="P1405" s="3">
        <f>IF(L1405&lt;&gt;"",L1405/1.4,"")</f>
        <v/>
      </c>
      <c r="Q1405" s="3">
        <f>IF(L1405&lt;&gt;"",L1405/1.56,"")</f>
        <v/>
      </c>
      <c r="R1405" s="3">
        <f>IF(M1405&lt;&gt;"",M1405/1.4,"")</f>
        <v/>
      </c>
      <c r="S1405" s="3">
        <f>IF(M1405&lt;&gt;"",M1405/1.56,"")</f>
        <v/>
      </c>
      <c r="T1405" s="3">
        <f>IF(N1405&lt;&gt;"",N1405,IF(O1405&lt;&gt;"",O1405,IF(L1405&lt;&gt;"",L1405/1.56,IF(M1405&lt;&gt;"",M1405/1.56,""))))</f>
        <v/>
      </c>
      <c r="U1405" s="3" t="n">
        <v>297</v>
      </c>
      <c r="V1405" s="3" t="n"/>
      <c r="W1405" s="3" t="n"/>
      <c r="X1405" s="4" t="n"/>
      <c r="Y1405" s="5" t="n">
        <v>0.34</v>
      </c>
      <c r="Z1405" s="4">
        <f>IF(L1405&lt;&gt;"",SQRT(3)*G1405*L1405/1000,"")</f>
        <v/>
      </c>
      <c r="AA1405" t="inlineStr">
        <is>
          <t>Source=Copeland 2D/3D/4D/4R/6D/8D/9R compressors (pdf) p68</t>
        </is>
      </c>
      <c r="AB1405" t="inlineStr">
        <is>
          <t>Copeland_RLA_230_460_3ph_60Hz.xlsx</t>
        </is>
      </c>
      <c r="AC1405" t="inlineStr">
        <is>
          <t>Recip_2D-9R</t>
        </is>
      </c>
    </row>
    <row r="1406">
      <c r="A1406" t="inlineStr">
        <is>
          <t>COPELAND</t>
        </is>
      </c>
      <c r="B1406" t="inlineStr">
        <is>
          <t>6DJ3A300E-TSK</t>
        </is>
      </c>
      <c r="D1406" t="inlineStr">
        <is>
          <t>Reciprocating Semi-hermetic</t>
        </is>
      </c>
      <c r="E1406" s="2" t="n">
        <v>3</v>
      </c>
      <c r="F1406" s="2" t="n">
        <v>60</v>
      </c>
      <c r="G1406" s="2" t="n">
        <v>230</v>
      </c>
      <c r="H1406" t="inlineStr">
        <is>
          <t>208/230</t>
        </is>
      </c>
      <c r="I1406" s="2" t="n">
        <v>208</v>
      </c>
      <c r="J1406" s="2" t="n">
        <v>230</v>
      </c>
      <c r="L1406" s="3" t="n"/>
      <c r="M1406" s="3" t="n"/>
      <c r="N1406" s="3" t="n">
        <v>100</v>
      </c>
      <c r="O1406" s="3" t="n"/>
      <c r="P1406" s="3">
        <f>IF(L1406&lt;&gt;"",L1406/1.4,"")</f>
        <v/>
      </c>
      <c r="Q1406" s="3">
        <f>IF(L1406&lt;&gt;"",L1406/1.56,"")</f>
        <v/>
      </c>
      <c r="R1406" s="3">
        <f>IF(M1406&lt;&gt;"",M1406/1.4,"")</f>
        <v/>
      </c>
      <c r="S1406" s="3">
        <f>IF(M1406&lt;&gt;"",M1406/1.56,"")</f>
        <v/>
      </c>
      <c r="T1406" s="3">
        <f>IF(N1406&lt;&gt;"",N1406,IF(O1406&lt;&gt;"",O1406,IF(L1406&lt;&gt;"",L1406/1.56,IF(M1406&lt;&gt;"",M1406/1.56,""))))</f>
        <v/>
      </c>
      <c r="U1406" s="3" t="n">
        <v>470</v>
      </c>
      <c r="V1406" s="3" t="n">
        <v>292</v>
      </c>
      <c r="W1406" s="3" t="n"/>
      <c r="X1406" s="4" t="n"/>
      <c r="Y1406" s="5" t="n">
        <v>0.111</v>
      </c>
      <c r="Z1406" s="4">
        <f>IF(L1406&lt;&gt;"",SQRT(3)*G1406*L1406/1000,"")</f>
        <v/>
      </c>
      <c r="AA1406" t="inlineStr">
        <is>
          <t>Source=Copeland 2D/3D/4D/4R/6D/8D/9R compressors (pdf) p68; PWS_RLA=50.0</t>
        </is>
      </c>
      <c r="AB1406" t="inlineStr">
        <is>
          <t>Copeland_RLA_230_460_3ph_60Hz.xlsx</t>
        </is>
      </c>
      <c r="AC1406" t="inlineStr">
        <is>
          <t>Recip_2D-9R</t>
        </is>
      </c>
    </row>
    <row r="1407">
      <c r="A1407" t="inlineStr">
        <is>
          <t>COPELAND</t>
        </is>
      </c>
      <c r="B1407" t="inlineStr">
        <is>
          <t>6DJ3A300E-TSK</t>
        </is>
      </c>
      <c r="D1407" t="inlineStr">
        <is>
          <t>Reciprocating Semi-hermetic</t>
        </is>
      </c>
      <c r="E1407" s="2" t="n">
        <v>3</v>
      </c>
      <c r="F1407" s="2" t="n">
        <v>60</v>
      </c>
      <c r="G1407" s="2" t="n">
        <v>460</v>
      </c>
      <c r="H1407" t="inlineStr">
        <is>
          <t>460</t>
        </is>
      </c>
      <c r="I1407" s="2" t="n">
        <v>460</v>
      </c>
      <c r="J1407" s="2" t="n">
        <v>460</v>
      </c>
      <c r="L1407" s="3" t="n"/>
      <c r="M1407" s="3" t="n"/>
      <c r="N1407" s="3" t="n">
        <v>50</v>
      </c>
      <c r="O1407" s="3" t="n"/>
      <c r="P1407" s="3">
        <f>IF(L1407&lt;&gt;"",L1407/1.4,"")</f>
        <v/>
      </c>
      <c r="Q1407" s="3">
        <f>IF(L1407&lt;&gt;"",L1407/1.56,"")</f>
        <v/>
      </c>
      <c r="R1407" s="3">
        <f>IF(M1407&lt;&gt;"",M1407/1.4,"")</f>
        <v/>
      </c>
      <c r="S1407" s="3">
        <f>IF(M1407&lt;&gt;"",M1407/1.56,"")</f>
        <v/>
      </c>
      <c r="T1407" s="3">
        <f>IF(N1407&lt;&gt;"",N1407,IF(O1407&lt;&gt;"",O1407,IF(L1407&lt;&gt;"",L1407/1.56,IF(M1407&lt;&gt;"",M1407/1.56,""))))</f>
        <v/>
      </c>
      <c r="U1407" s="3" t="n">
        <v>235</v>
      </c>
      <c r="V1407" s="3" t="n"/>
      <c r="W1407" s="3" t="n"/>
      <c r="X1407" s="4" t="n"/>
      <c r="Y1407" s="5" t="n">
        <v>0.444</v>
      </c>
      <c r="Z1407" s="4">
        <f>IF(L1407&lt;&gt;"",SQRT(3)*G1407*L1407/1000,"")</f>
        <v/>
      </c>
      <c r="AA1407" t="inlineStr">
        <is>
          <t>Source=Copeland 2D/3D/4D/4R/6D/8D/9R compressors (pdf) p68</t>
        </is>
      </c>
      <c r="AB1407" t="inlineStr">
        <is>
          <t>Copeland_RLA_230_460_3ph_60Hz.xlsx</t>
        </is>
      </c>
      <c r="AC1407" t="inlineStr">
        <is>
          <t>Recip_2D-9R</t>
        </is>
      </c>
    </row>
    <row r="1408">
      <c r="A1408" t="inlineStr">
        <is>
          <t>COPELAND</t>
        </is>
      </c>
      <c r="B1408" t="inlineStr">
        <is>
          <t>6DJ3A300L-TSK</t>
        </is>
      </c>
      <c r="D1408" t="inlineStr">
        <is>
          <t>Reciprocating Semi-hermetic</t>
        </is>
      </c>
      <c r="E1408" s="2" t="n">
        <v>3</v>
      </c>
      <c r="F1408" s="2" t="n">
        <v>60</v>
      </c>
      <c r="G1408" s="2" t="n">
        <v>230</v>
      </c>
      <c r="H1408" t="inlineStr">
        <is>
          <t>208/230</t>
        </is>
      </c>
      <c r="I1408" s="2" t="n">
        <v>208</v>
      </c>
      <c r="J1408" s="2" t="n">
        <v>230</v>
      </c>
      <c r="L1408" s="3" t="n"/>
      <c r="M1408" s="3" t="n"/>
      <c r="N1408" s="3" t="n">
        <v>100</v>
      </c>
      <c r="O1408" s="3" t="n"/>
      <c r="P1408" s="3">
        <f>IF(L1408&lt;&gt;"",L1408/1.4,"")</f>
        <v/>
      </c>
      <c r="Q1408" s="3">
        <f>IF(L1408&lt;&gt;"",L1408/1.56,"")</f>
        <v/>
      </c>
      <c r="R1408" s="3">
        <f>IF(M1408&lt;&gt;"",M1408/1.4,"")</f>
        <v/>
      </c>
      <c r="S1408" s="3">
        <f>IF(M1408&lt;&gt;"",M1408/1.56,"")</f>
        <v/>
      </c>
      <c r="T1408" s="3">
        <f>IF(N1408&lt;&gt;"",N1408,IF(O1408&lt;&gt;"",O1408,IF(L1408&lt;&gt;"",L1408/1.56,IF(M1408&lt;&gt;"",M1408/1.56,""))))</f>
        <v/>
      </c>
      <c r="U1408" s="3" t="n">
        <v>470</v>
      </c>
      <c r="V1408" s="3" t="n">
        <v>292</v>
      </c>
      <c r="W1408" s="3" t="n"/>
      <c r="X1408" s="4" t="n"/>
      <c r="Y1408" s="5" t="n">
        <v>0.111</v>
      </c>
      <c r="Z1408" s="4">
        <f>IF(L1408&lt;&gt;"",SQRT(3)*G1408*L1408/1000,"")</f>
        <v/>
      </c>
      <c r="AA1408" t="inlineStr">
        <is>
          <t>Source=Copeland 2D/3D/4D/4R/6D/8D/9R compressors (pdf) p68; PWS_RLA=50.0</t>
        </is>
      </c>
      <c r="AB1408" t="inlineStr">
        <is>
          <t>Copeland_RLA_230_460_3ph_60Hz.xlsx</t>
        </is>
      </c>
      <c r="AC1408" t="inlineStr">
        <is>
          <t>Recip_2D-9R</t>
        </is>
      </c>
    </row>
    <row r="1409">
      <c r="A1409" t="inlineStr">
        <is>
          <t>COPELAND</t>
        </is>
      </c>
      <c r="B1409" t="inlineStr">
        <is>
          <t>6DJ3A300L-TSK</t>
        </is>
      </c>
      <c r="D1409" t="inlineStr">
        <is>
          <t>Reciprocating Semi-hermetic</t>
        </is>
      </c>
      <c r="E1409" s="2" t="n">
        <v>3</v>
      </c>
      <c r="F1409" s="2" t="n">
        <v>60</v>
      </c>
      <c r="G1409" s="2" t="n">
        <v>460</v>
      </c>
      <c r="H1409" t="inlineStr">
        <is>
          <t>460</t>
        </is>
      </c>
      <c r="I1409" s="2" t="n">
        <v>460</v>
      </c>
      <c r="J1409" s="2" t="n">
        <v>460</v>
      </c>
      <c r="L1409" s="3" t="n"/>
      <c r="M1409" s="3" t="n"/>
      <c r="N1409" s="3" t="n">
        <v>50</v>
      </c>
      <c r="O1409" s="3" t="n"/>
      <c r="P1409" s="3">
        <f>IF(L1409&lt;&gt;"",L1409/1.4,"")</f>
        <v/>
      </c>
      <c r="Q1409" s="3">
        <f>IF(L1409&lt;&gt;"",L1409/1.56,"")</f>
        <v/>
      </c>
      <c r="R1409" s="3">
        <f>IF(M1409&lt;&gt;"",M1409/1.4,"")</f>
        <v/>
      </c>
      <c r="S1409" s="3">
        <f>IF(M1409&lt;&gt;"",M1409/1.56,"")</f>
        <v/>
      </c>
      <c r="T1409" s="3">
        <f>IF(N1409&lt;&gt;"",N1409,IF(O1409&lt;&gt;"",O1409,IF(L1409&lt;&gt;"",L1409/1.56,IF(M1409&lt;&gt;"",M1409/1.56,""))))</f>
        <v/>
      </c>
      <c r="U1409" s="3" t="n">
        <v>235</v>
      </c>
      <c r="V1409" s="3" t="n"/>
      <c r="W1409" s="3" t="n"/>
      <c r="X1409" s="4" t="n"/>
      <c r="Y1409" s="5" t="n">
        <v>0.444</v>
      </c>
      <c r="Z1409" s="4">
        <f>IF(L1409&lt;&gt;"",SQRT(3)*G1409*L1409/1000,"")</f>
        <v/>
      </c>
      <c r="AA1409" t="inlineStr">
        <is>
          <t>Source=Copeland 2D/3D/4D/4R/6D/8D/9R compressors (pdf) p69</t>
        </is>
      </c>
      <c r="AB1409" t="inlineStr">
        <is>
          <t>Copeland_RLA_230_460_3ph_60Hz.xlsx</t>
        </is>
      </c>
      <c r="AC1409" t="inlineStr">
        <is>
          <t>Recip_2D-9R</t>
        </is>
      </c>
    </row>
    <row r="1410">
      <c r="A1410" t="inlineStr">
        <is>
          <t>COPELAND</t>
        </is>
      </c>
      <c r="B1410" t="inlineStr">
        <is>
          <t>6DJ3A4000-FSD</t>
        </is>
      </c>
      <c r="D1410" t="inlineStr">
        <is>
          <t>Reciprocating Semi-hermetic</t>
        </is>
      </c>
      <c r="E1410" s="2" t="n">
        <v>3</v>
      </c>
      <c r="F1410" s="2" t="n">
        <v>60</v>
      </c>
      <c r="G1410" s="2" t="n">
        <v>460</v>
      </c>
      <c r="H1410" t="inlineStr">
        <is>
          <t>460</t>
        </is>
      </c>
      <c r="I1410" s="2" t="n">
        <v>460</v>
      </c>
      <c r="J1410" s="2" t="n">
        <v>460</v>
      </c>
      <c r="L1410" s="3" t="n"/>
      <c r="M1410" s="3" t="n"/>
      <c r="N1410" s="3" t="n">
        <v>70</v>
      </c>
      <c r="O1410" s="3" t="n"/>
      <c r="P1410" s="3">
        <f>IF(L1410&lt;&gt;"",L1410/1.4,"")</f>
        <v/>
      </c>
      <c r="Q1410" s="3">
        <f>IF(L1410&lt;&gt;"",L1410/1.56,"")</f>
        <v/>
      </c>
      <c r="R1410" s="3">
        <f>IF(M1410&lt;&gt;"",M1410/1.4,"")</f>
        <v/>
      </c>
      <c r="S1410" s="3">
        <f>IF(M1410&lt;&gt;"",M1410/1.56,"")</f>
        <v/>
      </c>
      <c r="T1410" s="3">
        <f>IF(N1410&lt;&gt;"",N1410,IF(O1410&lt;&gt;"",O1410,IF(L1410&lt;&gt;"",L1410/1.56,IF(M1410&lt;&gt;"",M1410/1.56,""))))</f>
        <v/>
      </c>
      <c r="U1410" s="3" t="n">
        <v>315</v>
      </c>
      <c r="V1410" s="3" t="n">
        <v>195</v>
      </c>
      <c r="W1410" s="3" t="n"/>
      <c r="X1410" s="4" t="n"/>
      <c r="Y1410" s="5" t="n">
        <v>0.32</v>
      </c>
      <c r="Z1410" s="4">
        <f>IF(L1410&lt;&gt;"",SQRT(3)*G1410*L1410/1000,"")</f>
        <v/>
      </c>
      <c r="AA1410" t="inlineStr">
        <is>
          <t>Source=Copeland 2D/3D/4D/4R/6D/8D/9R compressors (pdf) p69; PWS_RLA=35.0</t>
        </is>
      </c>
      <c r="AB1410" t="inlineStr">
        <is>
          <t>Copeland_RLA_230_460_3ph_60Hz.xlsx</t>
        </is>
      </c>
      <c r="AC1410" t="inlineStr">
        <is>
          <t>Recip_2D-9R</t>
        </is>
      </c>
    </row>
    <row r="1411">
      <c r="A1411" t="inlineStr">
        <is>
          <t>COPELAND</t>
        </is>
      </c>
      <c r="B1411" t="inlineStr">
        <is>
          <t>6DJ3A4000-FXD</t>
        </is>
      </c>
      <c r="D1411" t="inlineStr">
        <is>
          <t>Reciprocating Semi-hermetic</t>
        </is>
      </c>
      <c r="E1411" s="2" t="n">
        <v>3</v>
      </c>
      <c r="F1411" s="2" t="n">
        <v>60</v>
      </c>
      <c r="G1411" s="2" t="n">
        <v>460</v>
      </c>
      <c r="H1411" t="inlineStr">
        <is>
          <t>460</t>
        </is>
      </c>
      <c r="I1411" s="2" t="n">
        <v>460</v>
      </c>
      <c r="J1411" s="2" t="n">
        <v>460</v>
      </c>
      <c r="L1411" s="3" t="n"/>
      <c r="M1411" s="3" t="n"/>
      <c r="N1411" s="3" t="n"/>
      <c r="O1411" s="3" t="n"/>
      <c r="P1411" s="3">
        <f>IF(L1411&lt;&gt;"",L1411/1.4,"")</f>
        <v/>
      </c>
      <c r="Q1411" s="3">
        <f>IF(L1411&lt;&gt;"",L1411/1.56,"")</f>
        <v/>
      </c>
      <c r="R1411" s="3">
        <f>IF(M1411&lt;&gt;"",M1411/1.4,"")</f>
        <v/>
      </c>
      <c r="S1411" s="3">
        <f>IF(M1411&lt;&gt;"",M1411/1.56,"")</f>
        <v/>
      </c>
      <c r="T1411" s="3">
        <f>IF(N1411&lt;&gt;"",N1411,IF(O1411&lt;&gt;"",O1411,IF(L1411&lt;&gt;"",L1411/1.56,IF(M1411&lt;&gt;"",M1411/1.56,""))))</f>
        <v/>
      </c>
      <c r="U1411" s="3" t="n">
        <v>315</v>
      </c>
      <c r="V1411" s="3" t="n">
        <v>195</v>
      </c>
      <c r="W1411" s="3" t="n"/>
      <c r="X1411" s="4" t="n"/>
      <c r="Y1411" s="5" t="n">
        <v>0.32</v>
      </c>
      <c r="Z1411" s="4">
        <f>IF(L1411&lt;&gt;"",SQRT(3)*G1411*L1411/1000,"")</f>
        <v/>
      </c>
      <c r="AA1411" t="inlineStr">
        <is>
          <t>Source=Copeland 2D/3D/4D/4R/6D/8D/9R compressors (pdf) p69</t>
        </is>
      </c>
      <c r="AB1411" t="inlineStr">
        <is>
          <t>Copeland_RLA_230_460_3ph_60Hz.xlsx</t>
        </is>
      </c>
      <c r="AC1411" t="inlineStr">
        <is>
          <t>Recip_2D-9R</t>
        </is>
      </c>
    </row>
    <row r="1412">
      <c r="A1412" t="inlineStr">
        <is>
          <t>COPELAND</t>
        </is>
      </c>
      <c r="B1412" t="inlineStr">
        <is>
          <t>6DJ3A4000-TSN</t>
        </is>
      </c>
      <c r="D1412" t="inlineStr">
        <is>
          <t>Reciprocating Semi-hermetic</t>
        </is>
      </c>
      <c r="E1412" s="2" t="n">
        <v>3</v>
      </c>
      <c r="F1412" s="2" t="n">
        <v>60</v>
      </c>
      <c r="G1412" s="2" t="n">
        <v>230</v>
      </c>
      <c r="H1412" t="inlineStr">
        <is>
          <t>230</t>
        </is>
      </c>
      <c r="I1412" s="2" t="n">
        <v>230</v>
      </c>
      <c r="J1412" s="2" t="n">
        <v>230</v>
      </c>
      <c r="L1412" s="3" t="n"/>
      <c r="M1412" s="3" t="n"/>
      <c r="N1412" s="3" t="n">
        <v>141.4</v>
      </c>
      <c r="O1412" s="3" t="n"/>
      <c r="P1412" s="3">
        <f>IF(L1412&lt;&gt;"",L1412/1.4,"")</f>
        <v/>
      </c>
      <c r="Q1412" s="3">
        <f>IF(L1412&lt;&gt;"",L1412/1.56,"")</f>
        <v/>
      </c>
      <c r="R1412" s="3">
        <f>IF(M1412&lt;&gt;"",M1412/1.4,"")</f>
        <v/>
      </c>
      <c r="S1412" s="3">
        <f>IF(M1412&lt;&gt;"",M1412/1.56,"")</f>
        <v/>
      </c>
      <c r="T1412" s="3">
        <f>IF(N1412&lt;&gt;"",N1412,IF(O1412&lt;&gt;"",O1412,IF(L1412&lt;&gt;"",L1412/1.56,IF(M1412&lt;&gt;"",M1412/1.56,""))))</f>
        <v/>
      </c>
      <c r="U1412" s="3" t="n">
        <v>594</v>
      </c>
      <c r="V1412" s="3" t="n">
        <v>340</v>
      </c>
      <c r="W1412" s="3" t="n"/>
      <c r="X1412" s="4" t="n"/>
      <c r="Y1412" s="5" t="n">
        <v>0.08500000000000001</v>
      </c>
      <c r="Z1412" s="4">
        <f>IF(L1412&lt;&gt;"",SQRT(3)*G1412*L1412/1000,"")</f>
        <v/>
      </c>
      <c r="AA1412" t="inlineStr">
        <is>
          <t>Source=Copeland 2D/3D/4D/4R/6D/8D/9R compressors (pdf) p69; PWS_RLA=71.0</t>
        </is>
      </c>
      <c r="AB1412" t="inlineStr">
        <is>
          <t>Copeland_RLA_230_460_3ph_60Hz.xlsx</t>
        </is>
      </c>
      <c r="AC1412" t="inlineStr">
        <is>
          <t>Recip_2D-9R</t>
        </is>
      </c>
    </row>
    <row r="1413">
      <c r="A1413" t="inlineStr">
        <is>
          <t>COPELAND</t>
        </is>
      </c>
      <c r="B1413" t="inlineStr">
        <is>
          <t>6DJ3A4000-TSN</t>
        </is>
      </c>
      <c r="D1413" t="inlineStr">
        <is>
          <t>Reciprocating Semi-hermetic</t>
        </is>
      </c>
      <c r="E1413" s="2" t="n">
        <v>3</v>
      </c>
      <c r="F1413" s="2" t="n">
        <v>60</v>
      </c>
      <c r="G1413" s="2" t="n">
        <v>460</v>
      </c>
      <c r="H1413" t="inlineStr">
        <is>
          <t>460</t>
        </is>
      </c>
      <c r="I1413" s="2" t="n">
        <v>460</v>
      </c>
      <c r="J1413" s="2" t="n">
        <v>460</v>
      </c>
      <c r="L1413" s="3" t="n"/>
      <c r="M1413" s="3" t="n"/>
      <c r="N1413" s="3" t="n">
        <v>70.7</v>
      </c>
      <c r="O1413" s="3" t="n"/>
      <c r="P1413" s="3">
        <f>IF(L1413&lt;&gt;"",L1413/1.4,"")</f>
        <v/>
      </c>
      <c r="Q1413" s="3">
        <f>IF(L1413&lt;&gt;"",L1413/1.56,"")</f>
        <v/>
      </c>
      <c r="R1413" s="3">
        <f>IF(M1413&lt;&gt;"",M1413/1.4,"")</f>
        <v/>
      </c>
      <c r="S1413" s="3">
        <f>IF(M1413&lt;&gt;"",M1413/1.56,"")</f>
        <v/>
      </c>
      <c r="T1413" s="3">
        <f>IF(N1413&lt;&gt;"",N1413,IF(O1413&lt;&gt;"",O1413,IF(L1413&lt;&gt;"",L1413/1.56,IF(M1413&lt;&gt;"",M1413/1.56,""))))</f>
        <v/>
      </c>
      <c r="U1413" s="3" t="n">
        <v>297</v>
      </c>
      <c r="V1413" s="3" t="n"/>
      <c r="W1413" s="3" t="n"/>
      <c r="X1413" s="4" t="n"/>
      <c r="Y1413" s="5" t="n">
        <v>0.34</v>
      </c>
      <c r="Z1413" s="4">
        <f>IF(L1413&lt;&gt;"",SQRT(3)*G1413*L1413/1000,"")</f>
        <v/>
      </c>
      <c r="AA1413" t="inlineStr">
        <is>
          <t>Source=Copeland 2D/3D/4D/4R/6D/8D/9R compressors (pdf) p69</t>
        </is>
      </c>
      <c r="AB1413" t="inlineStr">
        <is>
          <t>Copeland_RLA_230_460_3ph_60Hz.xlsx</t>
        </is>
      </c>
      <c r="AC1413" t="inlineStr">
        <is>
          <t>Recip_2D-9R</t>
        </is>
      </c>
    </row>
    <row r="1414">
      <c r="A1414" t="inlineStr">
        <is>
          <t>COPELAND</t>
        </is>
      </c>
      <c r="B1414" t="inlineStr">
        <is>
          <t>6DJ3A400E-FSD</t>
        </is>
      </c>
      <c r="D1414" t="inlineStr">
        <is>
          <t>Reciprocating Semi-hermetic</t>
        </is>
      </c>
      <c r="E1414" s="2" t="n">
        <v>3</v>
      </c>
      <c r="F1414" s="2" t="n">
        <v>60</v>
      </c>
      <c r="G1414" s="2" t="n">
        <v>460</v>
      </c>
      <c r="H1414" t="inlineStr">
        <is>
          <t>460</t>
        </is>
      </c>
      <c r="I1414" s="2" t="n">
        <v>460</v>
      </c>
      <c r="J1414" s="2" t="n">
        <v>460</v>
      </c>
      <c r="L1414" s="3" t="n"/>
      <c r="M1414" s="3" t="n"/>
      <c r="N1414" s="3" t="n">
        <v>86.40000000000001</v>
      </c>
      <c r="O1414" s="3" t="n"/>
      <c r="P1414" s="3">
        <f>IF(L1414&lt;&gt;"",L1414/1.4,"")</f>
        <v/>
      </c>
      <c r="Q1414" s="3">
        <f>IF(L1414&lt;&gt;"",L1414/1.56,"")</f>
        <v/>
      </c>
      <c r="R1414" s="3">
        <f>IF(M1414&lt;&gt;"",M1414/1.4,"")</f>
        <v/>
      </c>
      <c r="S1414" s="3">
        <f>IF(M1414&lt;&gt;"",M1414/1.56,"")</f>
        <v/>
      </c>
      <c r="T1414" s="3">
        <f>IF(N1414&lt;&gt;"",N1414,IF(O1414&lt;&gt;"",O1414,IF(L1414&lt;&gt;"",L1414/1.56,IF(M1414&lt;&gt;"",M1414/1.56,""))))</f>
        <v/>
      </c>
      <c r="U1414" s="3" t="n">
        <v>315</v>
      </c>
      <c r="V1414" s="3" t="n">
        <v>195</v>
      </c>
      <c r="W1414" s="3" t="n"/>
      <c r="X1414" s="4" t="n"/>
      <c r="Y1414" s="5" t="n">
        <v>0.32</v>
      </c>
      <c r="Z1414" s="4">
        <f>IF(L1414&lt;&gt;"",SQRT(3)*G1414*L1414/1000,"")</f>
        <v/>
      </c>
      <c r="AA1414" t="inlineStr">
        <is>
          <t>Source=Copeland 2D/3D/4D/4R/6D/8D/9R compressors (pdf) p69; PWS_RLA=35.0</t>
        </is>
      </c>
      <c r="AB1414" t="inlineStr">
        <is>
          <t>Copeland_RLA_230_460_3ph_60Hz.xlsx</t>
        </is>
      </c>
      <c r="AC1414" t="inlineStr">
        <is>
          <t>Recip_2D-9R</t>
        </is>
      </c>
    </row>
    <row r="1415">
      <c r="A1415" t="inlineStr">
        <is>
          <t>COPELAND</t>
        </is>
      </c>
      <c r="B1415" t="inlineStr">
        <is>
          <t>6DJ3A400E-TSN</t>
        </is>
      </c>
      <c r="D1415" t="inlineStr">
        <is>
          <t>Reciprocating Semi-hermetic</t>
        </is>
      </c>
      <c r="E1415" s="2" t="n">
        <v>3</v>
      </c>
      <c r="F1415" s="2" t="n">
        <v>60</v>
      </c>
      <c r="G1415" s="2" t="n">
        <v>230</v>
      </c>
      <c r="H1415" t="inlineStr">
        <is>
          <t>230</t>
        </is>
      </c>
      <c r="I1415" s="2" t="n">
        <v>230</v>
      </c>
      <c r="J1415" s="2" t="n">
        <v>230</v>
      </c>
      <c r="L1415" s="3" t="n"/>
      <c r="M1415" s="3" t="n"/>
      <c r="N1415" s="3" t="n">
        <v>141.4</v>
      </c>
      <c r="O1415" s="3" t="n"/>
      <c r="P1415" s="3">
        <f>IF(L1415&lt;&gt;"",L1415/1.4,"")</f>
        <v/>
      </c>
      <c r="Q1415" s="3">
        <f>IF(L1415&lt;&gt;"",L1415/1.56,"")</f>
        <v/>
      </c>
      <c r="R1415" s="3">
        <f>IF(M1415&lt;&gt;"",M1415/1.4,"")</f>
        <v/>
      </c>
      <c r="S1415" s="3">
        <f>IF(M1415&lt;&gt;"",M1415/1.56,"")</f>
        <v/>
      </c>
      <c r="T1415" s="3">
        <f>IF(N1415&lt;&gt;"",N1415,IF(O1415&lt;&gt;"",O1415,IF(L1415&lt;&gt;"",L1415/1.56,IF(M1415&lt;&gt;"",M1415/1.56,""))))</f>
        <v/>
      </c>
      <c r="U1415" s="3" t="n">
        <v>594</v>
      </c>
      <c r="V1415" s="3" t="n">
        <v>340</v>
      </c>
      <c r="W1415" s="3" t="n"/>
      <c r="X1415" s="4" t="n"/>
      <c r="Y1415" s="5" t="n">
        <v>0.08500000000000001</v>
      </c>
      <c r="Z1415" s="4">
        <f>IF(L1415&lt;&gt;"",SQRT(3)*G1415*L1415/1000,"")</f>
        <v/>
      </c>
      <c r="AA1415" t="inlineStr">
        <is>
          <t>Source=Copeland 2D/3D/4D/4R/6D/8D/9R compressors (pdf) p69; PWS_RLA=71.0</t>
        </is>
      </c>
      <c r="AB1415" t="inlineStr">
        <is>
          <t>Copeland_RLA_230_460_3ph_60Hz.xlsx</t>
        </is>
      </c>
      <c r="AC1415" t="inlineStr">
        <is>
          <t>Recip_2D-9R</t>
        </is>
      </c>
    </row>
    <row r="1416">
      <c r="A1416" t="inlineStr">
        <is>
          <t>COPELAND</t>
        </is>
      </c>
      <c r="B1416" t="inlineStr">
        <is>
          <t>6DJ3A400E-TSN</t>
        </is>
      </c>
      <c r="D1416" t="inlineStr">
        <is>
          <t>Reciprocating Semi-hermetic</t>
        </is>
      </c>
      <c r="E1416" s="2" t="n">
        <v>3</v>
      </c>
      <c r="F1416" s="2" t="n">
        <v>60</v>
      </c>
      <c r="G1416" s="2" t="n">
        <v>460</v>
      </c>
      <c r="H1416" t="inlineStr">
        <is>
          <t>460</t>
        </is>
      </c>
      <c r="I1416" s="2" t="n">
        <v>460</v>
      </c>
      <c r="J1416" s="2" t="n">
        <v>460</v>
      </c>
      <c r="L1416" s="3" t="n"/>
      <c r="M1416" s="3" t="n"/>
      <c r="N1416" s="3" t="n">
        <v>70.7</v>
      </c>
      <c r="O1416" s="3" t="n"/>
      <c r="P1416" s="3">
        <f>IF(L1416&lt;&gt;"",L1416/1.4,"")</f>
        <v/>
      </c>
      <c r="Q1416" s="3">
        <f>IF(L1416&lt;&gt;"",L1416/1.56,"")</f>
        <v/>
      </c>
      <c r="R1416" s="3">
        <f>IF(M1416&lt;&gt;"",M1416/1.4,"")</f>
        <v/>
      </c>
      <c r="S1416" s="3">
        <f>IF(M1416&lt;&gt;"",M1416/1.56,"")</f>
        <v/>
      </c>
      <c r="T1416" s="3">
        <f>IF(N1416&lt;&gt;"",N1416,IF(O1416&lt;&gt;"",O1416,IF(L1416&lt;&gt;"",L1416/1.56,IF(M1416&lt;&gt;"",M1416/1.56,""))))</f>
        <v/>
      </c>
      <c r="U1416" s="3" t="n">
        <v>297</v>
      </c>
      <c r="V1416" s="3" t="n"/>
      <c r="W1416" s="3" t="n"/>
      <c r="X1416" s="4" t="n"/>
      <c r="Y1416" s="5" t="n">
        <v>0.34</v>
      </c>
      <c r="Z1416" s="4">
        <f>IF(L1416&lt;&gt;"",SQRT(3)*G1416*L1416/1000,"")</f>
        <v/>
      </c>
      <c r="AA1416" t="inlineStr">
        <is>
          <t>Source=Copeland 2D/3D/4D/4R/6D/8D/9R compressors (pdf) p69</t>
        </is>
      </c>
      <c r="AB1416" t="inlineStr">
        <is>
          <t>Copeland_RLA_230_460_3ph_60Hz.xlsx</t>
        </is>
      </c>
      <c r="AC1416" t="inlineStr">
        <is>
          <t>Recip_2D-9R</t>
        </is>
      </c>
    </row>
    <row r="1417">
      <c r="A1417" t="inlineStr">
        <is>
          <t>COPELAND</t>
        </is>
      </c>
      <c r="B1417" t="inlineStr">
        <is>
          <t>6DJ3A400L-FSD</t>
        </is>
      </c>
      <c r="D1417" t="inlineStr">
        <is>
          <t>Reciprocating Semi-hermetic</t>
        </is>
      </c>
      <c r="E1417" s="2" t="n">
        <v>3</v>
      </c>
      <c r="F1417" s="2" t="n">
        <v>60</v>
      </c>
      <c r="G1417" s="2" t="n">
        <v>460</v>
      </c>
      <c r="H1417" t="inlineStr">
        <is>
          <t>460</t>
        </is>
      </c>
      <c r="I1417" s="2" t="n">
        <v>460</v>
      </c>
      <c r="J1417" s="2" t="n">
        <v>460</v>
      </c>
      <c r="L1417" s="3" t="n"/>
      <c r="M1417" s="3" t="n"/>
      <c r="N1417" s="3" t="n">
        <v>86.40000000000001</v>
      </c>
      <c r="O1417" s="3" t="n"/>
      <c r="P1417" s="3">
        <f>IF(L1417&lt;&gt;"",L1417/1.4,"")</f>
        <v/>
      </c>
      <c r="Q1417" s="3">
        <f>IF(L1417&lt;&gt;"",L1417/1.56,"")</f>
        <v/>
      </c>
      <c r="R1417" s="3">
        <f>IF(M1417&lt;&gt;"",M1417/1.4,"")</f>
        <v/>
      </c>
      <c r="S1417" s="3">
        <f>IF(M1417&lt;&gt;"",M1417/1.56,"")</f>
        <v/>
      </c>
      <c r="T1417" s="3">
        <f>IF(N1417&lt;&gt;"",N1417,IF(O1417&lt;&gt;"",O1417,IF(L1417&lt;&gt;"",L1417/1.56,IF(M1417&lt;&gt;"",M1417/1.56,""))))</f>
        <v/>
      </c>
      <c r="U1417" s="3" t="n">
        <v>315</v>
      </c>
      <c r="V1417" s="3" t="n">
        <v>195</v>
      </c>
      <c r="W1417" s="3" t="n"/>
      <c r="X1417" s="4" t="n"/>
      <c r="Y1417" s="5" t="n">
        <v>0.32</v>
      </c>
      <c r="Z1417" s="4">
        <f>IF(L1417&lt;&gt;"",SQRT(3)*G1417*L1417/1000,"")</f>
        <v/>
      </c>
      <c r="AA1417" t="inlineStr">
        <is>
          <t>Source=Copeland 2D/3D/4D/4R/6D/8D/9R compressors (pdf) p69; PWS_RLA=35.0</t>
        </is>
      </c>
      <c r="AB1417" t="inlineStr">
        <is>
          <t>Copeland_RLA_230_460_3ph_60Hz.xlsx</t>
        </is>
      </c>
      <c r="AC1417" t="inlineStr">
        <is>
          <t>Recip_2D-9R</t>
        </is>
      </c>
    </row>
    <row r="1418">
      <c r="A1418" t="inlineStr">
        <is>
          <t>COPELAND</t>
        </is>
      </c>
      <c r="B1418" t="inlineStr">
        <is>
          <t>6DJ3A400L-TSN</t>
        </is>
      </c>
      <c r="D1418" t="inlineStr">
        <is>
          <t>Reciprocating Semi-hermetic</t>
        </is>
      </c>
      <c r="E1418" s="2" t="n">
        <v>3</v>
      </c>
      <c r="F1418" s="2" t="n">
        <v>60</v>
      </c>
      <c r="G1418" s="2" t="n">
        <v>230</v>
      </c>
      <c r="H1418" t="inlineStr">
        <is>
          <t>230</t>
        </is>
      </c>
      <c r="I1418" s="2" t="n">
        <v>230</v>
      </c>
      <c r="J1418" s="2" t="n">
        <v>230</v>
      </c>
      <c r="L1418" s="3" t="n"/>
      <c r="M1418" s="3" t="n"/>
      <c r="N1418" s="3" t="n">
        <v>141.4</v>
      </c>
      <c r="O1418" s="3" t="n"/>
      <c r="P1418" s="3">
        <f>IF(L1418&lt;&gt;"",L1418/1.4,"")</f>
        <v/>
      </c>
      <c r="Q1418" s="3">
        <f>IF(L1418&lt;&gt;"",L1418/1.56,"")</f>
        <v/>
      </c>
      <c r="R1418" s="3">
        <f>IF(M1418&lt;&gt;"",M1418/1.4,"")</f>
        <v/>
      </c>
      <c r="S1418" s="3">
        <f>IF(M1418&lt;&gt;"",M1418/1.56,"")</f>
        <v/>
      </c>
      <c r="T1418" s="3">
        <f>IF(N1418&lt;&gt;"",N1418,IF(O1418&lt;&gt;"",O1418,IF(L1418&lt;&gt;"",L1418/1.56,IF(M1418&lt;&gt;"",M1418/1.56,""))))</f>
        <v/>
      </c>
      <c r="U1418" s="3" t="n">
        <v>594</v>
      </c>
      <c r="V1418" s="3" t="n">
        <v>340</v>
      </c>
      <c r="W1418" s="3" t="n"/>
      <c r="X1418" s="4" t="n"/>
      <c r="Y1418" s="5" t="n">
        <v>0.08500000000000001</v>
      </c>
      <c r="Z1418" s="4">
        <f>IF(L1418&lt;&gt;"",SQRT(3)*G1418*L1418/1000,"")</f>
        <v/>
      </c>
      <c r="AA1418" t="inlineStr">
        <is>
          <t>Source=Copeland 2D/3D/4D/4R/6D/8D/9R compressors (pdf) p69; PWS_RLA=71.0</t>
        </is>
      </c>
      <c r="AB1418" t="inlineStr">
        <is>
          <t>Copeland_RLA_230_460_3ph_60Hz.xlsx</t>
        </is>
      </c>
      <c r="AC1418" t="inlineStr">
        <is>
          <t>Recip_2D-9R</t>
        </is>
      </c>
    </row>
    <row r="1419">
      <c r="A1419" t="inlineStr">
        <is>
          <t>COPELAND</t>
        </is>
      </c>
      <c r="B1419" t="inlineStr">
        <is>
          <t>6DJ3A400L-TSN</t>
        </is>
      </c>
      <c r="D1419" t="inlineStr">
        <is>
          <t>Reciprocating Semi-hermetic</t>
        </is>
      </c>
      <c r="E1419" s="2" t="n">
        <v>3</v>
      </c>
      <c r="F1419" s="2" t="n">
        <v>60</v>
      </c>
      <c r="G1419" s="2" t="n">
        <v>460</v>
      </c>
      <c r="H1419" t="inlineStr">
        <is>
          <t>460</t>
        </is>
      </c>
      <c r="I1419" s="2" t="n">
        <v>460</v>
      </c>
      <c r="J1419" s="2" t="n">
        <v>460</v>
      </c>
      <c r="L1419" s="3" t="n"/>
      <c r="M1419" s="3" t="n"/>
      <c r="N1419" s="3" t="n">
        <v>70.7</v>
      </c>
      <c r="O1419" s="3" t="n"/>
      <c r="P1419" s="3">
        <f>IF(L1419&lt;&gt;"",L1419/1.4,"")</f>
        <v/>
      </c>
      <c r="Q1419" s="3">
        <f>IF(L1419&lt;&gt;"",L1419/1.56,"")</f>
        <v/>
      </c>
      <c r="R1419" s="3">
        <f>IF(M1419&lt;&gt;"",M1419/1.4,"")</f>
        <v/>
      </c>
      <c r="S1419" s="3">
        <f>IF(M1419&lt;&gt;"",M1419/1.56,"")</f>
        <v/>
      </c>
      <c r="T1419" s="3">
        <f>IF(N1419&lt;&gt;"",N1419,IF(O1419&lt;&gt;"",O1419,IF(L1419&lt;&gt;"",L1419/1.56,IF(M1419&lt;&gt;"",M1419/1.56,""))))</f>
        <v/>
      </c>
      <c r="U1419" s="3" t="n">
        <v>297</v>
      </c>
      <c r="V1419" s="3" t="n"/>
      <c r="W1419" s="3" t="n"/>
      <c r="X1419" s="4" t="n"/>
      <c r="Y1419" s="5" t="n">
        <v>0.34</v>
      </c>
      <c r="Z1419" s="4">
        <f>IF(L1419&lt;&gt;"",SQRT(3)*G1419*L1419/1000,"")</f>
        <v/>
      </c>
      <c r="AA1419" t="inlineStr">
        <is>
          <t>Source=Copeland 2D/3D/4D/4R/6D/8D/9R compressors (pdf) p69</t>
        </is>
      </c>
      <c r="AB1419" t="inlineStr">
        <is>
          <t>Copeland_RLA_230_460_3ph_60Hz.xlsx</t>
        </is>
      </c>
      <c r="AC1419" t="inlineStr">
        <is>
          <t>Recip_2D-9R</t>
        </is>
      </c>
    </row>
    <row r="1420">
      <c r="A1420" t="inlineStr">
        <is>
          <t>COPELAND</t>
        </is>
      </c>
      <c r="B1420" t="inlineStr">
        <is>
          <t>6DJ3F11ME-FSD</t>
        </is>
      </c>
      <c r="D1420" t="inlineStr">
        <is>
          <t>Reciprocating Semi-hermetic</t>
        </is>
      </c>
      <c r="E1420" s="2" t="n">
        <v>3</v>
      </c>
      <c r="F1420" s="2" t="n">
        <v>60</v>
      </c>
      <c r="G1420" s="2" t="n">
        <v>460</v>
      </c>
      <c r="H1420" t="inlineStr">
        <is>
          <t>460</t>
        </is>
      </c>
      <c r="I1420" s="2" t="n">
        <v>460</v>
      </c>
      <c r="J1420" s="2" t="n">
        <v>460</v>
      </c>
      <c r="L1420" s="3" t="n"/>
      <c r="M1420" s="3" t="n"/>
      <c r="N1420" s="3" t="n">
        <v>47.4</v>
      </c>
      <c r="O1420" s="3" t="n"/>
      <c r="P1420" s="3">
        <f>IF(L1420&lt;&gt;"",L1420/1.4,"")</f>
        <v/>
      </c>
      <c r="Q1420" s="3">
        <f>IF(L1420&lt;&gt;"",L1420/1.56,"")</f>
        <v/>
      </c>
      <c r="R1420" s="3">
        <f>IF(M1420&lt;&gt;"",M1420/1.4,"")</f>
        <v/>
      </c>
      <c r="S1420" s="3">
        <f>IF(M1420&lt;&gt;"",M1420/1.56,"")</f>
        <v/>
      </c>
      <c r="T1420" s="3">
        <f>IF(N1420&lt;&gt;"",N1420,IF(O1420&lt;&gt;"",O1420,IF(L1420&lt;&gt;"",L1420/1.56,IF(M1420&lt;&gt;"",M1420/1.56,""))))</f>
        <v/>
      </c>
      <c r="U1420" s="3" t="n">
        <v>235</v>
      </c>
      <c r="V1420" s="3" t="n">
        <v>141</v>
      </c>
      <c r="W1420" s="3" t="n"/>
      <c r="X1420" s="4" t="n"/>
      <c r="Y1420" s="5" t="n">
        <v>0.45</v>
      </c>
      <c r="Z1420" s="4">
        <f>IF(L1420&lt;&gt;"",SQRT(3)*G1420*L1420/1000,"")</f>
        <v/>
      </c>
      <c r="AA1420" t="inlineStr">
        <is>
          <t>Source=Copeland 2D/3D/4D/4R/6D/8D/9R compressors (pdf) p69; PWS_RLA=23.7</t>
        </is>
      </c>
      <c r="AB1420" t="inlineStr">
        <is>
          <t>Copeland_RLA_230_460_3ph_60Hz.xlsx</t>
        </is>
      </c>
      <c r="AC1420" t="inlineStr">
        <is>
          <t>Recip_2D-9R</t>
        </is>
      </c>
    </row>
    <row r="1421">
      <c r="A1421" t="inlineStr">
        <is>
          <t>COPELAND</t>
        </is>
      </c>
      <c r="B1421" t="inlineStr">
        <is>
          <t>6DJ3F11ME-TSK</t>
        </is>
      </c>
      <c r="D1421" t="inlineStr">
        <is>
          <t>Reciprocating Semi-hermetic</t>
        </is>
      </c>
      <c r="E1421" s="2" t="n">
        <v>3</v>
      </c>
      <c r="F1421" s="2" t="n">
        <v>60</v>
      </c>
      <c r="G1421" s="2" t="n">
        <v>230</v>
      </c>
      <c r="H1421" t="inlineStr">
        <is>
          <t>208/230</t>
        </is>
      </c>
      <c r="I1421" s="2" t="n">
        <v>208</v>
      </c>
      <c r="J1421" s="2" t="n">
        <v>230</v>
      </c>
      <c r="L1421" s="3" t="n"/>
      <c r="M1421" s="3" t="n"/>
      <c r="N1421" s="3" t="n">
        <v>95.7</v>
      </c>
      <c r="O1421" s="3" t="n"/>
      <c r="P1421" s="3">
        <f>IF(L1421&lt;&gt;"",L1421/1.4,"")</f>
        <v/>
      </c>
      <c r="Q1421" s="3">
        <f>IF(L1421&lt;&gt;"",L1421/1.56,"")</f>
        <v/>
      </c>
      <c r="R1421" s="3">
        <f>IF(M1421&lt;&gt;"",M1421/1.4,"")</f>
        <v/>
      </c>
      <c r="S1421" s="3">
        <f>IF(M1421&lt;&gt;"",M1421/1.56,"")</f>
        <v/>
      </c>
      <c r="T1421" s="3">
        <f>IF(N1421&lt;&gt;"",N1421,IF(O1421&lt;&gt;"",O1421,IF(L1421&lt;&gt;"",L1421/1.56,IF(M1421&lt;&gt;"",M1421/1.56,""))))</f>
        <v/>
      </c>
      <c r="U1421" s="3" t="n">
        <v>470</v>
      </c>
      <c r="V1421" s="3" t="n">
        <v>292</v>
      </c>
      <c r="W1421" s="3" t="n"/>
      <c r="X1421" s="4" t="n"/>
      <c r="Y1421" s="5" t="n">
        <v>0.111</v>
      </c>
      <c r="Z1421" s="4">
        <f>IF(L1421&lt;&gt;"",SQRT(3)*G1421*L1421/1000,"")</f>
        <v/>
      </c>
      <c r="AA1421" t="inlineStr">
        <is>
          <t>Source=Copeland 2D/3D/4D/4R/6D/8D/9R compressors (pdf) p69; PWS_RLA=47.8</t>
        </is>
      </c>
      <c r="AB1421" t="inlineStr">
        <is>
          <t>Copeland_RLA_230_460_3ph_60Hz.xlsx</t>
        </is>
      </c>
      <c r="AC1421" t="inlineStr">
        <is>
          <t>Recip_2D-9R</t>
        </is>
      </c>
    </row>
    <row r="1422">
      <c r="A1422" t="inlineStr">
        <is>
          <t>COPELAND</t>
        </is>
      </c>
      <c r="B1422" t="inlineStr">
        <is>
          <t>6DJ3F11ME-TSK</t>
        </is>
      </c>
      <c r="D1422" t="inlineStr">
        <is>
          <t>Reciprocating Semi-hermetic</t>
        </is>
      </c>
      <c r="E1422" s="2" t="n">
        <v>3</v>
      </c>
      <c r="F1422" s="2" t="n">
        <v>60</v>
      </c>
      <c r="G1422" s="2" t="n">
        <v>460</v>
      </c>
      <c r="H1422" t="inlineStr">
        <is>
          <t>460</t>
        </is>
      </c>
      <c r="I1422" s="2" t="n">
        <v>460</v>
      </c>
      <c r="J1422" s="2" t="n">
        <v>460</v>
      </c>
      <c r="L1422" s="3" t="n"/>
      <c r="M1422" s="3" t="n"/>
      <c r="N1422" s="3" t="n">
        <v>47.9</v>
      </c>
      <c r="O1422" s="3" t="n"/>
      <c r="P1422" s="3">
        <f>IF(L1422&lt;&gt;"",L1422/1.4,"")</f>
        <v/>
      </c>
      <c r="Q1422" s="3">
        <f>IF(L1422&lt;&gt;"",L1422/1.56,"")</f>
        <v/>
      </c>
      <c r="R1422" s="3">
        <f>IF(M1422&lt;&gt;"",M1422/1.4,"")</f>
        <v/>
      </c>
      <c r="S1422" s="3">
        <f>IF(M1422&lt;&gt;"",M1422/1.56,"")</f>
        <v/>
      </c>
      <c r="T1422" s="3">
        <f>IF(N1422&lt;&gt;"",N1422,IF(O1422&lt;&gt;"",O1422,IF(L1422&lt;&gt;"",L1422/1.56,IF(M1422&lt;&gt;"",M1422/1.56,""))))</f>
        <v/>
      </c>
      <c r="U1422" s="3" t="n">
        <v>235</v>
      </c>
      <c r="V1422" s="3" t="n"/>
      <c r="W1422" s="3" t="n"/>
      <c r="X1422" s="4" t="n"/>
      <c r="Y1422" s="5" t="n">
        <v>0.444</v>
      </c>
      <c r="Z1422" s="4">
        <f>IF(L1422&lt;&gt;"",SQRT(3)*G1422*L1422/1000,"")</f>
        <v/>
      </c>
      <c r="AA1422" t="inlineStr">
        <is>
          <t>Source=Copeland 2D/3D/4D/4R/6D/8D/9R compressors (pdf) p70</t>
        </is>
      </c>
      <c r="AB1422" t="inlineStr">
        <is>
          <t>Copeland_RLA_230_460_3ph_60Hz.xlsx</t>
        </is>
      </c>
      <c r="AC1422" t="inlineStr">
        <is>
          <t>Recip_2D-9R</t>
        </is>
      </c>
    </row>
    <row r="1423">
      <c r="A1423" t="inlineStr">
        <is>
          <t>COPELAND</t>
        </is>
      </c>
      <c r="B1423" t="inlineStr">
        <is>
          <t>6DJ3F11ML-FSD</t>
        </is>
      </c>
      <c r="D1423" t="inlineStr">
        <is>
          <t>Reciprocating Semi-hermetic</t>
        </is>
      </c>
      <c r="E1423" s="2" t="n">
        <v>3</v>
      </c>
      <c r="F1423" s="2" t="n">
        <v>60</v>
      </c>
      <c r="G1423" s="2" t="n">
        <v>460</v>
      </c>
      <c r="H1423" t="inlineStr">
        <is>
          <t>460</t>
        </is>
      </c>
      <c r="I1423" s="2" t="n">
        <v>460</v>
      </c>
      <c r="J1423" s="2" t="n">
        <v>460</v>
      </c>
      <c r="L1423" s="3" t="n"/>
      <c r="M1423" s="3" t="n"/>
      <c r="N1423" s="3" t="n">
        <v>47.4</v>
      </c>
      <c r="O1423" s="3" t="n"/>
      <c r="P1423" s="3">
        <f>IF(L1423&lt;&gt;"",L1423/1.4,"")</f>
        <v/>
      </c>
      <c r="Q1423" s="3">
        <f>IF(L1423&lt;&gt;"",L1423/1.56,"")</f>
        <v/>
      </c>
      <c r="R1423" s="3">
        <f>IF(M1423&lt;&gt;"",M1423/1.4,"")</f>
        <v/>
      </c>
      <c r="S1423" s="3">
        <f>IF(M1423&lt;&gt;"",M1423/1.56,"")</f>
        <v/>
      </c>
      <c r="T1423" s="3">
        <f>IF(N1423&lt;&gt;"",N1423,IF(O1423&lt;&gt;"",O1423,IF(L1423&lt;&gt;"",L1423/1.56,IF(M1423&lt;&gt;"",M1423/1.56,""))))</f>
        <v/>
      </c>
      <c r="U1423" s="3" t="n">
        <v>235</v>
      </c>
      <c r="V1423" s="3" t="n">
        <v>141</v>
      </c>
      <c r="W1423" s="3" t="n"/>
      <c r="X1423" s="4" t="n"/>
      <c r="Y1423" s="5" t="n">
        <v>0.45</v>
      </c>
      <c r="Z1423" s="4">
        <f>IF(L1423&lt;&gt;"",SQRT(3)*G1423*L1423/1000,"")</f>
        <v/>
      </c>
      <c r="AA1423" t="inlineStr">
        <is>
          <t>Source=Copeland 2D/3D/4D/4R/6D/8D/9R compressors (pdf) p70; PWS_RLA=23.7</t>
        </is>
      </c>
      <c r="AB1423" t="inlineStr">
        <is>
          <t>Copeland_RLA_230_460_3ph_60Hz.xlsx</t>
        </is>
      </c>
      <c r="AC1423" t="inlineStr">
        <is>
          <t>Recip_2D-9R</t>
        </is>
      </c>
    </row>
    <row r="1424">
      <c r="A1424" t="inlineStr">
        <is>
          <t>COPELAND</t>
        </is>
      </c>
      <c r="B1424" t="inlineStr">
        <is>
          <t>6DJ3F11ML-TSK</t>
        </is>
      </c>
      <c r="D1424" t="inlineStr">
        <is>
          <t>Reciprocating Semi-hermetic</t>
        </is>
      </c>
      <c r="E1424" s="2" t="n">
        <v>3</v>
      </c>
      <c r="F1424" s="2" t="n">
        <v>60</v>
      </c>
      <c r="G1424" s="2" t="n">
        <v>230</v>
      </c>
      <c r="H1424" t="inlineStr">
        <is>
          <t>208/230</t>
        </is>
      </c>
      <c r="I1424" s="2" t="n">
        <v>208</v>
      </c>
      <c r="J1424" s="2" t="n">
        <v>230</v>
      </c>
      <c r="L1424" s="3" t="n"/>
      <c r="M1424" s="3" t="n"/>
      <c r="N1424" s="3" t="n">
        <v>95.7</v>
      </c>
      <c r="O1424" s="3" t="n"/>
      <c r="P1424" s="3">
        <f>IF(L1424&lt;&gt;"",L1424/1.4,"")</f>
        <v/>
      </c>
      <c r="Q1424" s="3">
        <f>IF(L1424&lt;&gt;"",L1424/1.56,"")</f>
        <v/>
      </c>
      <c r="R1424" s="3">
        <f>IF(M1424&lt;&gt;"",M1424/1.4,"")</f>
        <v/>
      </c>
      <c r="S1424" s="3">
        <f>IF(M1424&lt;&gt;"",M1424/1.56,"")</f>
        <v/>
      </c>
      <c r="T1424" s="3">
        <f>IF(N1424&lt;&gt;"",N1424,IF(O1424&lt;&gt;"",O1424,IF(L1424&lt;&gt;"",L1424/1.56,IF(M1424&lt;&gt;"",M1424/1.56,""))))</f>
        <v/>
      </c>
      <c r="U1424" s="3" t="n">
        <v>470</v>
      </c>
      <c r="V1424" s="3" t="n">
        <v>292</v>
      </c>
      <c r="W1424" s="3" t="n"/>
      <c r="X1424" s="4" t="n"/>
      <c r="Y1424" s="5" t="n">
        <v>0.111</v>
      </c>
      <c r="Z1424" s="4">
        <f>IF(L1424&lt;&gt;"",SQRT(3)*G1424*L1424/1000,"")</f>
        <v/>
      </c>
      <c r="AA1424" t="inlineStr">
        <is>
          <t>Source=Copeland 2D/3D/4D/4R/6D/8D/9R compressors (pdf) p70; PWS_RLA=47.8</t>
        </is>
      </c>
      <c r="AB1424" t="inlineStr">
        <is>
          <t>Copeland_RLA_230_460_3ph_60Hz.xlsx</t>
        </is>
      </c>
      <c r="AC1424" t="inlineStr">
        <is>
          <t>Recip_2D-9R</t>
        </is>
      </c>
    </row>
    <row r="1425">
      <c r="A1425" t="inlineStr">
        <is>
          <t>COPELAND</t>
        </is>
      </c>
      <c r="B1425" t="inlineStr">
        <is>
          <t>6DJ3F11ML-TSK</t>
        </is>
      </c>
      <c r="D1425" t="inlineStr">
        <is>
          <t>Reciprocating Semi-hermetic</t>
        </is>
      </c>
      <c r="E1425" s="2" t="n">
        <v>3</v>
      </c>
      <c r="F1425" s="2" t="n">
        <v>60</v>
      </c>
      <c r="G1425" s="2" t="n">
        <v>460</v>
      </c>
      <c r="H1425" t="inlineStr">
        <is>
          <t>460</t>
        </is>
      </c>
      <c r="I1425" s="2" t="n">
        <v>460</v>
      </c>
      <c r="J1425" s="2" t="n">
        <v>460</v>
      </c>
      <c r="L1425" s="3" t="n"/>
      <c r="M1425" s="3" t="n"/>
      <c r="N1425" s="3" t="n">
        <v>47.9</v>
      </c>
      <c r="O1425" s="3" t="n"/>
      <c r="P1425" s="3">
        <f>IF(L1425&lt;&gt;"",L1425/1.4,"")</f>
        <v/>
      </c>
      <c r="Q1425" s="3">
        <f>IF(L1425&lt;&gt;"",L1425/1.56,"")</f>
        <v/>
      </c>
      <c r="R1425" s="3">
        <f>IF(M1425&lt;&gt;"",M1425/1.4,"")</f>
        <v/>
      </c>
      <c r="S1425" s="3">
        <f>IF(M1425&lt;&gt;"",M1425/1.56,"")</f>
        <v/>
      </c>
      <c r="T1425" s="3">
        <f>IF(N1425&lt;&gt;"",N1425,IF(O1425&lt;&gt;"",O1425,IF(L1425&lt;&gt;"",L1425/1.56,IF(M1425&lt;&gt;"",M1425/1.56,""))))</f>
        <v/>
      </c>
      <c r="U1425" s="3" t="n">
        <v>235</v>
      </c>
      <c r="V1425" s="3" t="n"/>
      <c r="W1425" s="3" t="n"/>
      <c r="X1425" s="4" t="n"/>
      <c r="Y1425" s="5" t="n">
        <v>0.444</v>
      </c>
      <c r="Z1425" s="4">
        <f>IF(L1425&lt;&gt;"",SQRT(3)*G1425*L1425/1000,"")</f>
        <v/>
      </c>
      <c r="AA1425" t="inlineStr">
        <is>
          <t>Source=Copeland 2D/3D/4D/4R/6D/8D/9R compressors (pdf) p70</t>
        </is>
      </c>
      <c r="AB1425" t="inlineStr">
        <is>
          <t>Copeland_RLA_230_460_3ph_60Hz.xlsx</t>
        </is>
      </c>
      <c r="AC1425" t="inlineStr">
        <is>
          <t>Recip_2D-9R</t>
        </is>
      </c>
    </row>
    <row r="1426">
      <c r="A1426" t="inlineStr">
        <is>
          <t>COPELAND</t>
        </is>
      </c>
      <c r="B1426" t="inlineStr">
        <is>
          <t>6DJ3R28ME-TSK</t>
        </is>
      </c>
      <c r="D1426" t="inlineStr">
        <is>
          <t>Reciprocating Semi-hermetic</t>
        </is>
      </c>
      <c r="E1426" s="2" t="n">
        <v>3</v>
      </c>
      <c r="F1426" s="2" t="n">
        <v>60</v>
      </c>
      <c r="G1426" s="2" t="n">
        <v>230</v>
      </c>
      <c r="H1426" t="inlineStr">
        <is>
          <t>208/230</t>
        </is>
      </c>
      <c r="I1426" s="2" t="n">
        <v>208</v>
      </c>
      <c r="J1426" s="2" t="n">
        <v>230</v>
      </c>
      <c r="L1426" s="3" t="n"/>
      <c r="M1426" s="3" t="n"/>
      <c r="N1426" s="3" t="n">
        <v>100</v>
      </c>
      <c r="O1426" s="3" t="n"/>
      <c r="P1426" s="3">
        <f>IF(L1426&lt;&gt;"",L1426/1.4,"")</f>
        <v/>
      </c>
      <c r="Q1426" s="3">
        <f>IF(L1426&lt;&gt;"",L1426/1.56,"")</f>
        <v/>
      </c>
      <c r="R1426" s="3">
        <f>IF(M1426&lt;&gt;"",M1426/1.4,"")</f>
        <v/>
      </c>
      <c r="S1426" s="3">
        <f>IF(M1426&lt;&gt;"",M1426/1.56,"")</f>
        <v/>
      </c>
      <c r="T1426" s="3">
        <f>IF(N1426&lt;&gt;"",N1426,IF(O1426&lt;&gt;"",O1426,IF(L1426&lt;&gt;"",L1426/1.56,IF(M1426&lt;&gt;"",M1426/1.56,""))))</f>
        <v/>
      </c>
      <c r="U1426" s="3" t="n">
        <v>470</v>
      </c>
      <c r="V1426" s="3" t="n">
        <v>292</v>
      </c>
      <c r="W1426" s="3" t="n"/>
      <c r="X1426" s="4" t="n"/>
      <c r="Y1426" s="5" t="n">
        <v>0.111</v>
      </c>
      <c r="Z1426" s="4">
        <f>IF(L1426&lt;&gt;"",SQRT(3)*G1426*L1426/1000,"")</f>
        <v/>
      </c>
      <c r="AA1426" t="inlineStr">
        <is>
          <t>Source=Copeland 2D/3D/4D/4R/6D/8D/9R compressors (pdf) p70; PWS_RLA=50.0</t>
        </is>
      </c>
      <c r="AB1426" t="inlineStr">
        <is>
          <t>Copeland_RLA_230_460_3ph_60Hz.xlsx</t>
        </is>
      </c>
      <c r="AC1426" t="inlineStr">
        <is>
          <t>Recip_2D-9R</t>
        </is>
      </c>
    </row>
    <row r="1427">
      <c r="A1427" t="inlineStr">
        <is>
          <t>COPELAND</t>
        </is>
      </c>
      <c r="B1427" t="inlineStr">
        <is>
          <t>6DJ3R28ME-TSK</t>
        </is>
      </c>
      <c r="D1427" t="inlineStr">
        <is>
          <t>Reciprocating Semi-hermetic</t>
        </is>
      </c>
      <c r="E1427" s="2" t="n">
        <v>3</v>
      </c>
      <c r="F1427" s="2" t="n">
        <v>60</v>
      </c>
      <c r="G1427" s="2" t="n">
        <v>460</v>
      </c>
      <c r="H1427" t="inlineStr">
        <is>
          <t>460</t>
        </is>
      </c>
      <c r="I1427" s="2" t="n">
        <v>460</v>
      </c>
      <c r="J1427" s="2" t="n">
        <v>460</v>
      </c>
      <c r="L1427" s="3" t="n"/>
      <c r="M1427" s="3" t="n"/>
      <c r="N1427" s="3" t="n">
        <v>50</v>
      </c>
      <c r="O1427" s="3" t="n"/>
      <c r="P1427" s="3">
        <f>IF(L1427&lt;&gt;"",L1427/1.4,"")</f>
        <v/>
      </c>
      <c r="Q1427" s="3">
        <f>IF(L1427&lt;&gt;"",L1427/1.56,"")</f>
        <v/>
      </c>
      <c r="R1427" s="3">
        <f>IF(M1427&lt;&gt;"",M1427/1.4,"")</f>
        <v/>
      </c>
      <c r="S1427" s="3">
        <f>IF(M1427&lt;&gt;"",M1427/1.56,"")</f>
        <v/>
      </c>
      <c r="T1427" s="3">
        <f>IF(N1427&lt;&gt;"",N1427,IF(O1427&lt;&gt;"",O1427,IF(L1427&lt;&gt;"",L1427/1.56,IF(M1427&lt;&gt;"",M1427/1.56,""))))</f>
        <v/>
      </c>
      <c r="U1427" s="3" t="n">
        <v>235</v>
      </c>
      <c r="V1427" s="3" t="n"/>
      <c r="W1427" s="3" t="n"/>
      <c r="X1427" s="4" t="n"/>
      <c r="Y1427" s="5" t="n">
        <v>0.444</v>
      </c>
      <c r="Z1427" s="4">
        <f>IF(L1427&lt;&gt;"",SQRT(3)*G1427*L1427/1000,"")</f>
        <v/>
      </c>
      <c r="AA1427" t="inlineStr">
        <is>
          <t>Source=Copeland 2D/3D/4D/4R/6D/8D/9R compressors (pdf) p70</t>
        </is>
      </c>
      <c r="AB1427" t="inlineStr">
        <is>
          <t>Copeland_RLA_230_460_3ph_60Hz.xlsx</t>
        </is>
      </c>
      <c r="AC1427" t="inlineStr">
        <is>
          <t>Recip_2D-9R</t>
        </is>
      </c>
    </row>
    <row r="1428">
      <c r="A1428" t="inlineStr">
        <is>
          <t>COPELAND</t>
        </is>
      </c>
      <c r="B1428" t="inlineStr">
        <is>
          <t>6DJ3R28ML-TSK</t>
        </is>
      </c>
      <c r="D1428" t="inlineStr">
        <is>
          <t>Reciprocating Semi-hermetic</t>
        </is>
      </c>
      <c r="E1428" s="2" t="n">
        <v>3</v>
      </c>
      <c r="F1428" s="2" t="n">
        <v>60</v>
      </c>
      <c r="G1428" s="2" t="n">
        <v>230</v>
      </c>
      <c r="H1428" t="inlineStr">
        <is>
          <t>208/230</t>
        </is>
      </c>
      <c r="I1428" s="2" t="n">
        <v>208</v>
      </c>
      <c r="J1428" s="2" t="n">
        <v>230</v>
      </c>
      <c r="L1428" s="3" t="n"/>
      <c r="M1428" s="3" t="n"/>
      <c r="N1428" s="3" t="n">
        <v>100</v>
      </c>
      <c r="O1428" s="3" t="n"/>
      <c r="P1428" s="3">
        <f>IF(L1428&lt;&gt;"",L1428/1.4,"")</f>
        <v/>
      </c>
      <c r="Q1428" s="3">
        <f>IF(L1428&lt;&gt;"",L1428/1.56,"")</f>
        <v/>
      </c>
      <c r="R1428" s="3">
        <f>IF(M1428&lt;&gt;"",M1428/1.4,"")</f>
        <v/>
      </c>
      <c r="S1428" s="3">
        <f>IF(M1428&lt;&gt;"",M1428/1.56,"")</f>
        <v/>
      </c>
      <c r="T1428" s="3">
        <f>IF(N1428&lt;&gt;"",N1428,IF(O1428&lt;&gt;"",O1428,IF(L1428&lt;&gt;"",L1428/1.56,IF(M1428&lt;&gt;"",M1428/1.56,""))))</f>
        <v/>
      </c>
      <c r="U1428" s="3" t="n">
        <v>470</v>
      </c>
      <c r="V1428" s="3" t="n">
        <v>292</v>
      </c>
      <c r="W1428" s="3" t="n"/>
      <c r="X1428" s="4" t="n"/>
      <c r="Y1428" s="5" t="n">
        <v>0.111</v>
      </c>
      <c r="Z1428" s="4">
        <f>IF(L1428&lt;&gt;"",SQRT(3)*G1428*L1428/1000,"")</f>
        <v/>
      </c>
      <c r="AA1428" t="inlineStr">
        <is>
          <t>Source=Copeland 2D/3D/4D/4R/6D/8D/9R compressors (pdf) p70; PWS_RLA=50.0</t>
        </is>
      </c>
      <c r="AB1428" t="inlineStr">
        <is>
          <t>Copeland_RLA_230_460_3ph_60Hz.xlsx</t>
        </is>
      </c>
      <c r="AC1428" t="inlineStr">
        <is>
          <t>Recip_2D-9R</t>
        </is>
      </c>
    </row>
    <row r="1429">
      <c r="A1429" t="inlineStr">
        <is>
          <t>COPELAND</t>
        </is>
      </c>
      <c r="B1429" t="inlineStr">
        <is>
          <t>6DJ3R28ML-TSK</t>
        </is>
      </c>
      <c r="D1429" t="inlineStr">
        <is>
          <t>Reciprocating Semi-hermetic</t>
        </is>
      </c>
      <c r="E1429" s="2" t="n">
        <v>3</v>
      </c>
      <c r="F1429" s="2" t="n">
        <v>60</v>
      </c>
      <c r="G1429" s="2" t="n">
        <v>460</v>
      </c>
      <c r="H1429" t="inlineStr">
        <is>
          <t>460</t>
        </is>
      </c>
      <c r="I1429" s="2" t="n">
        <v>460</v>
      </c>
      <c r="J1429" s="2" t="n">
        <v>460</v>
      </c>
      <c r="L1429" s="3" t="n"/>
      <c r="M1429" s="3" t="n"/>
      <c r="N1429" s="3" t="n">
        <v>50</v>
      </c>
      <c r="O1429" s="3" t="n"/>
      <c r="P1429" s="3">
        <f>IF(L1429&lt;&gt;"",L1429/1.4,"")</f>
        <v/>
      </c>
      <c r="Q1429" s="3">
        <f>IF(L1429&lt;&gt;"",L1429/1.56,"")</f>
        <v/>
      </c>
      <c r="R1429" s="3">
        <f>IF(M1429&lt;&gt;"",M1429/1.4,"")</f>
        <v/>
      </c>
      <c r="S1429" s="3">
        <f>IF(M1429&lt;&gt;"",M1429/1.56,"")</f>
        <v/>
      </c>
      <c r="T1429" s="3">
        <f>IF(N1429&lt;&gt;"",N1429,IF(O1429&lt;&gt;"",O1429,IF(L1429&lt;&gt;"",L1429/1.56,IF(M1429&lt;&gt;"",M1429/1.56,""))))</f>
        <v/>
      </c>
      <c r="U1429" s="3" t="n">
        <v>235</v>
      </c>
      <c r="V1429" s="3" t="n"/>
      <c r="W1429" s="3" t="n"/>
      <c r="X1429" s="4" t="n"/>
      <c r="Y1429" s="5" t="n">
        <v>0.444</v>
      </c>
      <c r="Z1429" s="4">
        <f>IF(L1429&lt;&gt;"",SQRT(3)*G1429*L1429/1000,"")</f>
        <v/>
      </c>
      <c r="AA1429" t="inlineStr">
        <is>
          <t>Source=Copeland 2D/3D/4D/4R/6D/8D/9R compressors (pdf) p70</t>
        </is>
      </c>
      <c r="AB1429" t="inlineStr">
        <is>
          <t>Copeland_RLA_230_460_3ph_60Hz.xlsx</t>
        </is>
      </c>
      <c r="AC1429" t="inlineStr">
        <is>
          <t>Recip_2D-9R</t>
        </is>
      </c>
    </row>
    <row r="1430">
      <c r="A1430" t="inlineStr">
        <is>
          <t>COPELAND</t>
        </is>
      </c>
      <c r="B1430" t="inlineStr">
        <is>
          <t>6DJ3R40M0-FSD</t>
        </is>
      </c>
      <c r="D1430" t="inlineStr">
        <is>
          <t>Reciprocating Semi-hermetic</t>
        </is>
      </c>
      <c r="E1430" s="2" t="n">
        <v>3</v>
      </c>
      <c r="F1430" s="2" t="n">
        <v>60</v>
      </c>
      <c r="G1430" s="2" t="n">
        <v>460</v>
      </c>
      <c r="H1430" t="inlineStr">
        <is>
          <t>460</t>
        </is>
      </c>
      <c r="I1430" s="2" t="n">
        <v>460</v>
      </c>
      <c r="J1430" s="2" t="n">
        <v>460</v>
      </c>
      <c r="L1430" s="3" t="n"/>
      <c r="M1430" s="3" t="n"/>
      <c r="N1430" s="3" t="n">
        <v>70</v>
      </c>
      <c r="O1430" s="3" t="n"/>
      <c r="P1430" s="3">
        <f>IF(L1430&lt;&gt;"",L1430/1.4,"")</f>
        <v/>
      </c>
      <c r="Q1430" s="3">
        <f>IF(L1430&lt;&gt;"",L1430/1.56,"")</f>
        <v/>
      </c>
      <c r="R1430" s="3">
        <f>IF(M1430&lt;&gt;"",M1430/1.4,"")</f>
        <v/>
      </c>
      <c r="S1430" s="3">
        <f>IF(M1430&lt;&gt;"",M1430/1.56,"")</f>
        <v/>
      </c>
      <c r="T1430" s="3">
        <f>IF(N1430&lt;&gt;"",N1430,IF(O1430&lt;&gt;"",O1430,IF(L1430&lt;&gt;"",L1430/1.56,IF(M1430&lt;&gt;"",M1430/1.56,""))))</f>
        <v/>
      </c>
      <c r="U1430" s="3" t="n">
        <v>315</v>
      </c>
      <c r="V1430" s="3" t="n">
        <v>195</v>
      </c>
      <c r="W1430" s="3" t="n"/>
      <c r="X1430" s="4" t="n"/>
      <c r="Y1430" s="5" t="n">
        <v>0.32</v>
      </c>
      <c r="Z1430" s="4">
        <f>IF(L1430&lt;&gt;"",SQRT(3)*G1430*L1430/1000,"")</f>
        <v/>
      </c>
      <c r="AA1430" t="inlineStr">
        <is>
          <t>Source=Copeland 2D/3D/4D/4R/6D/8D/9R compressors (pdf) p70; PWS_RLA=35.0</t>
        </is>
      </c>
      <c r="AB1430" t="inlineStr">
        <is>
          <t>Copeland_RLA_230_460_3ph_60Hz.xlsx</t>
        </is>
      </c>
      <c r="AC1430" t="inlineStr">
        <is>
          <t>Recip_2D-9R</t>
        </is>
      </c>
    </row>
    <row r="1431">
      <c r="A1431" t="inlineStr">
        <is>
          <t>COPELAND</t>
        </is>
      </c>
      <c r="B1431" t="inlineStr">
        <is>
          <t>6DJ3R40M0-TSN</t>
        </is>
      </c>
      <c r="D1431" t="inlineStr">
        <is>
          <t>Reciprocating Semi-hermetic</t>
        </is>
      </c>
      <c r="E1431" s="2" t="n">
        <v>3</v>
      </c>
      <c r="F1431" s="2" t="n">
        <v>60</v>
      </c>
      <c r="G1431" s="2" t="n">
        <v>230</v>
      </c>
      <c r="H1431" t="inlineStr">
        <is>
          <t>230</t>
        </is>
      </c>
      <c r="I1431" s="2" t="n">
        <v>230</v>
      </c>
      <c r="J1431" s="2" t="n">
        <v>230</v>
      </c>
      <c r="L1431" s="3" t="n"/>
      <c r="M1431" s="3" t="n"/>
      <c r="N1431" s="3" t="n">
        <v>141.4</v>
      </c>
      <c r="O1431" s="3" t="n"/>
      <c r="P1431" s="3">
        <f>IF(L1431&lt;&gt;"",L1431/1.4,"")</f>
        <v/>
      </c>
      <c r="Q1431" s="3">
        <f>IF(L1431&lt;&gt;"",L1431/1.56,"")</f>
        <v/>
      </c>
      <c r="R1431" s="3">
        <f>IF(M1431&lt;&gt;"",M1431/1.4,"")</f>
        <v/>
      </c>
      <c r="S1431" s="3">
        <f>IF(M1431&lt;&gt;"",M1431/1.56,"")</f>
        <v/>
      </c>
      <c r="T1431" s="3">
        <f>IF(N1431&lt;&gt;"",N1431,IF(O1431&lt;&gt;"",O1431,IF(L1431&lt;&gt;"",L1431/1.56,IF(M1431&lt;&gt;"",M1431/1.56,""))))</f>
        <v/>
      </c>
      <c r="U1431" s="3" t="n">
        <v>594</v>
      </c>
      <c r="V1431" s="3" t="n">
        <v>340</v>
      </c>
      <c r="W1431" s="3" t="n"/>
      <c r="X1431" s="4" t="n"/>
      <c r="Y1431" s="5" t="n">
        <v>0.08500000000000001</v>
      </c>
      <c r="Z1431" s="4">
        <f>IF(L1431&lt;&gt;"",SQRT(3)*G1431*L1431/1000,"")</f>
        <v/>
      </c>
      <c r="AA1431" t="inlineStr">
        <is>
          <t>Source=Copeland 2D/3D/4D/4R/6D/8D/9R compressors (pdf) p70; PWS_RLA=71.0</t>
        </is>
      </c>
      <c r="AB1431" t="inlineStr">
        <is>
          <t>Copeland_RLA_230_460_3ph_60Hz.xlsx</t>
        </is>
      </c>
      <c r="AC1431" t="inlineStr">
        <is>
          <t>Recip_2D-9R</t>
        </is>
      </c>
    </row>
    <row r="1432">
      <c r="A1432" t="inlineStr">
        <is>
          <t>COPELAND</t>
        </is>
      </c>
      <c r="B1432" t="inlineStr">
        <is>
          <t>6DJ3R40M0-TSN</t>
        </is>
      </c>
      <c r="D1432" t="inlineStr">
        <is>
          <t>Reciprocating Semi-hermetic</t>
        </is>
      </c>
      <c r="E1432" s="2" t="n">
        <v>3</v>
      </c>
      <c r="F1432" s="2" t="n">
        <v>60</v>
      </c>
      <c r="G1432" s="2" t="n">
        <v>460</v>
      </c>
      <c r="H1432" t="inlineStr">
        <is>
          <t>460</t>
        </is>
      </c>
      <c r="I1432" s="2" t="n">
        <v>460</v>
      </c>
      <c r="J1432" s="2" t="n">
        <v>460</v>
      </c>
      <c r="L1432" s="3" t="n"/>
      <c r="M1432" s="3" t="n"/>
      <c r="N1432" s="3" t="n">
        <v>70.7</v>
      </c>
      <c r="O1432" s="3" t="n"/>
      <c r="P1432" s="3">
        <f>IF(L1432&lt;&gt;"",L1432/1.4,"")</f>
        <v/>
      </c>
      <c r="Q1432" s="3">
        <f>IF(L1432&lt;&gt;"",L1432/1.56,"")</f>
        <v/>
      </c>
      <c r="R1432" s="3">
        <f>IF(M1432&lt;&gt;"",M1432/1.4,"")</f>
        <v/>
      </c>
      <c r="S1432" s="3">
        <f>IF(M1432&lt;&gt;"",M1432/1.56,"")</f>
        <v/>
      </c>
      <c r="T1432" s="3">
        <f>IF(N1432&lt;&gt;"",N1432,IF(O1432&lt;&gt;"",O1432,IF(L1432&lt;&gt;"",L1432/1.56,IF(M1432&lt;&gt;"",M1432/1.56,""))))</f>
        <v/>
      </c>
      <c r="U1432" s="3" t="n">
        <v>297</v>
      </c>
      <c r="V1432" s="3" t="n"/>
      <c r="W1432" s="3" t="n"/>
      <c r="X1432" s="4" t="n"/>
      <c r="Y1432" s="5" t="n">
        <v>0.34</v>
      </c>
      <c r="Z1432" s="4">
        <f>IF(L1432&lt;&gt;"",SQRT(3)*G1432*L1432/1000,"")</f>
        <v/>
      </c>
      <c r="AA1432" t="inlineStr">
        <is>
          <t>Source=Copeland 2D/3D/4D/4R/6D/8D/9R compressors (pdf) p70</t>
        </is>
      </c>
      <c r="AB1432" t="inlineStr">
        <is>
          <t>Copeland_RLA_230_460_3ph_60Hz.xlsx</t>
        </is>
      </c>
      <c r="AC1432" t="inlineStr">
        <is>
          <t>Recip_2D-9R</t>
        </is>
      </c>
    </row>
    <row r="1433">
      <c r="A1433" t="inlineStr">
        <is>
          <t>COPELAND</t>
        </is>
      </c>
      <c r="B1433" t="inlineStr">
        <is>
          <t>6DJ3R40ME-FSD</t>
        </is>
      </c>
      <c r="D1433" t="inlineStr">
        <is>
          <t>Reciprocating Semi-hermetic</t>
        </is>
      </c>
      <c r="E1433" s="2" t="n">
        <v>3</v>
      </c>
      <c r="F1433" s="2" t="n">
        <v>60</v>
      </c>
      <c r="G1433" s="2" t="n">
        <v>460</v>
      </c>
      <c r="H1433" t="inlineStr">
        <is>
          <t>460</t>
        </is>
      </c>
      <c r="I1433" s="2" t="n">
        <v>460</v>
      </c>
      <c r="J1433" s="2" t="n">
        <v>460</v>
      </c>
      <c r="L1433" s="3" t="n"/>
      <c r="M1433" s="3" t="n"/>
      <c r="N1433" s="3" t="n">
        <v>86.40000000000001</v>
      </c>
      <c r="O1433" s="3" t="n"/>
      <c r="P1433" s="3">
        <f>IF(L1433&lt;&gt;"",L1433/1.4,"")</f>
        <v/>
      </c>
      <c r="Q1433" s="3">
        <f>IF(L1433&lt;&gt;"",L1433/1.56,"")</f>
        <v/>
      </c>
      <c r="R1433" s="3">
        <f>IF(M1433&lt;&gt;"",M1433/1.4,"")</f>
        <v/>
      </c>
      <c r="S1433" s="3">
        <f>IF(M1433&lt;&gt;"",M1433/1.56,"")</f>
        <v/>
      </c>
      <c r="T1433" s="3">
        <f>IF(N1433&lt;&gt;"",N1433,IF(O1433&lt;&gt;"",O1433,IF(L1433&lt;&gt;"",L1433/1.56,IF(M1433&lt;&gt;"",M1433/1.56,""))))</f>
        <v/>
      </c>
      <c r="U1433" s="3" t="n">
        <v>315</v>
      </c>
      <c r="V1433" s="3" t="n">
        <v>195</v>
      </c>
      <c r="W1433" s="3" t="n"/>
      <c r="X1433" s="4" t="n"/>
      <c r="Y1433" s="5" t="n">
        <v>0.32</v>
      </c>
      <c r="Z1433" s="4">
        <f>IF(L1433&lt;&gt;"",SQRT(3)*G1433*L1433/1000,"")</f>
        <v/>
      </c>
      <c r="AA1433" t="inlineStr">
        <is>
          <t>Source=Copeland 2D/3D/4D/4R/6D/8D/9R compressors (pdf) p70; PWS_RLA=43.2</t>
        </is>
      </c>
      <c r="AB1433" t="inlineStr">
        <is>
          <t>Copeland_RLA_230_460_3ph_60Hz.xlsx</t>
        </is>
      </c>
      <c r="AC1433" t="inlineStr">
        <is>
          <t>Recip_2D-9R</t>
        </is>
      </c>
    </row>
    <row r="1434">
      <c r="A1434" t="inlineStr">
        <is>
          <t>COPELAND</t>
        </is>
      </c>
      <c r="B1434" t="inlineStr">
        <is>
          <t>6DJ3R40ME-TSN</t>
        </is>
      </c>
      <c r="D1434" t="inlineStr">
        <is>
          <t>Reciprocating Semi-hermetic</t>
        </is>
      </c>
      <c r="E1434" s="2" t="n">
        <v>3</v>
      </c>
      <c r="F1434" s="2" t="n">
        <v>60</v>
      </c>
      <c r="G1434" s="2" t="n">
        <v>230</v>
      </c>
      <c r="H1434" t="inlineStr">
        <is>
          <t>230</t>
        </is>
      </c>
      <c r="I1434" s="2" t="n">
        <v>230</v>
      </c>
      <c r="J1434" s="2" t="n">
        <v>230</v>
      </c>
      <c r="L1434" s="3" t="n"/>
      <c r="M1434" s="3" t="n"/>
      <c r="N1434" s="3" t="n">
        <v>158.6</v>
      </c>
      <c r="O1434" s="3" t="n"/>
      <c r="P1434" s="3">
        <f>IF(L1434&lt;&gt;"",L1434/1.4,"")</f>
        <v/>
      </c>
      <c r="Q1434" s="3">
        <f>IF(L1434&lt;&gt;"",L1434/1.56,"")</f>
        <v/>
      </c>
      <c r="R1434" s="3">
        <f>IF(M1434&lt;&gt;"",M1434/1.4,"")</f>
        <v/>
      </c>
      <c r="S1434" s="3">
        <f>IF(M1434&lt;&gt;"",M1434/1.56,"")</f>
        <v/>
      </c>
      <c r="T1434" s="3">
        <f>IF(N1434&lt;&gt;"",N1434,IF(O1434&lt;&gt;"",O1434,IF(L1434&lt;&gt;"",L1434/1.56,IF(M1434&lt;&gt;"",M1434/1.56,""))))</f>
        <v/>
      </c>
      <c r="U1434" s="3" t="n">
        <v>594</v>
      </c>
      <c r="V1434" s="3" t="n">
        <v>340</v>
      </c>
      <c r="W1434" s="3" t="n"/>
      <c r="X1434" s="4" t="n"/>
      <c r="Y1434" s="5" t="n">
        <v>0.08500000000000001</v>
      </c>
      <c r="Z1434" s="4">
        <f>IF(L1434&lt;&gt;"",SQRT(3)*G1434*L1434/1000,"")</f>
        <v/>
      </c>
      <c r="AA1434" t="inlineStr">
        <is>
          <t>Source=Copeland 2D/3D/4D/4R/6D/8D/9R compressors (pdf) p70; PWS_RLA=79.3</t>
        </is>
      </c>
      <c r="AB1434" t="inlineStr">
        <is>
          <t>Copeland_RLA_230_460_3ph_60Hz.xlsx</t>
        </is>
      </c>
      <c r="AC1434" t="inlineStr">
        <is>
          <t>Recip_2D-9R</t>
        </is>
      </c>
    </row>
    <row r="1435">
      <c r="A1435" t="inlineStr">
        <is>
          <t>COPELAND</t>
        </is>
      </c>
      <c r="B1435" t="inlineStr">
        <is>
          <t>6DJ3R40ME-TSN</t>
        </is>
      </c>
      <c r="D1435" t="inlineStr">
        <is>
          <t>Reciprocating Semi-hermetic</t>
        </is>
      </c>
      <c r="E1435" s="2" t="n">
        <v>3</v>
      </c>
      <c r="F1435" s="2" t="n">
        <v>60</v>
      </c>
      <c r="G1435" s="2" t="n">
        <v>460</v>
      </c>
      <c r="H1435" t="inlineStr">
        <is>
          <t>460</t>
        </is>
      </c>
      <c r="I1435" s="2" t="n">
        <v>460</v>
      </c>
      <c r="J1435" s="2" t="n">
        <v>460</v>
      </c>
      <c r="L1435" s="3" t="n"/>
      <c r="M1435" s="3" t="n"/>
      <c r="N1435" s="3" t="n">
        <v>79.3</v>
      </c>
      <c r="O1435" s="3" t="n"/>
      <c r="P1435" s="3">
        <f>IF(L1435&lt;&gt;"",L1435/1.4,"")</f>
        <v/>
      </c>
      <c r="Q1435" s="3">
        <f>IF(L1435&lt;&gt;"",L1435/1.56,"")</f>
        <v/>
      </c>
      <c r="R1435" s="3">
        <f>IF(M1435&lt;&gt;"",M1435/1.4,"")</f>
        <v/>
      </c>
      <c r="S1435" s="3">
        <f>IF(M1435&lt;&gt;"",M1435/1.56,"")</f>
        <v/>
      </c>
      <c r="T1435" s="3">
        <f>IF(N1435&lt;&gt;"",N1435,IF(O1435&lt;&gt;"",O1435,IF(L1435&lt;&gt;"",L1435/1.56,IF(M1435&lt;&gt;"",M1435/1.56,""))))</f>
        <v/>
      </c>
      <c r="U1435" s="3" t="n">
        <v>297</v>
      </c>
      <c r="V1435" s="3" t="n"/>
      <c r="W1435" s="3" t="n"/>
      <c r="X1435" s="4" t="n"/>
      <c r="Y1435" s="5" t="n">
        <v>0.34</v>
      </c>
      <c r="Z1435" s="4">
        <f>IF(L1435&lt;&gt;"",SQRT(3)*G1435*L1435/1000,"")</f>
        <v/>
      </c>
      <c r="AA1435" t="inlineStr">
        <is>
          <t>Source=Copeland 2D/3D/4D/4R/6D/8D/9R compressors (pdf) p70</t>
        </is>
      </c>
      <c r="AB1435" t="inlineStr">
        <is>
          <t>Copeland_RLA_230_460_3ph_60Hz.xlsx</t>
        </is>
      </c>
      <c r="AC1435" t="inlineStr">
        <is>
          <t>Recip_2D-9R</t>
        </is>
      </c>
    </row>
    <row r="1436">
      <c r="A1436" t="inlineStr">
        <is>
          <t>COPELAND</t>
        </is>
      </c>
      <c r="B1436" t="inlineStr">
        <is>
          <t>6DJ3R40ML-FSD</t>
        </is>
      </c>
      <c r="D1436" t="inlineStr">
        <is>
          <t>Reciprocating Semi-hermetic</t>
        </is>
      </c>
      <c r="E1436" s="2" t="n">
        <v>3</v>
      </c>
      <c r="F1436" s="2" t="n">
        <v>60</v>
      </c>
      <c r="G1436" s="2" t="n">
        <v>460</v>
      </c>
      <c r="H1436" t="inlineStr">
        <is>
          <t>460</t>
        </is>
      </c>
      <c r="I1436" s="2" t="n">
        <v>460</v>
      </c>
      <c r="J1436" s="2" t="n">
        <v>460</v>
      </c>
      <c r="L1436" s="3" t="n"/>
      <c r="M1436" s="3" t="n"/>
      <c r="N1436" s="3" t="n">
        <v>86.40000000000001</v>
      </c>
      <c r="O1436" s="3" t="n"/>
      <c r="P1436" s="3">
        <f>IF(L1436&lt;&gt;"",L1436/1.4,"")</f>
        <v/>
      </c>
      <c r="Q1436" s="3">
        <f>IF(L1436&lt;&gt;"",L1436/1.56,"")</f>
        <v/>
      </c>
      <c r="R1436" s="3">
        <f>IF(M1436&lt;&gt;"",M1436/1.4,"")</f>
        <v/>
      </c>
      <c r="S1436" s="3">
        <f>IF(M1436&lt;&gt;"",M1436/1.56,"")</f>
        <v/>
      </c>
      <c r="T1436" s="3">
        <f>IF(N1436&lt;&gt;"",N1436,IF(O1436&lt;&gt;"",O1436,IF(L1436&lt;&gt;"",L1436/1.56,IF(M1436&lt;&gt;"",M1436/1.56,""))))</f>
        <v/>
      </c>
      <c r="U1436" s="3" t="n">
        <v>315</v>
      </c>
      <c r="V1436" s="3" t="n">
        <v>195</v>
      </c>
      <c r="W1436" s="3" t="n"/>
      <c r="X1436" s="4" t="n"/>
      <c r="Y1436" s="5" t="n">
        <v>0.32</v>
      </c>
      <c r="Z1436" s="4">
        <f>IF(L1436&lt;&gt;"",SQRT(3)*G1436*L1436/1000,"")</f>
        <v/>
      </c>
      <c r="AA1436" t="inlineStr">
        <is>
          <t>Source=Copeland 2D/3D/4D/4R/6D/8D/9R compressors (pdf) p70; PWS_RLA=43.2</t>
        </is>
      </c>
      <c r="AB1436" t="inlineStr">
        <is>
          <t>Copeland_RLA_230_460_3ph_60Hz.xlsx</t>
        </is>
      </c>
      <c r="AC1436" t="inlineStr">
        <is>
          <t>Recip_2D-9R</t>
        </is>
      </c>
    </row>
    <row r="1437">
      <c r="A1437" t="inlineStr">
        <is>
          <t>COPELAND</t>
        </is>
      </c>
      <c r="B1437" t="inlineStr">
        <is>
          <t>6DJ3R40ML-TSN</t>
        </is>
      </c>
      <c r="D1437" t="inlineStr">
        <is>
          <t>Reciprocating Semi-hermetic</t>
        </is>
      </c>
      <c r="E1437" s="2" t="n">
        <v>3</v>
      </c>
      <c r="F1437" s="2" t="n">
        <v>60</v>
      </c>
      <c r="G1437" s="2" t="n">
        <v>230</v>
      </c>
      <c r="H1437" t="inlineStr">
        <is>
          <t>230</t>
        </is>
      </c>
      <c r="I1437" s="2" t="n">
        <v>230</v>
      </c>
      <c r="J1437" s="2" t="n">
        <v>230</v>
      </c>
      <c r="L1437" s="3" t="n"/>
      <c r="M1437" s="3" t="n"/>
      <c r="N1437" s="3" t="n">
        <v>158.6</v>
      </c>
      <c r="O1437" s="3" t="n"/>
      <c r="P1437" s="3">
        <f>IF(L1437&lt;&gt;"",L1437/1.4,"")</f>
        <v/>
      </c>
      <c r="Q1437" s="3">
        <f>IF(L1437&lt;&gt;"",L1437/1.56,"")</f>
        <v/>
      </c>
      <c r="R1437" s="3">
        <f>IF(M1437&lt;&gt;"",M1437/1.4,"")</f>
        <v/>
      </c>
      <c r="S1437" s="3">
        <f>IF(M1437&lt;&gt;"",M1437/1.56,"")</f>
        <v/>
      </c>
      <c r="T1437" s="3">
        <f>IF(N1437&lt;&gt;"",N1437,IF(O1437&lt;&gt;"",O1437,IF(L1437&lt;&gt;"",L1437/1.56,IF(M1437&lt;&gt;"",M1437/1.56,""))))</f>
        <v/>
      </c>
      <c r="U1437" s="3" t="n">
        <v>594</v>
      </c>
      <c r="V1437" s="3" t="n">
        <v>340</v>
      </c>
      <c r="W1437" s="3" t="n"/>
      <c r="X1437" s="4" t="n"/>
      <c r="Y1437" s="5" t="n">
        <v>0.08500000000000001</v>
      </c>
      <c r="Z1437" s="4">
        <f>IF(L1437&lt;&gt;"",SQRT(3)*G1437*L1437/1000,"")</f>
        <v/>
      </c>
      <c r="AA1437" t="inlineStr">
        <is>
          <t>Source=Copeland 2D/3D/4D/4R/6D/8D/9R compressors (pdf) p71; PWS_RLA=79.3</t>
        </is>
      </c>
      <c r="AB1437" t="inlineStr">
        <is>
          <t>Copeland_RLA_230_460_3ph_60Hz.xlsx</t>
        </is>
      </c>
      <c r="AC1437" t="inlineStr">
        <is>
          <t>Recip_2D-9R</t>
        </is>
      </c>
    </row>
    <row r="1438">
      <c r="A1438" t="inlineStr">
        <is>
          <t>COPELAND</t>
        </is>
      </c>
      <c r="B1438" t="inlineStr">
        <is>
          <t>6DJ3R40ML-TSN</t>
        </is>
      </c>
      <c r="D1438" t="inlineStr">
        <is>
          <t>Reciprocating Semi-hermetic</t>
        </is>
      </c>
      <c r="E1438" s="2" t="n">
        <v>3</v>
      </c>
      <c r="F1438" s="2" t="n">
        <v>60</v>
      </c>
      <c r="G1438" s="2" t="n">
        <v>460</v>
      </c>
      <c r="H1438" t="inlineStr">
        <is>
          <t>460</t>
        </is>
      </c>
      <c r="I1438" s="2" t="n">
        <v>460</v>
      </c>
      <c r="J1438" s="2" t="n">
        <v>460</v>
      </c>
      <c r="L1438" s="3" t="n"/>
      <c r="M1438" s="3" t="n"/>
      <c r="N1438" s="3" t="n">
        <v>79.3</v>
      </c>
      <c r="O1438" s="3" t="n"/>
      <c r="P1438" s="3">
        <f>IF(L1438&lt;&gt;"",L1438/1.4,"")</f>
        <v/>
      </c>
      <c r="Q1438" s="3">
        <f>IF(L1438&lt;&gt;"",L1438/1.56,"")</f>
        <v/>
      </c>
      <c r="R1438" s="3">
        <f>IF(M1438&lt;&gt;"",M1438/1.4,"")</f>
        <v/>
      </c>
      <c r="S1438" s="3">
        <f>IF(M1438&lt;&gt;"",M1438/1.56,"")</f>
        <v/>
      </c>
      <c r="T1438" s="3">
        <f>IF(N1438&lt;&gt;"",N1438,IF(O1438&lt;&gt;"",O1438,IF(L1438&lt;&gt;"",L1438/1.56,IF(M1438&lt;&gt;"",M1438/1.56,""))))</f>
        <v/>
      </c>
      <c r="U1438" s="3" t="n">
        <v>297</v>
      </c>
      <c r="V1438" s="3" t="n"/>
      <c r="W1438" s="3" t="n"/>
      <c r="X1438" s="4" t="n"/>
      <c r="Y1438" s="5" t="n">
        <v>0.34</v>
      </c>
      <c r="Z1438" s="4">
        <f>IF(L1438&lt;&gt;"",SQRT(3)*G1438*L1438/1000,"")</f>
        <v/>
      </c>
      <c r="AA1438" t="inlineStr">
        <is>
          <t>Source=Copeland 2D/3D/4D/4R/6D/8D/9R compressors (pdf) p71</t>
        </is>
      </c>
      <c r="AB1438" t="inlineStr">
        <is>
          <t>Copeland_RLA_230_460_3ph_60Hz.xlsx</t>
        </is>
      </c>
      <c r="AC1438" t="inlineStr">
        <is>
          <t>Recip_2D-9R</t>
        </is>
      </c>
    </row>
    <row r="1439">
      <c r="A1439" t="inlineStr">
        <is>
          <t>COPELAND</t>
        </is>
      </c>
      <c r="B1439" t="inlineStr">
        <is>
          <t>6DJG-4000-FSD</t>
        </is>
      </c>
      <c r="D1439" t="inlineStr">
        <is>
          <t>Reciprocating Semi-hermetic</t>
        </is>
      </c>
      <c r="E1439" s="2" t="n">
        <v>3</v>
      </c>
      <c r="F1439" s="2" t="n">
        <v>60</v>
      </c>
      <c r="G1439" s="2" t="n">
        <v>460</v>
      </c>
      <c r="H1439" t="inlineStr">
        <is>
          <t>460</t>
        </is>
      </c>
      <c r="I1439" s="2" t="n">
        <v>460</v>
      </c>
      <c r="J1439" s="2" t="n">
        <v>460</v>
      </c>
      <c r="L1439" s="3" t="n"/>
      <c r="M1439" s="3" t="n"/>
      <c r="N1439" s="3" t="n">
        <v>70</v>
      </c>
      <c r="O1439" s="3" t="n"/>
      <c r="P1439" s="3">
        <f>IF(L1439&lt;&gt;"",L1439/1.4,"")</f>
        <v/>
      </c>
      <c r="Q1439" s="3">
        <f>IF(L1439&lt;&gt;"",L1439/1.56,"")</f>
        <v/>
      </c>
      <c r="R1439" s="3">
        <f>IF(M1439&lt;&gt;"",M1439/1.4,"")</f>
        <v/>
      </c>
      <c r="S1439" s="3">
        <f>IF(M1439&lt;&gt;"",M1439/1.56,"")</f>
        <v/>
      </c>
      <c r="T1439" s="3">
        <f>IF(N1439&lt;&gt;"",N1439,IF(O1439&lt;&gt;"",O1439,IF(L1439&lt;&gt;"",L1439/1.56,IF(M1439&lt;&gt;"",M1439/1.56,""))))</f>
        <v/>
      </c>
      <c r="U1439" s="3" t="n">
        <v>315</v>
      </c>
      <c r="V1439" s="3" t="n">
        <v>195</v>
      </c>
      <c r="W1439" s="3" t="n"/>
      <c r="X1439" s="4" t="n"/>
      <c r="Y1439" s="5" t="n">
        <v>0.32</v>
      </c>
      <c r="Z1439" s="4">
        <f>IF(L1439&lt;&gt;"",SQRT(3)*G1439*L1439/1000,"")</f>
        <v/>
      </c>
      <c r="AA1439" t="inlineStr">
        <is>
          <t>Source=Copeland 2D/3D/4D/4R/6D/8D/9R compressors (pdf) p71; PWS_RLA=35.0</t>
        </is>
      </c>
      <c r="AB1439" t="inlineStr">
        <is>
          <t>Copeland_RLA_230_460_3ph_60Hz.xlsx</t>
        </is>
      </c>
      <c r="AC1439" t="inlineStr">
        <is>
          <t>Recip_2D-9R</t>
        </is>
      </c>
    </row>
    <row r="1440">
      <c r="A1440" t="inlineStr">
        <is>
          <t>COPELAND</t>
        </is>
      </c>
      <c r="B1440" t="inlineStr">
        <is>
          <t>6DJG-4000-TSN</t>
        </is>
      </c>
      <c r="D1440" t="inlineStr">
        <is>
          <t>Reciprocating Semi-hermetic</t>
        </is>
      </c>
      <c r="E1440" s="2" t="n">
        <v>3</v>
      </c>
      <c r="F1440" s="2" t="n">
        <v>60</v>
      </c>
      <c r="G1440" s="2" t="n">
        <v>230</v>
      </c>
      <c r="H1440" t="inlineStr">
        <is>
          <t>230</t>
        </is>
      </c>
      <c r="I1440" s="2" t="n">
        <v>230</v>
      </c>
      <c r="J1440" s="2" t="n">
        <v>230</v>
      </c>
      <c r="L1440" s="3" t="n"/>
      <c r="M1440" s="3" t="n"/>
      <c r="N1440" s="3" t="n">
        <v>141.4</v>
      </c>
      <c r="O1440" s="3" t="n"/>
      <c r="P1440" s="3">
        <f>IF(L1440&lt;&gt;"",L1440/1.4,"")</f>
        <v/>
      </c>
      <c r="Q1440" s="3">
        <f>IF(L1440&lt;&gt;"",L1440/1.56,"")</f>
        <v/>
      </c>
      <c r="R1440" s="3">
        <f>IF(M1440&lt;&gt;"",M1440/1.4,"")</f>
        <v/>
      </c>
      <c r="S1440" s="3">
        <f>IF(M1440&lt;&gt;"",M1440/1.56,"")</f>
        <v/>
      </c>
      <c r="T1440" s="3">
        <f>IF(N1440&lt;&gt;"",N1440,IF(O1440&lt;&gt;"",O1440,IF(L1440&lt;&gt;"",L1440/1.56,IF(M1440&lt;&gt;"",M1440/1.56,""))))</f>
        <v/>
      </c>
      <c r="U1440" s="3" t="n">
        <v>594</v>
      </c>
      <c r="V1440" s="3" t="n">
        <v>340</v>
      </c>
      <c r="W1440" s="3" t="n"/>
      <c r="X1440" s="4" t="n"/>
      <c r="Y1440" s="5" t="n">
        <v>0.08500000000000001</v>
      </c>
      <c r="Z1440" s="4">
        <f>IF(L1440&lt;&gt;"",SQRT(3)*G1440*L1440/1000,"")</f>
        <v/>
      </c>
      <c r="AA1440" t="inlineStr">
        <is>
          <t>Source=Copeland 2D/3D/4D/4R/6D/8D/9R compressors (pdf) p71; PWS_RLA=71.0</t>
        </is>
      </c>
      <c r="AB1440" t="inlineStr">
        <is>
          <t>Copeland_RLA_230_460_3ph_60Hz.xlsx</t>
        </is>
      </c>
      <c r="AC1440" t="inlineStr">
        <is>
          <t>Recip_2D-9R</t>
        </is>
      </c>
    </row>
    <row r="1441">
      <c r="A1441" t="inlineStr">
        <is>
          <t>COPELAND</t>
        </is>
      </c>
      <c r="B1441" t="inlineStr">
        <is>
          <t>6DJG-4000-TSN</t>
        </is>
      </c>
      <c r="D1441" t="inlineStr">
        <is>
          <t>Reciprocating Semi-hermetic</t>
        </is>
      </c>
      <c r="E1441" s="2" t="n">
        <v>3</v>
      </c>
      <c r="F1441" s="2" t="n">
        <v>60</v>
      </c>
      <c r="G1441" s="2" t="n">
        <v>460</v>
      </c>
      <c r="H1441" t="inlineStr">
        <is>
          <t>460</t>
        </is>
      </c>
      <c r="I1441" s="2" t="n">
        <v>460</v>
      </c>
      <c r="J1441" s="2" t="n">
        <v>460</v>
      </c>
      <c r="L1441" s="3" t="n"/>
      <c r="M1441" s="3" t="n"/>
      <c r="N1441" s="3" t="n">
        <v>70.7</v>
      </c>
      <c r="O1441" s="3" t="n"/>
      <c r="P1441" s="3">
        <f>IF(L1441&lt;&gt;"",L1441/1.4,"")</f>
        <v/>
      </c>
      <c r="Q1441" s="3">
        <f>IF(L1441&lt;&gt;"",L1441/1.56,"")</f>
        <v/>
      </c>
      <c r="R1441" s="3">
        <f>IF(M1441&lt;&gt;"",M1441/1.4,"")</f>
        <v/>
      </c>
      <c r="S1441" s="3">
        <f>IF(M1441&lt;&gt;"",M1441/1.56,"")</f>
        <v/>
      </c>
      <c r="T1441" s="3">
        <f>IF(N1441&lt;&gt;"",N1441,IF(O1441&lt;&gt;"",O1441,IF(L1441&lt;&gt;"",L1441/1.56,IF(M1441&lt;&gt;"",M1441/1.56,""))))</f>
        <v/>
      </c>
      <c r="U1441" s="3" t="n">
        <v>297</v>
      </c>
      <c r="V1441" s="3" t="n"/>
      <c r="W1441" s="3" t="n"/>
      <c r="X1441" s="4" t="n"/>
      <c r="Y1441" s="5" t="n">
        <v>0.34</v>
      </c>
      <c r="Z1441" s="4">
        <f>IF(L1441&lt;&gt;"",SQRT(3)*G1441*L1441/1000,"")</f>
        <v/>
      </c>
      <c r="AA1441" t="inlineStr">
        <is>
          <t>Source=Copeland 2D/3D/4D/4R/6D/8D/9R compressors (pdf) p71</t>
        </is>
      </c>
      <c r="AB1441" t="inlineStr">
        <is>
          <t>Copeland_RLA_230_460_3ph_60Hz.xlsx</t>
        </is>
      </c>
      <c r="AC1441" t="inlineStr">
        <is>
          <t>Recip_2D-9R</t>
        </is>
      </c>
    </row>
    <row r="1442">
      <c r="A1442" t="inlineStr">
        <is>
          <t>COPELAND</t>
        </is>
      </c>
      <c r="B1442" t="inlineStr">
        <is>
          <t>6DJG-400E-FSD</t>
        </is>
      </c>
      <c r="D1442" t="inlineStr">
        <is>
          <t>Reciprocating Semi-hermetic</t>
        </is>
      </c>
      <c r="E1442" s="2" t="n">
        <v>3</v>
      </c>
      <c r="F1442" s="2" t="n">
        <v>60</v>
      </c>
      <c r="G1442" s="2" t="n">
        <v>460</v>
      </c>
      <c r="H1442" t="inlineStr">
        <is>
          <t>460</t>
        </is>
      </c>
      <c r="I1442" s="2" t="n">
        <v>460</v>
      </c>
      <c r="J1442" s="2" t="n">
        <v>460</v>
      </c>
      <c r="L1442" s="3" t="n"/>
      <c r="M1442" s="3" t="n"/>
      <c r="N1442" s="3" t="n">
        <v>70</v>
      </c>
      <c r="O1442" s="3" t="n"/>
      <c r="P1442" s="3">
        <f>IF(L1442&lt;&gt;"",L1442/1.4,"")</f>
        <v/>
      </c>
      <c r="Q1442" s="3">
        <f>IF(L1442&lt;&gt;"",L1442/1.56,"")</f>
        <v/>
      </c>
      <c r="R1442" s="3">
        <f>IF(M1442&lt;&gt;"",M1442/1.4,"")</f>
        <v/>
      </c>
      <c r="S1442" s="3">
        <f>IF(M1442&lt;&gt;"",M1442/1.56,"")</f>
        <v/>
      </c>
      <c r="T1442" s="3">
        <f>IF(N1442&lt;&gt;"",N1442,IF(O1442&lt;&gt;"",O1442,IF(L1442&lt;&gt;"",L1442/1.56,IF(M1442&lt;&gt;"",M1442/1.56,""))))</f>
        <v/>
      </c>
      <c r="U1442" s="3" t="n">
        <v>315</v>
      </c>
      <c r="V1442" s="3" t="n">
        <v>195</v>
      </c>
      <c r="W1442" s="3" t="n"/>
      <c r="X1442" s="4" t="n"/>
      <c r="Y1442" s="5" t="n">
        <v>0.32</v>
      </c>
      <c r="Z1442" s="4">
        <f>IF(L1442&lt;&gt;"",SQRT(3)*G1442*L1442/1000,"")</f>
        <v/>
      </c>
      <c r="AA1442" t="inlineStr">
        <is>
          <t>Source=Copeland 2D/3D/4D/4R/6D/8D/9R compressors (pdf) p71; PWS_RLA=35.0</t>
        </is>
      </c>
      <c r="AB1442" t="inlineStr">
        <is>
          <t>Copeland_RLA_230_460_3ph_60Hz.xlsx</t>
        </is>
      </c>
      <c r="AC1442" t="inlineStr">
        <is>
          <t>Recip_2D-9R</t>
        </is>
      </c>
    </row>
    <row r="1443">
      <c r="A1443" t="inlineStr">
        <is>
          <t>COPELAND</t>
        </is>
      </c>
      <c r="B1443" t="inlineStr">
        <is>
          <t>6DJGA4000-FSD</t>
        </is>
      </c>
      <c r="D1443" t="inlineStr">
        <is>
          <t>Reciprocating Semi-hermetic</t>
        </is>
      </c>
      <c r="E1443" s="2" t="n">
        <v>3</v>
      </c>
      <c r="F1443" s="2" t="n">
        <v>60</v>
      </c>
      <c r="G1443" s="2" t="n">
        <v>460</v>
      </c>
      <c r="H1443" t="inlineStr">
        <is>
          <t>460</t>
        </is>
      </c>
      <c r="I1443" s="2" t="n">
        <v>460</v>
      </c>
      <c r="J1443" s="2" t="n">
        <v>460</v>
      </c>
      <c r="L1443" s="3" t="n"/>
      <c r="M1443" s="3" t="n"/>
      <c r="N1443" s="3" t="n">
        <v>70</v>
      </c>
      <c r="O1443" s="3" t="n"/>
      <c r="P1443" s="3">
        <f>IF(L1443&lt;&gt;"",L1443/1.4,"")</f>
        <v/>
      </c>
      <c r="Q1443" s="3">
        <f>IF(L1443&lt;&gt;"",L1443/1.56,"")</f>
        <v/>
      </c>
      <c r="R1443" s="3">
        <f>IF(M1443&lt;&gt;"",M1443/1.4,"")</f>
        <v/>
      </c>
      <c r="S1443" s="3">
        <f>IF(M1443&lt;&gt;"",M1443/1.56,"")</f>
        <v/>
      </c>
      <c r="T1443" s="3">
        <f>IF(N1443&lt;&gt;"",N1443,IF(O1443&lt;&gt;"",O1443,IF(L1443&lt;&gt;"",L1443/1.56,IF(M1443&lt;&gt;"",M1443/1.56,""))))</f>
        <v/>
      </c>
      <c r="U1443" s="3" t="n">
        <v>315</v>
      </c>
      <c r="V1443" s="3" t="n">
        <v>195</v>
      </c>
      <c r="W1443" s="3" t="n"/>
      <c r="X1443" s="4" t="n"/>
      <c r="Y1443" s="5" t="n">
        <v>0.32</v>
      </c>
      <c r="Z1443" s="4">
        <f>IF(L1443&lt;&gt;"",SQRT(3)*G1443*L1443/1000,"")</f>
        <v/>
      </c>
      <c r="AA1443" t="inlineStr">
        <is>
          <t>Source=Copeland 2D/3D/4D/4R/6D/8D/9R compressors (pdf) p71; PWS_RLA=35.0</t>
        </is>
      </c>
      <c r="AB1443" t="inlineStr">
        <is>
          <t>Copeland_RLA_230_460_3ph_60Hz.xlsx</t>
        </is>
      </c>
      <c r="AC1443" t="inlineStr">
        <is>
          <t>Recip_2D-9R</t>
        </is>
      </c>
    </row>
    <row r="1444">
      <c r="A1444" t="inlineStr">
        <is>
          <t>COPELAND</t>
        </is>
      </c>
      <c r="B1444" t="inlineStr">
        <is>
          <t>6DJGA4000-TSN</t>
        </is>
      </c>
      <c r="D1444" t="inlineStr">
        <is>
          <t>Reciprocating Semi-hermetic</t>
        </is>
      </c>
      <c r="E1444" s="2" t="n">
        <v>3</v>
      </c>
      <c r="F1444" s="2" t="n">
        <v>60</v>
      </c>
      <c r="G1444" s="2" t="n">
        <v>230</v>
      </c>
      <c r="H1444" t="inlineStr">
        <is>
          <t>230</t>
        </is>
      </c>
      <c r="I1444" s="2" t="n">
        <v>230</v>
      </c>
      <c r="J1444" s="2" t="n">
        <v>230</v>
      </c>
      <c r="L1444" s="3" t="n"/>
      <c r="M1444" s="3" t="n"/>
      <c r="N1444" s="3" t="n">
        <v>141.4</v>
      </c>
      <c r="O1444" s="3" t="n"/>
      <c r="P1444" s="3">
        <f>IF(L1444&lt;&gt;"",L1444/1.4,"")</f>
        <v/>
      </c>
      <c r="Q1444" s="3">
        <f>IF(L1444&lt;&gt;"",L1444/1.56,"")</f>
        <v/>
      </c>
      <c r="R1444" s="3">
        <f>IF(M1444&lt;&gt;"",M1444/1.4,"")</f>
        <v/>
      </c>
      <c r="S1444" s="3">
        <f>IF(M1444&lt;&gt;"",M1444/1.56,"")</f>
        <v/>
      </c>
      <c r="T1444" s="3">
        <f>IF(N1444&lt;&gt;"",N1444,IF(O1444&lt;&gt;"",O1444,IF(L1444&lt;&gt;"",L1444/1.56,IF(M1444&lt;&gt;"",M1444/1.56,""))))</f>
        <v/>
      </c>
      <c r="U1444" s="3" t="n">
        <v>594</v>
      </c>
      <c r="V1444" s="3" t="n">
        <v>340</v>
      </c>
      <c r="W1444" s="3" t="n"/>
      <c r="X1444" s="4" t="n"/>
      <c r="Y1444" s="5" t="n">
        <v>0.08500000000000001</v>
      </c>
      <c r="Z1444" s="4">
        <f>IF(L1444&lt;&gt;"",SQRT(3)*G1444*L1444/1000,"")</f>
        <v/>
      </c>
      <c r="AA1444" t="inlineStr">
        <is>
          <t>Source=Copeland 2D/3D/4D/4R/6D/8D/9R compressors (pdf) p71; PWS_RLA=71.0</t>
        </is>
      </c>
      <c r="AB1444" t="inlineStr">
        <is>
          <t>Copeland_RLA_230_460_3ph_60Hz.xlsx</t>
        </is>
      </c>
      <c r="AC1444" t="inlineStr">
        <is>
          <t>Recip_2D-9R</t>
        </is>
      </c>
    </row>
    <row r="1445">
      <c r="A1445" t="inlineStr">
        <is>
          <t>COPELAND</t>
        </is>
      </c>
      <c r="B1445" t="inlineStr">
        <is>
          <t>6DJGA4000-TSN</t>
        </is>
      </c>
      <c r="D1445" t="inlineStr">
        <is>
          <t>Reciprocating Semi-hermetic</t>
        </is>
      </c>
      <c r="E1445" s="2" t="n">
        <v>3</v>
      </c>
      <c r="F1445" s="2" t="n">
        <v>60</v>
      </c>
      <c r="G1445" s="2" t="n">
        <v>460</v>
      </c>
      <c r="H1445" t="inlineStr">
        <is>
          <t>460</t>
        </is>
      </c>
      <c r="I1445" s="2" t="n">
        <v>460</v>
      </c>
      <c r="J1445" s="2" t="n">
        <v>460</v>
      </c>
      <c r="L1445" s="3" t="n"/>
      <c r="M1445" s="3" t="n"/>
      <c r="N1445" s="3" t="n">
        <v>70.7</v>
      </c>
      <c r="O1445" s="3" t="n"/>
      <c r="P1445" s="3">
        <f>IF(L1445&lt;&gt;"",L1445/1.4,"")</f>
        <v/>
      </c>
      <c r="Q1445" s="3">
        <f>IF(L1445&lt;&gt;"",L1445/1.56,"")</f>
        <v/>
      </c>
      <c r="R1445" s="3">
        <f>IF(M1445&lt;&gt;"",M1445/1.4,"")</f>
        <v/>
      </c>
      <c r="S1445" s="3">
        <f>IF(M1445&lt;&gt;"",M1445/1.56,"")</f>
        <v/>
      </c>
      <c r="T1445" s="3">
        <f>IF(N1445&lt;&gt;"",N1445,IF(O1445&lt;&gt;"",O1445,IF(L1445&lt;&gt;"",L1445/1.56,IF(M1445&lt;&gt;"",M1445/1.56,""))))</f>
        <v/>
      </c>
      <c r="U1445" s="3" t="n">
        <v>297</v>
      </c>
      <c r="V1445" s="3" t="n"/>
      <c r="W1445" s="3" t="n"/>
      <c r="X1445" s="4" t="n"/>
      <c r="Y1445" s="5" t="n">
        <v>0.34</v>
      </c>
      <c r="Z1445" s="4">
        <f>IF(L1445&lt;&gt;"",SQRT(3)*G1445*L1445/1000,"")</f>
        <v/>
      </c>
      <c r="AA1445" t="inlineStr">
        <is>
          <t>Source=Copeland 2D/3D/4D/4R/6D/8D/9R compressors (pdf) p71</t>
        </is>
      </c>
      <c r="AB1445" t="inlineStr">
        <is>
          <t>Copeland_RLA_230_460_3ph_60Hz.xlsx</t>
        </is>
      </c>
      <c r="AC1445" t="inlineStr">
        <is>
          <t>Recip_2D-9R</t>
        </is>
      </c>
    </row>
    <row r="1446">
      <c r="A1446" t="inlineStr">
        <is>
          <t>COPELAND</t>
        </is>
      </c>
      <c r="B1446" t="inlineStr">
        <is>
          <t>6DK1-2000-TSK</t>
        </is>
      </c>
      <c r="D1446" t="inlineStr">
        <is>
          <t>Reciprocating Semi-hermetic</t>
        </is>
      </c>
      <c r="E1446" s="2" t="n">
        <v>3</v>
      </c>
      <c r="F1446" s="2" t="n">
        <v>60</v>
      </c>
      <c r="G1446" s="2" t="n">
        <v>230</v>
      </c>
      <c r="H1446" t="inlineStr">
        <is>
          <t>208/230</t>
        </is>
      </c>
      <c r="I1446" s="2" t="n">
        <v>208</v>
      </c>
      <c r="J1446" s="2" t="n">
        <v>230</v>
      </c>
      <c r="L1446" s="3" t="n"/>
      <c r="M1446" s="3" t="n"/>
      <c r="N1446" s="3" t="n">
        <v>75</v>
      </c>
      <c r="O1446" s="3" t="n"/>
      <c r="P1446" s="3">
        <f>IF(L1446&lt;&gt;"",L1446/1.4,"")</f>
        <v/>
      </c>
      <c r="Q1446" s="3">
        <f>IF(L1446&lt;&gt;"",L1446/1.56,"")</f>
        <v/>
      </c>
      <c r="R1446" s="3">
        <f>IF(M1446&lt;&gt;"",M1446/1.4,"")</f>
        <v/>
      </c>
      <c r="S1446" s="3">
        <f>IF(M1446&lt;&gt;"",M1446/1.56,"")</f>
        <v/>
      </c>
      <c r="T1446" s="3">
        <f>IF(N1446&lt;&gt;"",N1446,IF(O1446&lt;&gt;"",O1446,IF(L1446&lt;&gt;"",L1446/1.56,IF(M1446&lt;&gt;"",M1446/1.56,""))))</f>
        <v/>
      </c>
      <c r="U1446" s="3" t="n">
        <v>346</v>
      </c>
      <c r="V1446" s="3" t="n">
        <v>208</v>
      </c>
      <c r="W1446" s="3" t="n"/>
      <c r="X1446" s="4" t="n"/>
      <c r="Y1446" s="5" t="n">
        <v>0.142</v>
      </c>
      <c r="Z1446" s="4">
        <f>IF(L1446&lt;&gt;"",SQRT(3)*G1446*L1446/1000,"")</f>
        <v/>
      </c>
      <c r="AA1446" t="inlineStr">
        <is>
          <t>Source=Copeland 2D/3D/4D/4R/6D/8D/9R compressors (pdf) p71; PWS_RLA=37.5</t>
        </is>
      </c>
      <c r="AB1446" t="inlineStr">
        <is>
          <t>Copeland_RLA_230_460_3ph_60Hz.xlsx</t>
        </is>
      </c>
      <c r="AC1446" t="inlineStr">
        <is>
          <t>Recip_2D-9R</t>
        </is>
      </c>
    </row>
    <row r="1447">
      <c r="A1447" t="inlineStr">
        <is>
          <t>COPELAND</t>
        </is>
      </c>
      <c r="B1447" t="inlineStr">
        <is>
          <t>6DK1-2000-TSK</t>
        </is>
      </c>
      <c r="D1447" t="inlineStr">
        <is>
          <t>Reciprocating Semi-hermetic</t>
        </is>
      </c>
      <c r="E1447" s="2" t="n">
        <v>3</v>
      </c>
      <c r="F1447" s="2" t="n">
        <v>60</v>
      </c>
      <c r="G1447" s="2" t="n">
        <v>460</v>
      </c>
      <c r="H1447" t="inlineStr">
        <is>
          <t>460</t>
        </is>
      </c>
      <c r="I1447" s="2" t="n">
        <v>460</v>
      </c>
      <c r="J1447" s="2" t="n">
        <v>460</v>
      </c>
      <c r="L1447" s="3" t="n"/>
      <c r="M1447" s="3" t="n"/>
      <c r="N1447" s="3" t="n">
        <v>37.5</v>
      </c>
      <c r="O1447" s="3" t="n"/>
      <c r="P1447" s="3">
        <f>IF(L1447&lt;&gt;"",L1447/1.4,"")</f>
        <v/>
      </c>
      <c r="Q1447" s="3">
        <f>IF(L1447&lt;&gt;"",L1447/1.56,"")</f>
        <v/>
      </c>
      <c r="R1447" s="3">
        <f>IF(M1447&lt;&gt;"",M1447/1.4,"")</f>
        <v/>
      </c>
      <c r="S1447" s="3">
        <f>IF(M1447&lt;&gt;"",M1447/1.56,"")</f>
        <v/>
      </c>
      <c r="T1447" s="3">
        <f>IF(N1447&lt;&gt;"",N1447,IF(O1447&lt;&gt;"",O1447,IF(L1447&lt;&gt;"",L1447/1.56,IF(M1447&lt;&gt;"",M1447/1.56,""))))</f>
        <v/>
      </c>
      <c r="U1447" s="3" t="n">
        <v>173</v>
      </c>
      <c r="V1447" s="3" t="n"/>
      <c r="W1447" s="3" t="n"/>
      <c r="X1447" s="4" t="n"/>
      <c r="Y1447" s="5" t="n">
        <v>0.5679999999999999</v>
      </c>
      <c r="Z1447" s="4">
        <f>IF(L1447&lt;&gt;"",SQRT(3)*G1447*L1447/1000,"")</f>
        <v/>
      </c>
      <c r="AA1447" t="inlineStr">
        <is>
          <t>Source=Copeland 2D/3D/4D/4R/6D/8D/9R compressors (pdf) p71</t>
        </is>
      </c>
      <c r="AB1447" t="inlineStr">
        <is>
          <t>Copeland_RLA_230_460_3ph_60Hz.xlsx</t>
        </is>
      </c>
      <c r="AC1447" t="inlineStr">
        <is>
          <t>Recip_2D-9R</t>
        </is>
      </c>
    </row>
    <row r="1448">
      <c r="A1448" t="inlineStr">
        <is>
          <t>COPELAND</t>
        </is>
      </c>
      <c r="B1448" t="inlineStr">
        <is>
          <t>6DK1-3500-FSD</t>
        </is>
      </c>
      <c r="D1448" t="inlineStr">
        <is>
          <t>Reciprocating Semi-hermetic</t>
        </is>
      </c>
      <c r="E1448" s="2" t="n">
        <v>3</v>
      </c>
      <c r="F1448" s="2" t="n">
        <v>60</v>
      </c>
      <c r="G1448" s="2" t="n">
        <v>460</v>
      </c>
      <c r="H1448" t="inlineStr">
        <is>
          <t>460</t>
        </is>
      </c>
      <c r="I1448" s="2" t="n">
        <v>460</v>
      </c>
      <c r="J1448" s="2" t="n">
        <v>460</v>
      </c>
      <c r="L1448" s="3" t="n"/>
      <c r="M1448" s="3" t="n"/>
      <c r="N1448" s="3" t="n">
        <v>67.5</v>
      </c>
      <c r="O1448" s="3" t="n"/>
      <c r="P1448" s="3">
        <f>IF(L1448&lt;&gt;"",L1448/1.4,"")</f>
        <v/>
      </c>
      <c r="Q1448" s="3">
        <f>IF(L1448&lt;&gt;"",L1448/1.56,"")</f>
        <v/>
      </c>
      <c r="R1448" s="3">
        <f>IF(M1448&lt;&gt;"",M1448/1.4,"")</f>
        <v/>
      </c>
      <c r="S1448" s="3">
        <f>IF(M1448&lt;&gt;"",M1448/1.56,"")</f>
        <v/>
      </c>
      <c r="T1448" s="3">
        <f>IF(N1448&lt;&gt;"",N1448,IF(O1448&lt;&gt;"",O1448,IF(L1448&lt;&gt;"",L1448/1.56,IF(M1448&lt;&gt;"",M1448/1.56,""))))</f>
        <v/>
      </c>
      <c r="U1448" s="3" t="n">
        <v>260</v>
      </c>
      <c r="V1448" s="3" t="n">
        <v>156</v>
      </c>
      <c r="W1448" s="3" t="n"/>
      <c r="X1448" s="4" t="n"/>
      <c r="Y1448" s="5" t="n">
        <v>0.4</v>
      </c>
      <c r="Z1448" s="4">
        <f>IF(L1448&lt;&gt;"",SQRT(3)*G1448*L1448/1000,"")</f>
        <v/>
      </c>
      <c r="AA1448" t="inlineStr">
        <is>
          <t>Source=Copeland 2D/3D/4D/4R/6D/8D/9R compressors (pdf) p71; PWS_RLA=33.8</t>
        </is>
      </c>
      <c r="AB1448" t="inlineStr">
        <is>
          <t>Copeland_RLA_230_460_3ph_60Hz.xlsx</t>
        </is>
      </c>
      <c r="AC1448" t="inlineStr">
        <is>
          <t>Recip_2D-9R</t>
        </is>
      </c>
    </row>
    <row r="1449">
      <c r="A1449" t="inlineStr">
        <is>
          <t>COPELAND</t>
        </is>
      </c>
      <c r="B1449" t="inlineStr">
        <is>
          <t>6DK1-3500-TSK</t>
        </is>
      </c>
      <c r="D1449" t="inlineStr">
        <is>
          <t>Reciprocating Semi-hermetic</t>
        </is>
      </c>
      <c r="E1449" s="2" t="n">
        <v>3</v>
      </c>
      <c r="F1449" s="2" t="n">
        <v>60</v>
      </c>
      <c r="G1449" s="2" t="n">
        <v>230</v>
      </c>
      <c r="H1449" t="inlineStr">
        <is>
          <t>208/230</t>
        </is>
      </c>
      <c r="I1449" s="2" t="n">
        <v>208</v>
      </c>
      <c r="J1449" s="2" t="n">
        <v>230</v>
      </c>
      <c r="L1449" s="3" t="n"/>
      <c r="M1449" s="3" t="n"/>
      <c r="N1449" s="3" t="n">
        <v>125</v>
      </c>
      <c r="O1449" s="3" t="n"/>
      <c r="P1449" s="3">
        <f>IF(L1449&lt;&gt;"",L1449/1.4,"")</f>
        <v/>
      </c>
      <c r="Q1449" s="3">
        <f>IF(L1449&lt;&gt;"",L1449/1.56,"")</f>
        <v/>
      </c>
      <c r="R1449" s="3">
        <f>IF(M1449&lt;&gt;"",M1449/1.4,"")</f>
        <v/>
      </c>
      <c r="S1449" s="3">
        <f>IF(M1449&lt;&gt;"",M1449/1.56,"")</f>
        <v/>
      </c>
      <c r="T1449" s="3">
        <f>IF(N1449&lt;&gt;"",N1449,IF(O1449&lt;&gt;"",O1449,IF(L1449&lt;&gt;"",L1449/1.56,IF(M1449&lt;&gt;"",M1449/1.56,""))))</f>
        <v/>
      </c>
      <c r="U1449" s="3" t="n">
        <v>565</v>
      </c>
      <c r="V1449" s="3" t="n">
        <v>340</v>
      </c>
      <c r="W1449" s="3" t="n"/>
      <c r="X1449" s="4" t="n"/>
      <c r="Y1449" s="5" t="n">
        <v>0.08799999999999999</v>
      </c>
      <c r="Z1449" s="4">
        <f>IF(L1449&lt;&gt;"",SQRT(3)*G1449*L1449/1000,"")</f>
        <v/>
      </c>
      <c r="AA1449" t="inlineStr">
        <is>
          <t>Source=Copeland 2D/3D/4D/4R/6D/8D/9R compressors (pdf) p71; PWS_RLA=62.5</t>
        </is>
      </c>
      <c r="AB1449" t="inlineStr">
        <is>
          <t>Copeland_RLA_230_460_3ph_60Hz.xlsx</t>
        </is>
      </c>
      <c r="AC1449" t="inlineStr">
        <is>
          <t>Recip_2D-9R</t>
        </is>
      </c>
    </row>
    <row r="1450">
      <c r="A1450" t="inlineStr">
        <is>
          <t>COPELAND</t>
        </is>
      </c>
      <c r="B1450" t="inlineStr">
        <is>
          <t>6DK1-3500-TSK</t>
        </is>
      </c>
      <c r="D1450" t="inlineStr">
        <is>
          <t>Reciprocating Semi-hermetic</t>
        </is>
      </c>
      <c r="E1450" s="2" t="n">
        <v>3</v>
      </c>
      <c r="F1450" s="2" t="n">
        <v>60</v>
      </c>
      <c r="G1450" s="2" t="n">
        <v>460</v>
      </c>
      <c r="H1450" t="inlineStr">
        <is>
          <t>460</t>
        </is>
      </c>
      <c r="I1450" s="2" t="n">
        <v>460</v>
      </c>
      <c r="J1450" s="2" t="n">
        <v>460</v>
      </c>
      <c r="L1450" s="3" t="n"/>
      <c r="M1450" s="3" t="n"/>
      <c r="N1450" s="3" t="n">
        <v>62.5</v>
      </c>
      <c r="O1450" s="3" t="n"/>
      <c r="P1450" s="3">
        <f>IF(L1450&lt;&gt;"",L1450/1.4,"")</f>
        <v/>
      </c>
      <c r="Q1450" s="3">
        <f>IF(L1450&lt;&gt;"",L1450/1.56,"")</f>
        <v/>
      </c>
      <c r="R1450" s="3">
        <f>IF(M1450&lt;&gt;"",M1450/1.4,"")</f>
        <v/>
      </c>
      <c r="S1450" s="3">
        <f>IF(M1450&lt;&gt;"",M1450/1.56,"")</f>
        <v/>
      </c>
      <c r="T1450" s="3">
        <f>IF(N1450&lt;&gt;"",N1450,IF(O1450&lt;&gt;"",O1450,IF(L1450&lt;&gt;"",L1450/1.56,IF(M1450&lt;&gt;"",M1450/1.56,""))))</f>
        <v/>
      </c>
      <c r="U1450" s="3" t="n">
        <v>283</v>
      </c>
      <c r="V1450" s="3" t="n"/>
      <c r="W1450" s="3" t="n"/>
      <c r="X1450" s="4" t="n"/>
      <c r="Y1450" s="5" t="n">
        <v>0.352</v>
      </c>
      <c r="Z1450" s="4">
        <f>IF(L1450&lt;&gt;"",SQRT(3)*G1450*L1450/1000,"")</f>
        <v/>
      </c>
      <c r="AA1450" t="inlineStr">
        <is>
          <t>Source=Copeland 2D/3D/4D/4R/6D/8D/9R compressors (pdf) p71</t>
        </is>
      </c>
      <c r="AB1450" t="inlineStr">
        <is>
          <t>Copeland_RLA_230_460_3ph_60Hz.xlsx</t>
        </is>
      </c>
      <c r="AC1450" t="inlineStr">
        <is>
          <t>Recip_2D-9R</t>
        </is>
      </c>
    </row>
    <row r="1451">
      <c r="A1451" t="inlineStr">
        <is>
          <t>COPELAND</t>
        </is>
      </c>
      <c r="B1451" t="inlineStr">
        <is>
          <t>6DK1-3500-TXK</t>
        </is>
      </c>
      <c r="D1451" t="inlineStr">
        <is>
          <t>Reciprocating Semi-hermetic</t>
        </is>
      </c>
      <c r="E1451" s="2" t="n">
        <v>3</v>
      </c>
      <c r="F1451" s="2" t="n">
        <v>60</v>
      </c>
      <c r="G1451" s="2" t="n">
        <v>230</v>
      </c>
      <c r="H1451" t="inlineStr">
        <is>
          <t>208/230</t>
        </is>
      </c>
      <c r="I1451" s="2" t="n">
        <v>208</v>
      </c>
      <c r="J1451" s="2" t="n">
        <v>230</v>
      </c>
      <c r="L1451" s="3" t="n"/>
      <c r="M1451" s="3" t="n"/>
      <c r="N1451" s="3" t="n"/>
      <c r="O1451" s="3" t="n"/>
      <c r="P1451" s="3">
        <f>IF(L1451&lt;&gt;"",L1451/1.4,"")</f>
        <v/>
      </c>
      <c r="Q1451" s="3">
        <f>IF(L1451&lt;&gt;"",L1451/1.56,"")</f>
        <v/>
      </c>
      <c r="R1451" s="3">
        <f>IF(M1451&lt;&gt;"",M1451/1.4,"")</f>
        <v/>
      </c>
      <c r="S1451" s="3">
        <f>IF(M1451&lt;&gt;"",M1451/1.56,"")</f>
        <v/>
      </c>
      <c r="T1451" s="3">
        <f>IF(N1451&lt;&gt;"",N1451,IF(O1451&lt;&gt;"",O1451,IF(L1451&lt;&gt;"",L1451/1.56,IF(M1451&lt;&gt;"",M1451/1.56,""))))</f>
        <v/>
      </c>
      <c r="U1451" s="3" t="n">
        <v>565</v>
      </c>
      <c r="V1451" s="3" t="n">
        <v>340</v>
      </c>
      <c r="W1451" s="3" t="n"/>
      <c r="X1451" s="4" t="n"/>
      <c r="Y1451" s="5" t="n">
        <v>0.08799999999999999</v>
      </c>
      <c r="Z1451" s="4">
        <f>IF(L1451&lt;&gt;"",SQRT(3)*G1451*L1451/1000,"")</f>
        <v/>
      </c>
      <c r="AA1451" t="inlineStr">
        <is>
          <t>Source=Copeland 2D/3D/4D/4R/6D/8D/9R compressors (pdf) p71</t>
        </is>
      </c>
      <c r="AB1451" t="inlineStr">
        <is>
          <t>Copeland_RLA_230_460_3ph_60Hz.xlsx</t>
        </is>
      </c>
      <c r="AC1451" t="inlineStr">
        <is>
          <t>Recip_2D-9R</t>
        </is>
      </c>
    </row>
    <row r="1452">
      <c r="A1452" t="inlineStr">
        <is>
          <t>COPELAND</t>
        </is>
      </c>
      <c r="B1452" t="inlineStr">
        <is>
          <t>6DK1-3500-TXK</t>
        </is>
      </c>
      <c r="D1452" t="inlineStr">
        <is>
          <t>Reciprocating Semi-hermetic</t>
        </is>
      </c>
      <c r="E1452" s="2" t="n">
        <v>3</v>
      </c>
      <c r="F1452" s="2" t="n">
        <v>60</v>
      </c>
      <c r="G1452" s="2" t="n">
        <v>460</v>
      </c>
      <c r="H1452" t="inlineStr">
        <is>
          <t>460</t>
        </is>
      </c>
      <c r="I1452" s="2" t="n">
        <v>460</v>
      </c>
      <c r="J1452" s="2" t="n">
        <v>460</v>
      </c>
      <c r="L1452" s="3" t="n"/>
      <c r="M1452" s="3" t="n"/>
      <c r="N1452" s="3" t="n"/>
      <c r="O1452" s="3" t="n"/>
      <c r="P1452" s="3">
        <f>IF(L1452&lt;&gt;"",L1452/1.4,"")</f>
        <v/>
      </c>
      <c r="Q1452" s="3">
        <f>IF(L1452&lt;&gt;"",L1452/1.56,"")</f>
        <v/>
      </c>
      <c r="R1452" s="3">
        <f>IF(M1452&lt;&gt;"",M1452/1.4,"")</f>
        <v/>
      </c>
      <c r="S1452" s="3">
        <f>IF(M1452&lt;&gt;"",M1452/1.56,"")</f>
        <v/>
      </c>
      <c r="T1452" s="3">
        <f>IF(N1452&lt;&gt;"",N1452,IF(O1452&lt;&gt;"",O1452,IF(L1452&lt;&gt;"",L1452/1.56,IF(M1452&lt;&gt;"",M1452/1.56,""))))</f>
        <v/>
      </c>
      <c r="U1452" s="3" t="n">
        <v>283</v>
      </c>
      <c r="V1452" s="3" t="n"/>
      <c r="W1452" s="3" t="n"/>
      <c r="X1452" s="4" t="n"/>
      <c r="Y1452" s="5" t="n">
        <v>0.352</v>
      </c>
      <c r="Z1452" s="4">
        <f>IF(L1452&lt;&gt;"",SQRT(3)*G1452*L1452/1000,"")</f>
        <v/>
      </c>
      <c r="AA1452" t="inlineStr">
        <is>
          <t>Source=Copeland 2D/3D/4D/4R/6D/8D/9R compressors (pdf) p71</t>
        </is>
      </c>
      <c r="AB1452" t="inlineStr">
        <is>
          <t>Copeland_RLA_230_460_3ph_60Hz.xlsx</t>
        </is>
      </c>
      <c r="AC1452" t="inlineStr">
        <is>
          <t>Recip_2D-9R</t>
        </is>
      </c>
    </row>
    <row r="1453">
      <c r="A1453" t="inlineStr">
        <is>
          <t>COPELAND</t>
        </is>
      </c>
      <c r="B1453" t="inlineStr">
        <is>
          <t>6DK1-350E-TSK</t>
        </is>
      </c>
      <c r="D1453" t="inlineStr">
        <is>
          <t>Reciprocating Semi-hermetic</t>
        </is>
      </c>
      <c r="E1453" s="2" t="n">
        <v>3</v>
      </c>
      <c r="F1453" s="2" t="n">
        <v>60</v>
      </c>
      <c r="G1453" s="2" t="n">
        <v>230</v>
      </c>
      <c r="H1453" t="inlineStr">
        <is>
          <t>208/230</t>
        </is>
      </c>
      <c r="I1453" s="2" t="n">
        <v>208</v>
      </c>
      <c r="J1453" s="2" t="n">
        <v>230</v>
      </c>
      <c r="L1453" s="3" t="n"/>
      <c r="M1453" s="3" t="n"/>
      <c r="N1453" s="3" t="n">
        <v>125</v>
      </c>
      <c r="O1453" s="3" t="n"/>
      <c r="P1453" s="3">
        <f>IF(L1453&lt;&gt;"",L1453/1.4,"")</f>
        <v/>
      </c>
      <c r="Q1453" s="3">
        <f>IF(L1453&lt;&gt;"",L1453/1.56,"")</f>
        <v/>
      </c>
      <c r="R1453" s="3">
        <f>IF(M1453&lt;&gt;"",M1453/1.4,"")</f>
        <v/>
      </c>
      <c r="S1453" s="3">
        <f>IF(M1453&lt;&gt;"",M1453/1.56,"")</f>
        <v/>
      </c>
      <c r="T1453" s="3">
        <f>IF(N1453&lt;&gt;"",N1453,IF(O1453&lt;&gt;"",O1453,IF(L1453&lt;&gt;"",L1453/1.56,IF(M1453&lt;&gt;"",M1453/1.56,""))))</f>
        <v/>
      </c>
      <c r="U1453" s="3" t="n">
        <v>565</v>
      </c>
      <c r="V1453" s="3" t="n">
        <v>340</v>
      </c>
      <c r="W1453" s="3" t="n"/>
      <c r="X1453" s="4" t="n"/>
      <c r="Y1453" s="5" t="n">
        <v>0.08799999999999999</v>
      </c>
      <c r="Z1453" s="4">
        <f>IF(L1453&lt;&gt;"",SQRT(3)*G1453*L1453/1000,"")</f>
        <v/>
      </c>
      <c r="AA1453" t="inlineStr">
        <is>
          <t>Source=Copeland 2D/3D/4D/4R/6D/8D/9R compressors (pdf) p71; PWS_RLA=62.5</t>
        </is>
      </c>
      <c r="AB1453" t="inlineStr">
        <is>
          <t>Copeland_RLA_230_460_3ph_60Hz.xlsx</t>
        </is>
      </c>
      <c r="AC1453" t="inlineStr">
        <is>
          <t>Recip_2D-9R</t>
        </is>
      </c>
    </row>
    <row r="1454">
      <c r="A1454" t="inlineStr">
        <is>
          <t>COPELAND</t>
        </is>
      </c>
      <c r="B1454" t="inlineStr">
        <is>
          <t>6DK1-350E-TSK</t>
        </is>
      </c>
      <c r="D1454" t="inlineStr">
        <is>
          <t>Reciprocating Semi-hermetic</t>
        </is>
      </c>
      <c r="E1454" s="2" t="n">
        <v>3</v>
      </c>
      <c r="F1454" s="2" t="n">
        <v>60</v>
      </c>
      <c r="G1454" s="2" t="n">
        <v>460</v>
      </c>
      <c r="H1454" t="inlineStr">
        <is>
          <t>460</t>
        </is>
      </c>
      <c r="I1454" s="2" t="n">
        <v>460</v>
      </c>
      <c r="J1454" s="2" t="n">
        <v>460</v>
      </c>
      <c r="L1454" s="3" t="n"/>
      <c r="M1454" s="3" t="n"/>
      <c r="N1454" s="3" t="n">
        <v>62.5</v>
      </c>
      <c r="O1454" s="3" t="n"/>
      <c r="P1454" s="3">
        <f>IF(L1454&lt;&gt;"",L1454/1.4,"")</f>
        <v/>
      </c>
      <c r="Q1454" s="3">
        <f>IF(L1454&lt;&gt;"",L1454/1.56,"")</f>
        <v/>
      </c>
      <c r="R1454" s="3">
        <f>IF(M1454&lt;&gt;"",M1454/1.4,"")</f>
        <v/>
      </c>
      <c r="S1454" s="3">
        <f>IF(M1454&lt;&gt;"",M1454/1.56,"")</f>
        <v/>
      </c>
      <c r="T1454" s="3">
        <f>IF(N1454&lt;&gt;"",N1454,IF(O1454&lt;&gt;"",O1454,IF(L1454&lt;&gt;"",L1454/1.56,IF(M1454&lt;&gt;"",M1454/1.56,""))))</f>
        <v/>
      </c>
      <c r="U1454" s="3" t="n">
        <v>283</v>
      </c>
      <c r="V1454" s="3" t="n"/>
      <c r="W1454" s="3" t="n"/>
      <c r="X1454" s="4" t="n"/>
      <c r="Y1454" s="5" t="n">
        <v>0.352</v>
      </c>
      <c r="Z1454" s="4">
        <f>IF(L1454&lt;&gt;"",SQRT(3)*G1454*L1454/1000,"")</f>
        <v/>
      </c>
      <c r="AA1454" t="inlineStr">
        <is>
          <t>Source=Copeland 2D/3D/4D/4R/6D/8D/9R compressors (pdf) p71</t>
        </is>
      </c>
      <c r="AB1454" t="inlineStr">
        <is>
          <t>Copeland_RLA_230_460_3ph_60Hz.xlsx</t>
        </is>
      </c>
      <c r="AC1454" t="inlineStr">
        <is>
          <t>Recip_2D-9R</t>
        </is>
      </c>
    </row>
    <row r="1455">
      <c r="A1455" t="inlineStr">
        <is>
          <t>COPELAND</t>
        </is>
      </c>
      <c r="B1455" t="inlineStr">
        <is>
          <t>6DK1A2000-TSK</t>
        </is>
      </c>
      <c r="D1455" t="inlineStr">
        <is>
          <t>Reciprocating Semi-hermetic</t>
        </is>
      </c>
      <c r="E1455" s="2" t="n">
        <v>3</v>
      </c>
      <c r="F1455" s="2" t="n">
        <v>60</v>
      </c>
      <c r="G1455" s="2" t="n">
        <v>230</v>
      </c>
      <c r="H1455" t="inlineStr">
        <is>
          <t>208/230</t>
        </is>
      </c>
      <c r="I1455" s="2" t="n">
        <v>208</v>
      </c>
      <c r="J1455" s="2" t="n">
        <v>230</v>
      </c>
      <c r="L1455" s="3" t="n"/>
      <c r="M1455" s="3" t="n"/>
      <c r="N1455" s="3" t="n">
        <v>75</v>
      </c>
      <c r="O1455" s="3" t="n"/>
      <c r="P1455" s="3">
        <f>IF(L1455&lt;&gt;"",L1455/1.4,"")</f>
        <v/>
      </c>
      <c r="Q1455" s="3">
        <f>IF(L1455&lt;&gt;"",L1455/1.56,"")</f>
        <v/>
      </c>
      <c r="R1455" s="3">
        <f>IF(M1455&lt;&gt;"",M1455/1.4,"")</f>
        <v/>
      </c>
      <c r="S1455" s="3">
        <f>IF(M1455&lt;&gt;"",M1455/1.56,"")</f>
        <v/>
      </c>
      <c r="T1455" s="3">
        <f>IF(N1455&lt;&gt;"",N1455,IF(O1455&lt;&gt;"",O1455,IF(L1455&lt;&gt;"",L1455/1.56,IF(M1455&lt;&gt;"",M1455/1.56,""))))</f>
        <v/>
      </c>
      <c r="U1455" s="3" t="n">
        <v>346</v>
      </c>
      <c r="V1455" s="3" t="n">
        <v>208</v>
      </c>
      <c r="W1455" s="3" t="n"/>
      <c r="X1455" s="4" t="n"/>
      <c r="Y1455" s="5" t="n">
        <v>0.142</v>
      </c>
      <c r="Z1455" s="4">
        <f>IF(L1455&lt;&gt;"",SQRT(3)*G1455*L1455/1000,"")</f>
        <v/>
      </c>
      <c r="AA1455" t="inlineStr">
        <is>
          <t>Source=Copeland 2D/3D/4D/4R/6D/8D/9R compressors (pdf) p72; PWS_RLA=37.5</t>
        </is>
      </c>
      <c r="AB1455" t="inlineStr">
        <is>
          <t>Copeland_RLA_230_460_3ph_60Hz.xlsx</t>
        </is>
      </c>
      <c r="AC1455" t="inlineStr">
        <is>
          <t>Recip_2D-9R</t>
        </is>
      </c>
    </row>
    <row r="1456">
      <c r="A1456" t="inlineStr">
        <is>
          <t>COPELAND</t>
        </is>
      </c>
      <c r="B1456" t="inlineStr">
        <is>
          <t>6DK1A2000-TSK</t>
        </is>
      </c>
      <c r="D1456" t="inlineStr">
        <is>
          <t>Reciprocating Semi-hermetic</t>
        </is>
      </c>
      <c r="E1456" s="2" t="n">
        <v>3</v>
      </c>
      <c r="F1456" s="2" t="n">
        <v>60</v>
      </c>
      <c r="G1456" s="2" t="n">
        <v>460</v>
      </c>
      <c r="H1456" t="inlineStr">
        <is>
          <t>460</t>
        </is>
      </c>
      <c r="I1456" s="2" t="n">
        <v>460</v>
      </c>
      <c r="J1456" s="2" t="n">
        <v>460</v>
      </c>
      <c r="L1456" s="3" t="n"/>
      <c r="M1456" s="3" t="n"/>
      <c r="N1456" s="3" t="n">
        <v>37.5</v>
      </c>
      <c r="O1456" s="3" t="n"/>
      <c r="P1456" s="3">
        <f>IF(L1456&lt;&gt;"",L1456/1.4,"")</f>
        <v/>
      </c>
      <c r="Q1456" s="3">
        <f>IF(L1456&lt;&gt;"",L1456/1.56,"")</f>
        <v/>
      </c>
      <c r="R1456" s="3">
        <f>IF(M1456&lt;&gt;"",M1456/1.4,"")</f>
        <v/>
      </c>
      <c r="S1456" s="3">
        <f>IF(M1456&lt;&gt;"",M1456/1.56,"")</f>
        <v/>
      </c>
      <c r="T1456" s="3">
        <f>IF(N1456&lt;&gt;"",N1456,IF(O1456&lt;&gt;"",O1456,IF(L1456&lt;&gt;"",L1456/1.56,IF(M1456&lt;&gt;"",M1456/1.56,""))))</f>
        <v/>
      </c>
      <c r="U1456" s="3" t="n">
        <v>173</v>
      </c>
      <c r="V1456" s="3" t="n"/>
      <c r="W1456" s="3" t="n"/>
      <c r="X1456" s="4" t="n"/>
      <c r="Y1456" s="5" t="n">
        <v>0.5679999999999999</v>
      </c>
      <c r="Z1456" s="4">
        <f>IF(L1456&lt;&gt;"",SQRT(3)*G1456*L1456/1000,"")</f>
        <v/>
      </c>
      <c r="AA1456" t="inlineStr">
        <is>
          <t>Source=Copeland 2D/3D/4D/4R/6D/8D/9R compressors (pdf) p72</t>
        </is>
      </c>
      <c r="AB1456" t="inlineStr">
        <is>
          <t>Copeland_RLA_230_460_3ph_60Hz.xlsx</t>
        </is>
      </c>
      <c r="AC1456" t="inlineStr">
        <is>
          <t>Recip_2D-9R</t>
        </is>
      </c>
    </row>
    <row r="1457">
      <c r="A1457" t="inlineStr">
        <is>
          <t>COPELAND</t>
        </is>
      </c>
      <c r="B1457" t="inlineStr">
        <is>
          <t>6DK1A3500-FSD</t>
        </is>
      </c>
      <c r="D1457" t="inlineStr">
        <is>
          <t>Reciprocating Semi-hermetic</t>
        </is>
      </c>
      <c r="E1457" s="2" t="n">
        <v>3</v>
      </c>
      <c r="F1457" s="2" t="n">
        <v>60</v>
      </c>
      <c r="G1457" s="2" t="n">
        <v>460</v>
      </c>
      <c r="H1457" t="inlineStr">
        <is>
          <t>460</t>
        </is>
      </c>
      <c r="I1457" s="2" t="n">
        <v>460</v>
      </c>
      <c r="J1457" s="2" t="n">
        <v>460</v>
      </c>
      <c r="L1457" s="3" t="n"/>
      <c r="M1457" s="3" t="n"/>
      <c r="N1457" s="3" t="n">
        <v>67.5</v>
      </c>
      <c r="O1457" s="3" t="n"/>
      <c r="P1457" s="3">
        <f>IF(L1457&lt;&gt;"",L1457/1.4,"")</f>
        <v/>
      </c>
      <c r="Q1457" s="3">
        <f>IF(L1457&lt;&gt;"",L1457/1.56,"")</f>
        <v/>
      </c>
      <c r="R1457" s="3">
        <f>IF(M1457&lt;&gt;"",M1457/1.4,"")</f>
        <v/>
      </c>
      <c r="S1457" s="3">
        <f>IF(M1457&lt;&gt;"",M1457/1.56,"")</f>
        <v/>
      </c>
      <c r="T1457" s="3">
        <f>IF(N1457&lt;&gt;"",N1457,IF(O1457&lt;&gt;"",O1457,IF(L1457&lt;&gt;"",L1457/1.56,IF(M1457&lt;&gt;"",M1457/1.56,""))))</f>
        <v/>
      </c>
      <c r="U1457" s="3" t="n">
        <v>260</v>
      </c>
      <c r="V1457" s="3" t="n">
        <v>156</v>
      </c>
      <c r="W1457" s="3" t="n"/>
      <c r="X1457" s="4" t="n"/>
      <c r="Y1457" s="5" t="n">
        <v>0.4</v>
      </c>
      <c r="Z1457" s="4">
        <f>IF(L1457&lt;&gt;"",SQRT(3)*G1457*L1457/1000,"")</f>
        <v/>
      </c>
      <c r="AA1457" t="inlineStr">
        <is>
          <t>Source=Copeland 2D/3D/4D/4R/6D/8D/9R compressors (pdf) p72; PWS_RLA=33.8</t>
        </is>
      </c>
      <c r="AB1457" t="inlineStr">
        <is>
          <t>Copeland_RLA_230_460_3ph_60Hz.xlsx</t>
        </is>
      </c>
      <c r="AC1457" t="inlineStr">
        <is>
          <t>Recip_2D-9R</t>
        </is>
      </c>
    </row>
    <row r="1458">
      <c r="A1458" t="inlineStr">
        <is>
          <t>COPELAND</t>
        </is>
      </c>
      <c r="B1458" t="inlineStr">
        <is>
          <t>6DK1A3500-TSK</t>
        </is>
      </c>
      <c r="D1458" t="inlineStr">
        <is>
          <t>Reciprocating Semi-hermetic</t>
        </is>
      </c>
      <c r="E1458" s="2" t="n">
        <v>3</v>
      </c>
      <c r="F1458" s="2" t="n">
        <v>60</v>
      </c>
      <c r="G1458" s="2" t="n">
        <v>230</v>
      </c>
      <c r="H1458" t="inlineStr">
        <is>
          <t>208/230</t>
        </is>
      </c>
      <c r="I1458" s="2" t="n">
        <v>208</v>
      </c>
      <c r="J1458" s="2" t="n">
        <v>230</v>
      </c>
      <c r="L1458" s="3" t="n"/>
      <c r="M1458" s="3" t="n"/>
      <c r="N1458" s="3" t="n">
        <v>125</v>
      </c>
      <c r="O1458" s="3" t="n"/>
      <c r="P1458" s="3">
        <f>IF(L1458&lt;&gt;"",L1458/1.4,"")</f>
        <v/>
      </c>
      <c r="Q1458" s="3">
        <f>IF(L1458&lt;&gt;"",L1458/1.56,"")</f>
        <v/>
      </c>
      <c r="R1458" s="3">
        <f>IF(M1458&lt;&gt;"",M1458/1.4,"")</f>
        <v/>
      </c>
      <c r="S1458" s="3">
        <f>IF(M1458&lt;&gt;"",M1458/1.56,"")</f>
        <v/>
      </c>
      <c r="T1458" s="3">
        <f>IF(N1458&lt;&gt;"",N1458,IF(O1458&lt;&gt;"",O1458,IF(L1458&lt;&gt;"",L1458/1.56,IF(M1458&lt;&gt;"",M1458/1.56,""))))</f>
        <v/>
      </c>
      <c r="U1458" s="3" t="n">
        <v>565</v>
      </c>
      <c r="V1458" s="3" t="n">
        <v>340</v>
      </c>
      <c r="W1458" s="3" t="n"/>
      <c r="X1458" s="4" t="n"/>
      <c r="Y1458" s="5" t="n">
        <v>0.08799999999999999</v>
      </c>
      <c r="Z1458" s="4">
        <f>IF(L1458&lt;&gt;"",SQRT(3)*G1458*L1458/1000,"")</f>
        <v/>
      </c>
      <c r="AA1458" t="inlineStr">
        <is>
          <t>Source=Copeland 2D/3D/4D/4R/6D/8D/9R compressors (pdf) p72; PWS_RLA=62.5</t>
        </is>
      </c>
      <c r="AB1458" t="inlineStr">
        <is>
          <t>Copeland_RLA_230_460_3ph_60Hz.xlsx</t>
        </is>
      </c>
      <c r="AC1458" t="inlineStr">
        <is>
          <t>Recip_2D-9R</t>
        </is>
      </c>
    </row>
    <row r="1459">
      <c r="A1459" t="inlineStr">
        <is>
          <t>COPELAND</t>
        </is>
      </c>
      <c r="B1459" t="inlineStr">
        <is>
          <t>6DK1A3500-TSK</t>
        </is>
      </c>
      <c r="D1459" t="inlineStr">
        <is>
          <t>Reciprocating Semi-hermetic</t>
        </is>
      </c>
      <c r="E1459" s="2" t="n">
        <v>3</v>
      </c>
      <c r="F1459" s="2" t="n">
        <v>60</v>
      </c>
      <c r="G1459" s="2" t="n">
        <v>460</v>
      </c>
      <c r="H1459" t="inlineStr">
        <is>
          <t>460</t>
        </is>
      </c>
      <c r="I1459" s="2" t="n">
        <v>460</v>
      </c>
      <c r="J1459" s="2" t="n">
        <v>460</v>
      </c>
      <c r="L1459" s="3" t="n"/>
      <c r="M1459" s="3" t="n"/>
      <c r="N1459" s="3" t="n">
        <v>62.5</v>
      </c>
      <c r="O1459" s="3" t="n"/>
      <c r="P1459" s="3">
        <f>IF(L1459&lt;&gt;"",L1459/1.4,"")</f>
        <v/>
      </c>
      <c r="Q1459" s="3">
        <f>IF(L1459&lt;&gt;"",L1459/1.56,"")</f>
        <v/>
      </c>
      <c r="R1459" s="3">
        <f>IF(M1459&lt;&gt;"",M1459/1.4,"")</f>
        <v/>
      </c>
      <c r="S1459" s="3">
        <f>IF(M1459&lt;&gt;"",M1459/1.56,"")</f>
        <v/>
      </c>
      <c r="T1459" s="3">
        <f>IF(N1459&lt;&gt;"",N1459,IF(O1459&lt;&gt;"",O1459,IF(L1459&lt;&gt;"",L1459/1.56,IF(M1459&lt;&gt;"",M1459/1.56,""))))</f>
        <v/>
      </c>
      <c r="U1459" s="3" t="n">
        <v>283</v>
      </c>
      <c r="V1459" s="3" t="n"/>
      <c r="W1459" s="3" t="n"/>
      <c r="X1459" s="4" t="n"/>
      <c r="Y1459" s="5" t="n">
        <v>0.352</v>
      </c>
      <c r="Z1459" s="4">
        <f>IF(L1459&lt;&gt;"",SQRT(3)*G1459*L1459/1000,"")</f>
        <v/>
      </c>
      <c r="AA1459" t="inlineStr">
        <is>
          <t>Source=Copeland 2D/3D/4D/4R/6D/8D/9R compressors (pdf) p72</t>
        </is>
      </c>
      <c r="AB1459" t="inlineStr">
        <is>
          <t>Copeland_RLA_230_460_3ph_60Hz.xlsx</t>
        </is>
      </c>
      <c r="AC1459" t="inlineStr">
        <is>
          <t>Recip_2D-9R</t>
        </is>
      </c>
    </row>
    <row r="1460">
      <c r="A1460" t="inlineStr">
        <is>
          <t>COPELAND</t>
        </is>
      </c>
      <c r="B1460" t="inlineStr">
        <is>
          <t>6DK1A3500-TXK</t>
        </is>
      </c>
      <c r="D1460" t="inlineStr">
        <is>
          <t>Reciprocating Semi-hermetic</t>
        </is>
      </c>
      <c r="E1460" s="2" t="n">
        <v>3</v>
      </c>
      <c r="F1460" s="2" t="n">
        <v>60</v>
      </c>
      <c r="G1460" s="2" t="n">
        <v>230</v>
      </c>
      <c r="H1460" t="inlineStr">
        <is>
          <t>208/230</t>
        </is>
      </c>
      <c r="I1460" s="2" t="n">
        <v>208</v>
      </c>
      <c r="J1460" s="2" t="n">
        <v>230</v>
      </c>
      <c r="L1460" s="3" t="n"/>
      <c r="M1460" s="3" t="n"/>
      <c r="N1460" s="3" t="n"/>
      <c r="O1460" s="3" t="n"/>
      <c r="P1460" s="3">
        <f>IF(L1460&lt;&gt;"",L1460/1.4,"")</f>
        <v/>
      </c>
      <c r="Q1460" s="3">
        <f>IF(L1460&lt;&gt;"",L1460/1.56,"")</f>
        <v/>
      </c>
      <c r="R1460" s="3">
        <f>IF(M1460&lt;&gt;"",M1460/1.4,"")</f>
        <v/>
      </c>
      <c r="S1460" s="3">
        <f>IF(M1460&lt;&gt;"",M1460/1.56,"")</f>
        <v/>
      </c>
      <c r="T1460" s="3">
        <f>IF(N1460&lt;&gt;"",N1460,IF(O1460&lt;&gt;"",O1460,IF(L1460&lt;&gt;"",L1460/1.56,IF(M1460&lt;&gt;"",M1460/1.56,""))))</f>
        <v/>
      </c>
      <c r="U1460" s="3" t="n">
        <v>565</v>
      </c>
      <c r="V1460" s="3" t="n">
        <v>340</v>
      </c>
      <c r="W1460" s="3" t="n"/>
      <c r="X1460" s="4" t="n"/>
      <c r="Y1460" s="5" t="n">
        <v>0.08799999999999999</v>
      </c>
      <c r="Z1460" s="4">
        <f>IF(L1460&lt;&gt;"",SQRT(3)*G1460*L1460/1000,"")</f>
        <v/>
      </c>
      <c r="AA1460" t="inlineStr">
        <is>
          <t>Source=Copeland 2D/3D/4D/4R/6D/8D/9R compressors (pdf) p72</t>
        </is>
      </c>
      <c r="AB1460" t="inlineStr">
        <is>
          <t>Copeland_RLA_230_460_3ph_60Hz.xlsx</t>
        </is>
      </c>
      <c r="AC1460" t="inlineStr">
        <is>
          <t>Recip_2D-9R</t>
        </is>
      </c>
    </row>
    <row r="1461">
      <c r="A1461" t="inlineStr">
        <is>
          <t>COPELAND</t>
        </is>
      </c>
      <c r="B1461" t="inlineStr">
        <is>
          <t>6DK1A3500-TXK</t>
        </is>
      </c>
      <c r="D1461" t="inlineStr">
        <is>
          <t>Reciprocating Semi-hermetic</t>
        </is>
      </c>
      <c r="E1461" s="2" t="n">
        <v>3</v>
      </c>
      <c r="F1461" s="2" t="n">
        <v>60</v>
      </c>
      <c r="G1461" s="2" t="n">
        <v>460</v>
      </c>
      <c r="H1461" t="inlineStr">
        <is>
          <t>460</t>
        </is>
      </c>
      <c r="I1461" s="2" t="n">
        <v>460</v>
      </c>
      <c r="J1461" s="2" t="n">
        <v>460</v>
      </c>
      <c r="L1461" s="3" t="n"/>
      <c r="M1461" s="3" t="n"/>
      <c r="N1461" s="3" t="n"/>
      <c r="O1461" s="3" t="n"/>
      <c r="P1461" s="3">
        <f>IF(L1461&lt;&gt;"",L1461/1.4,"")</f>
        <v/>
      </c>
      <c r="Q1461" s="3">
        <f>IF(L1461&lt;&gt;"",L1461/1.56,"")</f>
        <v/>
      </c>
      <c r="R1461" s="3">
        <f>IF(M1461&lt;&gt;"",M1461/1.4,"")</f>
        <v/>
      </c>
      <c r="S1461" s="3">
        <f>IF(M1461&lt;&gt;"",M1461/1.56,"")</f>
        <v/>
      </c>
      <c r="T1461" s="3">
        <f>IF(N1461&lt;&gt;"",N1461,IF(O1461&lt;&gt;"",O1461,IF(L1461&lt;&gt;"",L1461/1.56,IF(M1461&lt;&gt;"",M1461/1.56,""))))</f>
        <v/>
      </c>
      <c r="U1461" s="3" t="n">
        <v>283</v>
      </c>
      <c r="V1461" s="3" t="n"/>
      <c r="W1461" s="3" t="n"/>
      <c r="X1461" s="4" t="n"/>
      <c r="Y1461" s="5" t="n">
        <v>0.352</v>
      </c>
      <c r="Z1461" s="4">
        <f>IF(L1461&lt;&gt;"",SQRT(3)*G1461*L1461/1000,"")</f>
        <v/>
      </c>
      <c r="AA1461" t="inlineStr">
        <is>
          <t>Source=Copeland 2D/3D/4D/4R/6D/8D/9R compressors (pdf) p72</t>
        </is>
      </c>
      <c r="AB1461" t="inlineStr">
        <is>
          <t>Copeland_RLA_230_460_3ph_60Hz.xlsx</t>
        </is>
      </c>
      <c r="AC1461" t="inlineStr">
        <is>
          <t>Recip_2D-9R</t>
        </is>
      </c>
    </row>
    <row r="1462">
      <c r="A1462" t="inlineStr">
        <is>
          <t>COPELAND</t>
        </is>
      </c>
      <c r="B1462" t="inlineStr">
        <is>
          <t>6DK1A350E-TSK</t>
        </is>
      </c>
      <c r="D1462" t="inlineStr">
        <is>
          <t>Reciprocating Semi-hermetic</t>
        </is>
      </c>
      <c r="E1462" s="2" t="n">
        <v>3</v>
      </c>
      <c r="F1462" s="2" t="n">
        <v>60</v>
      </c>
      <c r="G1462" s="2" t="n">
        <v>230</v>
      </c>
      <c r="H1462" t="inlineStr">
        <is>
          <t>208/230</t>
        </is>
      </c>
      <c r="I1462" s="2" t="n">
        <v>208</v>
      </c>
      <c r="J1462" s="2" t="n">
        <v>230</v>
      </c>
      <c r="L1462" s="3" t="n"/>
      <c r="M1462" s="3" t="n"/>
      <c r="N1462" s="3" t="n">
        <v>125</v>
      </c>
      <c r="O1462" s="3" t="n"/>
      <c r="P1462" s="3">
        <f>IF(L1462&lt;&gt;"",L1462/1.4,"")</f>
        <v/>
      </c>
      <c r="Q1462" s="3">
        <f>IF(L1462&lt;&gt;"",L1462/1.56,"")</f>
        <v/>
      </c>
      <c r="R1462" s="3">
        <f>IF(M1462&lt;&gt;"",M1462/1.4,"")</f>
        <v/>
      </c>
      <c r="S1462" s="3">
        <f>IF(M1462&lt;&gt;"",M1462/1.56,"")</f>
        <v/>
      </c>
      <c r="T1462" s="3">
        <f>IF(N1462&lt;&gt;"",N1462,IF(O1462&lt;&gt;"",O1462,IF(L1462&lt;&gt;"",L1462/1.56,IF(M1462&lt;&gt;"",M1462/1.56,""))))</f>
        <v/>
      </c>
      <c r="U1462" s="3" t="n">
        <v>565</v>
      </c>
      <c r="V1462" s="3" t="n">
        <v>340</v>
      </c>
      <c r="W1462" s="3" t="n"/>
      <c r="X1462" s="4" t="n"/>
      <c r="Y1462" s="5" t="n">
        <v>0.08799999999999999</v>
      </c>
      <c r="Z1462" s="4">
        <f>IF(L1462&lt;&gt;"",SQRT(3)*G1462*L1462/1000,"")</f>
        <v/>
      </c>
      <c r="AA1462" t="inlineStr">
        <is>
          <t>Source=Copeland 2D/3D/4D/4R/6D/8D/9R compressors (pdf) p72; PWS_RLA=62.5</t>
        </is>
      </c>
      <c r="AB1462" t="inlineStr">
        <is>
          <t>Copeland_RLA_230_460_3ph_60Hz.xlsx</t>
        </is>
      </c>
      <c r="AC1462" t="inlineStr">
        <is>
          <t>Recip_2D-9R</t>
        </is>
      </c>
    </row>
    <row r="1463">
      <c r="A1463" t="inlineStr">
        <is>
          <t>COPELAND</t>
        </is>
      </c>
      <c r="B1463" t="inlineStr">
        <is>
          <t>6DK1A350E-TSK</t>
        </is>
      </c>
      <c r="D1463" t="inlineStr">
        <is>
          <t>Reciprocating Semi-hermetic</t>
        </is>
      </c>
      <c r="E1463" s="2" t="n">
        <v>3</v>
      </c>
      <c r="F1463" s="2" t="n">
        <v>60</v>
      </c>
      <c r="G1463" s="2" t="n">
        <v>460</v>
      </c>
      <c r="H1463" t="inlineStr">
        <is>
          <t>460</t>
        </is>
      </c>
      <c r="I1463" s="2" t="n">
        <v>460</v>
      </c>
      <c r="J1463" s="2" t="n">
        <v>460</v>
      </c>
      <c r="L1463" s="3" t="n"/>
      <c r="M1463" s="3" t="n"/>
      <c r="N1463" s="3" t="n">
        <v>62.5</v>
      </c>
      <c r="O1463" s="3" t="n"/>
      <c r="P1463" s="3">
        <f>IF(L1463&lt;&gt;"",L1463/1.4,"")</f>
        <v/>
      </c>
      <c r="Q1463" s="3">
        <f>IF(L1463&lt;&gt;"",L1463/1.56,"")</f>
        <v/>
      </c>
      <c r="R1463" s="3">
        <f>IF(M1463&lt;&gt;"",M1463/1.4,"")</f>
        <v/>
      </c>
      <c r="S1463" s="3">
        <f>IF(M1463&lt;&gt;"",M1463/1.56,"")</f>
        <v/>
      </c>
      <c r="T1463" s="3">
        <f>IF(N1463&lt;&gt;"",N1463,IF(O1463&lt;&gt;"",O1463,IF(L1463&lt;&gt;"",L1463/1.56,IF(M1463&lt;&gt;"",M1463/1.56,""))))</f>
        <v/>
      </c>
      <c r="U1463" s="3" t="n">
        <v>283</v>
      </c>
      <c r="V1463" s="3" t="n"/>
      <c r="W1463" s="3" t="n"/>
      <c r="X1463" s="4" t="n"/>
      <c r="Y1463" s="5" t="n">
        <v>0.352</v>
      </c>
      <c r="Z1463" s="4">
        <f>IF(L1463&lt;&gt;"",SQRT(3)*G1463*L1463/1000,"")</f>
        <v/>
      </c>
      <c r="AA1463" t="inlineStr">
        <is>
          <t>Source=Copeland 2D/3D/4D/4R/6D/8D/9R compressors (pdf) p72</t>
        </is>
      </c>
      <c r="AB1463" t="inlineStr">
        <is>
          <t>Copeland_RLA_230_460_3ph_60Hz.xlsx</t>
        </is>
      </c>
      <c r="AC1463" t="inlineStr">
        <is>
          <t>Recip_2D-9R</t>
        </is>
      </c>
    </row>
    <row r="1464">
      <c r="A1464" t="inlineStr">
        <is>
          <t>COPELAND</t>
        </is>
      </c>
      <c r="B1464" t="inlineStr">
        <is>
          <t>6DK1R35M0-FSD</t>
        </is>
      </c>
      <c r="D1464" t="inlineStr">
        <is>
          <t>Reciprocating Semi-hermetic</t>
        </is>
      </c>
      <c r="E1464" s="2" t="n">
        <v>3</v>
      </c>
      <c r="F1464" s="2" t="n">
        <v>60</v>
      </c>
      <c r="G1464" s="2" t="n">
        <v>460</v>
      </c>
      <c r="H1464" t="inlineStr">
        <is>
          <t>460</t>
        </is>
      </c>
      <c r="I1464" s="2" t="n">
        <v>460</v>
      </c>
      <c r="J1464" s="2" t="n">
        <v>460</v>
      </c>
      <c r="L1464" s="3" t="n"/>
      <c r="M1464" s="3" t="n"/>
      <c r="N1464" s="3" t="n">
        <v>67.5</v>
      </c>
      <c r="O1464" s="3" t="n"/>
      <c r="P1464" s="3">
        <f>IF(L1464&lt;&gt;"",L1464/1.4,"")</f>
        <v/>
      </c>
      <c r="Q1464" s="3">
        <f>IF(L1464&lt;&gt;"",L1464/1.56,"")</f>
        <v/>
      </c>
      <c r="R1464" s="3">
        <f>IF(M1464&lt;&gt;"",M1464/1.4,"")</f>
        <v/>
      </c>
      <c r="S1464" s="3">
        <f>IF(M1464&lt;&gt;"",M1464/1.56,"")</f>
        <v/>
      </c>
      <c r="T1464" s="3">
        <f>IF(N1464&lt;&gt;"",N1464,IF(O1464&lt;&gt;"",O1464,IF(L1464&lt;&gt;"",L1464/1.56,IF(M1464&lt;&gt;"",M1464/1.56,""))))</f>
        <v/>
      </c>
      <c r="U1464" s="3" t="n">
        <v>260</v>
      </c>
      <c r="V1464" s="3" t="n">
        <v>156</v>
      </c>
      <c r="W1464" s="3" t="n"/>
      <c r="X1464" s="4" t="n"/>
      <c r="Y1464" s="5" t="n">
        <v>0.4</v>
      </c>
      <c r="Z1464" s="4">
        <f>IF(L1464&lt;&gt;"",SQRT(3)*G1464*L1464/1000,"")</f>
        <v/>
      </c>
      <c r="AA1464" t="inlineStr">
        <is>
          <t>Source=Copeland 2D/3D/4D/4R/6D/8D/9R compressors (pdf) p72; PWS_RLA=33.8</t>
        </is>
      </c>
      <c r="AB1464" t="inlineStr">
        <is>
          <t>Copeland_RLA_230_460_3ph_60Hz.xlsx</t>
        </is>
      </c>
      <c r="AC1464" t="inlineStr">
        <is>
          <t>Recip_2D-9R</t>
        </is>
      </c>
    </row>
    <row r="1465">
      <c r="A1465" t="inlineStr">
        <is>
          <t>COPELAND</t>
        </is>
      </c>
      <c r="B1465" t="inlineStr">
        <is>
          <t>6DK1R35M0-TSK</t>
        </is>
      </c>
      <c r="D1465" t="inlineStr">
        <is>
          <t>Reciprocating Semi-hermetic</t>
        </is>
      </c>
      <c r="E1465" s="2" t="n">
        <v>3</v>
      </c>
      <c r="F1465" s="2" t="n">
        <v>60</v>
      </c>
      <c r="G1465" s="2" t="n">
        <v>230</v>
      </c>
      <c r="H1465" t="inlineStr">
        <is>
          <t>208/230</t>
        </is>
      </c>
      <c r="I1465" s="2" t="n">
        <v>208</v>
      </c>
      <c r="J1465" s="2" t="n">
        <v>230</v>
      </c>
      <c r="L1465" s="3" t="n"/>
      <c r="M1465" s="3" t="n"/>
      <c r="N1465" s="3" t="n">
        <v>125</v>
      </c>
      <c r="O1465" s="3" t="n"/>
      <c r="P1465" s="3">
        <f>IF(L1465&lt;&gt;"",L1465/1.4,"")</f>
        <v/>
      </c>
      <c r="Q1465" s="3">
        <f>IF(L1465&lt;&gt;"",L1465/1.56,"")</f>
        <v/>
      </c>
      <c r="R1465" s="3">
        <f>IF(M1465&lt;&gt;"",M1465/1.4,"")</f>
        <v/>
      </c>
      <c r="S1465" s="3">
        <f>IF(M1465&lt;&gt;"",M1465/1.56,"")</f>
        <v/>
      </c>
      <c r="T1465" s="3">
        <f>IF(N1465&lt;&gt;"",N1465,IF(O1465&lt;&gt;"",O1465,IF(L1465&lt;&gt;"",L1465/1.56,IF(M1465&lt;&gt;"",M1465/1.56,""))))</f>
        <v/>
      </c>
      <c r="U1465" s="3" t="n">
        <v>565</v>
      </c>
      <c r="V1465" s="3" t="n">
        <v>340</v>
      </c>
      <c r="W1465" s="3" t="n"/>
      <c r="X1465" s="4" t="n"/>
      <c r="Y1465" s="5" t="n">
        <v>0.08799999999999999</v>
      </c>
      <c r="Z1465" s="4">
        <f>IF(L1465&lt;&gt;"",SQRT(3)*G1465*L1465/1000,"")</f>
        <v/>
      </c>
      <c r="AA1465" t="inlineStr">
        <is>
          <t>Source=Copeland 2D/3D/4D/4R/6D/8D/9R compressors (pdf) p72; PWS_RLA=62.5</t>
        </is>
      </c>
      <c r="AB1465" t="inlineStr">
        <is>
          <t>Copeland_RLA_230_460_3ph_60Hz.xlsx</t>
        </is>
      </c>
      <c r="AC1465" t="inlineStr">
        <is>
          <t>Recip_2D-9R</t>
        </is>
      </c>
    </row>
    <row r="1466">
      <c r="A1466" t="inlineStr">
        <is>
          <t>COPELAND</t>
        </is>
      </c>
      <c r="B1466" t="inlineStr">
        <is>
          <t>6DK1R35M0-TSK</t>
        </is>
      </c>
      <c r="D1466" t="inlineStr">
        <is>
          <t>Reciprocating Semi-hermetic</t>
        </is>
      </c>
      <c r="E1466" s="2" t="n">
        <v>3</v>
      </c>
      <c r="F1466" s="2" t="n">
        <v>60</v>
      </c>
      <c r="G1466" s="2" t="n">
        <v>460</v>
      </c>
      <c r="H1466" t="inlineStr">
        <is>
          <t>460</t>
        </is>
      </c>
      <c r="I1466" s="2" t="n">
        <v>460</v>
      </c>
      <c r="J1466" s="2" t="n">
        <v>460</v>
      </c>
      <c r="L1466" s="3" t="n"/>
      <c r="M1466" s="3" t="n"/>
      <c r="N1466" s="3" t="n">
        <v>62.5</v>
      </c>
      <c r="O1466" s="3" t="n"/>
      <c r="P1466" s="3">
        <f>IF(L1466&lt;&gt;"",L1466/1.4,"")</f>
        <v/>
      </c>
      <c r="Q1466" s="3">
        <f>IF(L1466&lt;&gt;"",L1466/1.56,"")</f>
        <v/>
      </c>
      <c r="R1466" s="3">
        <f>IF(M1466&lt;&gt;"",M1466/1.4,"")</f>
        <v/>
      </c>
      <c r="S1466" s="3">
        <f>IF(M1466&lt;&gt;"",M1466/1.56,"")</f>
        <v/>
      </c>
      <c r="T1466" s="3">
        <f>IF(N1466&lt;&gt;"",N1466,IF(O1466&lt;&gt;"",O1466,IF(L1466&lt;&gt;"",L1466/1.56,IF(M1466&lt;&gt;"",M1466/1.56,""))))</f>
        <v/>
      </c>
      <c r="U1466" s="3" t="n">
        <v>283</v>
      </c>
      <c r="V1466" s="3" t="n"/>
      <c r="W1466" s="3" t="n"/>
      <c r="X1466" s="4" t="n"/>
      <c r="Y1466" s="5" t="n">
        <v>0.352</v>
      </c>
      <c r="Z1466" s="4">
        <f>IF(L1466&lt;&gt;"",SQRT(3)*G1466*L1466/1000,"")</f>
        <v/>
      </c>
      <c r="AA1466" t="inlineStr">
        <is>
          <t>Source=Copeland 2D/3D/4D/4R/6D/8D/9R compressors (pdf) p72</t>
        </is>
      </c>
      <c r="AB1466" t="inlineStr">
        <is>
          <t>Copeland_RLA_230_460_3ph_60Hz.xlsx</t>
        </is>
      </c>
      <c r="AC1466" t="inlineStr">
        <is>
          <t>Recip_2D-9R</t>
        </is>
      </c>
    </row>
    <row r="1467">
      <c r="A1467" t="inlineStr">
        <is>
          <t>COPELAND</t>
        </is>
      </c>
      <c r="B1467" t="inlineStr">
        <is>
          <t>6DK3-200E-TSK</t>
        </is>
      </c>
      <c r="D1467" t="inlineStr">
        <is>
          <t>Reciprocating Semi-hermetic</t>
        </is>
      </c>
      <c r="E1467" s="2" t="n">
        <v>3</v>
      </c>
      <c r="F1467" s="2" t="n">
        <v>60</v>
      </c>
      <c r="G1467" s="2" t="n">
        <v>230</v>
      </c>
      <c r="H1467" t="inlineStr">
        <is>
          <t>208/230</t>
        </is>
      </c>
      <c r="I1467" s="2" t="n">
        <v>208</v>
      </c>
      <c r="J1467" s="2" t="n">
        <v>230</v>
      </c>
      <c r="L1467" s="3" t="n"/>
      <c r="M1467" s="3" t="n"/>
      <c r="N1467" s="3" t="n">
        <v>75</v>
      </c>
      <c r="O1467" s="3" t="n"/>
      <c r="P1467" s="3">
        <f>IF(L1467&lt;&gt;"",L1467/1.4,"")</f>
        <v/>
      </c>
      <c r="Q1467" s="3">
        <f>IF(L1467&lt;&gt;"",L1467/1.56,"")</f>
        <v/>
      </c>
      <c r="R1467" s="3">
        <f>IF(M1467&lt;&gt;"",M1467/1.4,"")</f>
        <v/>
      </c>
      <c r="S1467" s="3">
        <f>IF(M1467&lt;&gt;"",M1467/1.56,"")</f>
        <v/>
      </c>
      <c r="T1467" s="3">
        <f>IF(N1467&lt;&gt;"",N1467,IF(O1467&lt;&gt;"",O1467,IF(L1467&lt;&gt;"",L1467/1.56,IF(M1467&lt;&gt;"",M1467/1.56,""))))</f>
        <v/>
      </c>
      <c r="U1467" s="3" t="n">
        <v>346</v>
      </c>
      <c r="V1467" s="3" t="n">
        <v>208</v>
      </c>
      <c r="W1467" s="3" t="n"/>
      <c r="X1467" s="4" t="n"/>
      <c r="Y1467" s="5" t="n">
        <v>0.142</v>
      </c>
      <c r="Z1467" s="4">
        <f>IF(L1467&lt;&gt;"",SQRT(3)*G1467*L1467/1000,"")</f>
        <v/>
      </c>
      <c r="AA1467" t="inlineStr">
        <is>
          <t>Source=Copeland 2D/3D/4D/4R/6D/8D/9R compressors (pdf) p72; PWS_RLA=37.5</t>
        </is>
      </c>
      <c r="AB1467" t="inlineStr">
        <is>
          <t>Copeland_RLA_230_460_3ph_60Hz.xlsx</t>
        </is>
      </c>
      <c r="AC1467" t="inlineStr">
        <is>
          <t>Recip_2D-9R</t>
        </is>
      </c>
    </row>
    <row r="1468">
      <c r="A1468" t="inlineStr">
        <is>
          <t>COPELAND</t>
        </is>
      </c>
      <c r="B1468" t="inlineStr">
        <is>
          <t>6DK3-200E-TSK</t>
        </is>
      </c>
      <c r="D1468" t="inlineStr">
        <is>
          <t>Reciprocating Semi-hermetic</t>
        </is>
      </c>
      <c r="E1468" s="2" t="n">
        <v>3</v>
      </c>
      <c r="F1468" s="2" t="n">
        <v>60</v>
      </c>
      <c r="G1468" s="2" t="n">
        <v>460</v>
      </c>
      <c r="H1468" t="inlineStr">
        <is>
          <t>460</t>
        </is>
      </c>
      <c r="I1468" s="2" t="n">
        <v>460</v>
      </c>
      <c r="J1468" s="2" t="n">
        <v>460</v>
      </c>
      <c r="L1468" s="3" t="n"/>
      <c r="M1468" s="3" t="n"/>
      <c r="N1468" s="3" t="n">
        <v>37.5</v>
      </c>
      <c r="O1468" s="3" t="n"/>
      <c r="P1468" s="3">
        <f>IF(L1468&lt;&gt;"",L1468/1.4,"")</f>
        <v/>
      </c>
      <c r="Q1468" s="3">
        <f>IF(L1468&lt;&gt;"",L1468/1.56,"")</f>
        <v/>
      </c>
      <c r="R1468" s="3">
        <f>IF(M1468&lt;&gt;"",M1468/1.4,"")</f>
        <v/>
      </c>
      <c r="S1468" s="3">
        <f>IF(M1468&lt;&gt;"",M1468/1.56,"")</f>
        <v/>
      </c>
      <c r="T1468" s="3">
        <f>IF(N1468&lt;&gt;"",N1468,IF(O1468&lt;&gt;"",O1468,IF(L1468&lt;&gt;"",L1468/1.56,IF(M1468&lt;&gt;"",M1468/1.56,""))))</f>
        <v/>
      </c>
      <c r="U1468" s="3" t="n">
        <v>173</v>
      </c>
      <c r="V1468" s="3" t="n"/>
      <c r="W1468" s="3" t="n"/>
      <c r="X1468" s="4" t="n"/>
      <c r="Y1468" s="5" t="n">
        <v>0.5679999999999999</v>
      </c>
      <c r="Z1468" s="4">
        <f>IF(L1468&lt;&gt;"",SQRT(3)*G1468*L1468/1000,"")</f>
        <v/>
      </c>
      <c r="AA1468" t="inlineStr">
        <is>
          <t>Source=Copeland 2D/3D/4D/4R/6D/8D/9R compressors (pdf) p72</t>
        </is>
      </c>
      <c r="AB1468" t="inlineStr">
        <is>
          <t>Copeland_RLA_230_460_3ph_60Hz.xlsx</t>
        </is>
      </c>
      <c r="AC1468" t="inlineStr">
        <is>
          <t>Recip_2D-9R</t>
        </is>
      </c>
    </row>
    <row r="1469">
      <c r="A1469" t="inlineStr">
        <is>
          <t>COPELAND</t>
        </is>
      </c>
      <c r="B1469" t="inlineStr">
        <is>
          <t>6DK3-200L-TSK</t>
        </is>
      </c>
      <c r="D1469" t="inlineStr">
        <is>
          <t>Reciprocating Semi-hermetic</t>
        </is>
      </c>
      <c r="E1469" s="2" t="n">
        <v>3</v>
      </c>
      <c r="F1469" s="2" t="n">
        <v>60</v>
      </c>
      <c r="G1469" s="2" t="n">
        <v>230</v>
      </c>
      <c r="H1469" t="inlineStr">
        <is>
          <t>208/230</t>
        </is>
      </c>
      <c r="I1469" s="2" t="n">
        <v>208</v>
      </c>
      <c r="J1469" s="2" t="n">
        <v>230</v>
      </c>
      <c r="L1469" s="3" t="n"/>
      <c r="M1469" s="3" t="n"/>
      <c r="N1469" s="3" t="n">
        <v>75</v>
      </c>
      <c r="O1469" s="3" t="n"/>
      <c r="P1469" s="3">
        <f>IF(L1469&lt;&gt;"",L1469/1.4,"")</f>
        <v/>
      </c>
      <c r="Q1469" s="3">
        <f>IF(L1469&lt;&gt;"",L1469/1.56,"")</f>
        <v/>
      </c>
      <c r="R1469" s="3">
        <f>IF(M1469&lt;&gt;"",M1469/1.4,"")</f>
        <v/>
      </c>
      <c r="S1469" s="3">
        <f>IF(M1469&lt;&gt;"",M1469/1.56,"")</f>
        <v/>
      </c>
      <c r="T1469" s="3">
        <f>IF(N1469&lt;&gt;"",N1469,IF(O1469&lt;&gt;"",O1469,IF(L1469&lt;&gt;"",L1469/1.56,IF(M1469&lt;&gt;"",M1469/1.56,""))))</f>
        <v/>
      </c>
      <c r="U1469" s="3" t="n">
        <v>346</v>
      </c>
      <c r="V1469" s="3" t="n">
        <v>208</v>
      </c>
      <c r="W1469" s="3" t="n"/>
      <c r="X1469" s="4" t="n"/>
      <c r="Y1469" s="5" t="n">
        <v>0.142</v>
      </c>
      <c r="Z1469" s="4">
        <f>IF(L1469&lt;&gt;"",SQRT(3)*G1469*L1469/1000,"")</f>
        <v/>
      </c>
      <c r="AA1469" t="inlineStr">
        <is>
          <t>Source=Copeland 2D/3D/4D/4R/6D/8D/9R compressors (pdf) p72; PWS_RLA=37.5</t>
        </is>
      </c>
      <c r="AB1469" t="inlineStr">
        <is>
          <t>Copeland_RLA_230_460_3ph_60Hz.xlsx</t>
        </is>
      </c>
      <c r="AC1469" t="inlineStr">
        <is>
          <t>Recip_2D-9R</t>
        </is>
      </c>
    </row>
    <row r="1470">
      <c r="A1470" t="inlineStr">
        <is>
          <t>COPELAND</t>
        </is>
      </c>
      <c r="B1470" t="inlineStr">
        <is>
          <t>6DK3-200L-TSK</t>
        </is>
      </c>
      <c r="D1470" t="inlineStr">
        <is>
          <t>Reciprocating Semi-hermetic</t>
        </is>
      </c>
      <c r="E1470" s="2" t="n">
        <v>3</v>
      </c>
      <c r="F1470" s="2" t="n">
        <v>60</v>
      </c>
      <c r="G1470" s="2" t="n">
        <v>460</v>
      </c>
      <c r="H1470" t="inlineStr">
        <is>
          <t>460</t>
        </is>
      </c>
      <c r="I1470" s="2" t="n">
        <v>460</v>
      </c>
      <c r="J1470" s="2" t="n">
        <v>460</v>
      </c>
      <c r="L1470" s="3" t="n"/>
      <c r="M1470" s="3" t="n"/>
      <c r="N1470" s="3" t="n">
        <v>37.5</v>
      </c>
      <c r="O1470" s="3" t="n"/>
      <c r="P1470" s="3">
        <f>IF(L1470&lt;&gt;"",L1470/1.4,"")</f>
        <v/>
      </c>
      <c r="Q1470" s="3">
        <f>IF(L1470&lt;&gt;"",L1470/1.56,"")</f>
        <v/>
      </c>
      <c r="R1470" s="3">
        <f>IF(M1470&lt;&gt;"",M1470/1.4,"")</f>
        <v/>
      </c>
      <c r="S1470" s="3">
        <f>IF(M1470&lt;&gt;"",M1470/1.56,"")</f>
        <v/>
      </c>
      <c r="T1470" s="3">
        <f>IF(N1470&lt;&gt;"",N1470,IF(O1470&lt;&gt;"",O1470,IF(L1470&lt;&gt;"",L1470/1.56,IF(M1470&lt;&gt;"",M1470/1.56,""))))</f>
        <v/>
      </c>
      <c r="U1470" s="3" t="n">
        <v>173</v>
      </c>
      <c r="V1470" s="3" t="n"/>
      <c r="W1470" s="3" t="n"/>
      <c r="X1470" s="4" t="n"/>
      <c r="Y1470" s="5" t="n">
        <v>0.5679999999999999</v>
      </c>
      <c r="Z1470" s="4">
        <f>IF(L1470&lt;&gt;"",SQRT(3)*G1470*L1470/1000,"")</f>
        <v/>
      </c>
      <c r="AA1470" t="inlineStr">
        <is>
          <t>Source=Copeland 2D/3D/4D/4R/6D/8D/9R compressors (pdf) p73</t>
        </is>
      </c>
      <c r="AB1470" t="inlineStr">
        <is>
          <t>Copeland_RLA_230_460_3ph_60Hz.xlsx</t>
        </is>
      </c>
      <c r="AC1470" t="inlineStr">
        <is>
          <t>Recip_2D-9R</t>
        </is>
      </c>
    </row>
    <row r="1471">
      <c r="A1471" t="inlineStr">
        <is>
          <t>COPELAND</t>
        </is>
      </c>
      <c r="B1471" t="inlineStr">
        <is>
          <t>6DK3-3500-FSD</t>
        </is>
      </c>
      <c r="D1471" t="inlineStr">
        <is>
          <t>Reciprocating Semi-hermetic</t>
        </is>
      </c>
      <c r="E1471" s="2" t="n">
        <v>3</v>
      </c>
      <c r="F1471" s="2" t="n">
        <v>60</v>
      </c>
      <c r="G1471" s="2" t="n">
        <v>460</v>
      </c>
      <c r="H1471" t="inlineStr">
        <is>
          <t>460</t>
        </is>
      </c>
      <c r="I1471" s="2" t="n">
        <v>460</v>
      </c>
      <c r="J1471" s="2" t="n">
        <v>460</v>
      </c>
      <c r="L1471" s="3" t="n"/>
      <c r="M1471" s="3" t="n"/>
      <c r="N1471" s="3" t="n">
        <v>62.6</v>
      </c>
      <c r="O1471" s="3" t="n"/>
      <c r="P1471" s="3">
        <f>IF(L1471&lt;&gt;"",L1471/1.4,"")</f>
        <v/>
      </c>
      <c r="Q1471" s="3">
        <f>IF(L1471&lt;&gt;"",L1471/1.56,"")</f>
        <v/>
      </c>
      <c r="R1471" s="3">
        <f>IF(M1471&lt;&gt;"",M1471/1.4,"")</f>
        <v/>
      </c>
      <c r="S1471" s="3">
        <f>IF(M1471&lt;&gt;"",M1471/1.56,"")</f>
        <v/>
      </c>
      <c r="T1471" s="3">
        <f>IF(N1471&lt;&gt;"",N1471,IF(O1471&lt;&gt;"",O1471,IF(L1471&lt;&gt;"",L1471/1.56,IF(M1471&lt;&gt;"",M1471/1.56,""))))</f>
        <v/>
      </c>
      <c r="U1471" s="3" t="n">
        <v>260</v>
      </c>
      <c r="V1471" s="3" t="n">
        <v>156</v>
      </c>
      <c r="W1471" s="3" t="n"/>
      <c r="X1471" s="4" t="n"/>
      <c r="Y1471" s="5" t="n">
        <v>0.39</v>
      </c>
      <c r="Z1471" s="4">
        <f>IF(L1471&lt;&gt;"",SQRT(3)*G1471*L1471/1000,"")</f>
        <v/>
      </c>
      <c r="AA1471" t="inlineStr">
        <is>
          <t>Source=Copeland 2D/3D/4D/4R/6D/8D/9R compressors (pdf) p73; PWS_RLA=31.3</t>
        </is>
      </c>
      <c r="AB1471" t="inlineStr">
        <is>
          <t>Copeland_RLA_230_460_3ph_60Hz.xlsx</t>
        </is>
      </c>
      <c r="AC1471" t="inlineStr">
        <is>
          <t>Recip_2D-9R</t>
        </is>
      </c>
    </row>
    <row r="1472">
      <c r="A1472" t="inlineStr">
        <is>
          <t>COPELAND</t>
        </is>
      </c>
      <c r="B1472" t="inlineStr">
        <is>
          <t>6DK3-3500-TSK</t>
        </is>
      </c>
      <c r="D1472" t="inlineStr">
        <is>
          <t>Reciprocating Semi-hermetic</t>
        </is>
      </c>
      <c r="E1472" s="2" t="n">
        <v>3</v>
      </c>
      <c r="F1472" s="2" t="n">
        <v>60</v>
      </c>
      <c r="G1472" s="2" t="n">
        <v>230</v>
      </c>
      <c r="H1472" t="inlineStr">
        <is>
          <t>208/230</t>
        </is>
      </c>
      <c r="I1472" s="2" t="n">
        <v>208</v>
      </c>
      <c r="J1472" s="2" t="n">
        <v>230</v>
      </c>
      <c r="L1472" s="3" t="n"/>
      <c r="M1472" s="3" t="n"/>
      <c r="N1472" s="3" t="n">
        <v>125.1</v>
      </c>
      <c r="O1472" s="3" t="n"/>
      <c r="P1472" s="3">
        <f>IF(L1472&lt;&gt;"",L1472/1.4,"")</f>
        <v/>
      </c>
      <c r="Q1472" s="3">
        <f>IF(L1472&lt;&gt;"",L1472/1.56,"")</f>
        <v/>
      </c>
      <c r="R1472" s="3">
        <f>IF(M1472&lt;&gt;"",M1472/1.4,"")</f>
        <v/>
      </c>
      <c r="S1472" s="3">
        <f>IF(M1472&lt;&gt;"",M1472/1.56,"")</f>
        <v/>
      </c>
      <c r="T1472" s="3">
        <f>IF(N1472&lt;&gt;"",N1472,IF(O1472&lt;&gt;"",O1472,IF(L1472&lt;&gt;"",L1472/1.56,IF(M1472&lt;&gt;"",M1472/1.56,""))))</f>
        <v/>
      </c>
      <c r="U1472" s="3" t="n">
        <v>565</v>
      </c>
      <c r="V1472" s="3" t="n">
        <v>340</v>
      </c>
      <c r="W1472" s="3" t="n"/>
      <c r="X1472" s="4" t="n"/>
      <c r="Y1472" s="5" t="n">
        <v>0.08699999999999999</v>
      </c>
      <c r="Z1472" s="4">
        <f>IF(L1472&lt;&gt;"",SQRT(3)*G1472*L1472/1000,"")</f>
        <v/>
      </c>
      <c r="AA1472" t="inlineStr">
        <is>
          <t>Source=Copeland 2D/3D/4D/4R/6D/8D/9R compressors (pdf) p73; PWS_RLA=62.6</t>
        </is>
      </c>
      <c r="AB1472" t="inlineStr">
        <is>
          <t>Copeland_RLA_230_460_3ph_60Hz.xlsx</t>
        </is>
      </c>
      <c r="AC1472" t="inlineStr">
        <is>
          <t>Recip_2D-9R</t>
        </is>
      </c>
    </row>
    <row r="1473">
      <c r="A1473" t="inlineStr">
        <is>
          <t>COPELAND</t>
        </is>
      </c>
      <c r="B1473" t="inlineStr">
        <is>
          <t>6DK3-3500-TSK</t>
        </is>
      </c>
      <c r="D1473" t="inlineStr">
        <is>
          <t>Reciprocating Semi-hermetic</t>
        </is>
      </c>
      <c r="E1473" s="2" t="n">
        <v>3</v>
      </c>
      <c r="F1473" s="2" t="n">
        <v>60</v>
      </c>
      <c r="G1473" s="2" t="n">
        <v>460</v>
      </c>
      <c r="H1473" t="inlineStr">
        <is>
          <t>460</t>
        </is>
      </c>
      <c r="I1473" s="2" t="n">
        <v>460</v>
      </c>
      <c r="J1473" s="2" t="n">
        <v>460</v>
      </c>
      <c r="L1473" s="3" t="n"/>
      <c r="M1473" s="3" t="n"/>
      <c r="N1473" s="3" t="n">
        <v>62.6</v>
      </c>
      <c r="O1473" s="3" t="n"/>
      <c r="P1473" s="3">
        <f>IF(L1473&lt;&gt;"",L1473/1.4,"")</f>
        <v/>
      </c>
      <c r="Q1473" s="3">
        <f>IF(L1473&lt;&gt;"",L1473/1.56,"")</f>
        <v/>
      </c>
      <c r="R1473" s="3">
        <f>IF(M1473&lt;&gt;"",M1473/1.4,"")</f>
        <v/>
      </c>
      <c r="S1473" s="3">
        <f>IF(M1473&lt;&gt;"",M1473/1.56,"")</f>
        <v/>
      </c>
      <c r="T1473" s="3">
        <f>IF(N1473&lt;&gt;"",N1473,IF(O1473&lt;&gt;"",O1473,IF(L1473&lt;&gt;"",L1473/1.56,IF(M1473&lt;&gt;"",M1473/1.56,""))))</f>
        <v/>
      </c>
      <c r="U1473" s="3" t="n">
        <v>283</v>
      </c>
      <c r="V1473" s="3" t="n"/>
      <c r="W1473" s="3" t="n"/>
      <c r="X1473" s="4" t="n"/>
      <c r="Y1473" s="5" t="n">
        <v>0.348</v>
      </c>
      <c r="Z1473" s="4">
        <f>IF(L1473&lt;&gt;"",SQRT(3)*G1473*L1473/1000,"")</f>
        <v/>
      </c>
      <c r="AA1473" t="inlineStr">
        <is>
          <t>Source=Copeland 2D/3D/4D/4R/6D/8D/9R compressors (pdf) p73</t>
        </is>
      </c>
      <c r="AB1473" t="inlineStr">
        <is>
          <t>Copeland_RLA_230_460_3ph_60Hz.xlsx</t>
        </is>
      </c>
      <c r="AC1473" t="inlineStr">
        <is>
          <t>Recip_2D-9R</t>
        </is>
      </c>
    </row>
    <row r="1474">
      <c r="A1474" t="inlineStr">
        <is>
          <t>COPELAND</t>
        </is>
      </c>
      <c r="B1474" t="inlineStr">
        <is>
          <t>6DK3-350E-FSD</t>
        </is>
      </c>
      <c r="D1474" t="inlineStr">
        <is>
          <t>Reciprocating Semi-hermetic</t>
        </is>
      </c>
      <c r="E1474" s="2" t="n">
        <v>3</v>
      </c>
      <c r="F1474" s="2" t="n">
        <v>60</v>
      </c>
      <c r="G1474" s="2" t="n">
        <v>460</v>
      </c>
      <c r="H1474" t="inlineStr">
        <is>
          <t>460</t>
        </is>
      </c>
      <c r="I1474" s="2" t="n">
        <v>460</v>
      </c>
      <c r="J1474" s="2" t="n">
        <v>460</v>
      </c>
      <c r="L1474" s="3" t="n"/>
      <c r="M1474" s="3" t="n"/>
      <c r="N1474" s="3" t="n">
        <v>62.6</v>
      </c>
      <c r="O1474" s="3" t="n"/>
      <c r="P1474" s="3">
        <f>IF(L1474&lt;&gt;"",L1474/1.4,"")</f>
        <v/>
      </c>
      <c r="Q1474" s="3">
        <f>IF(L1474&lt;&gt;"",L1474/1.56,"")</f>
        <v/>
      </c>
      <c r="R1474" s="3">
        <f>IF(M1474&lt;&gt;"",M1474/1.4,"")</f>
        <v/>
      </c>
      <c r="S1474" s="3">
        <f>IF(M1474&lt;&gt;"",M1474/1.56,"")</f>
        <v/>
      </c>
      <c r="T1474" s="3">
        <f>IF(N1474&lt;&gt;"",N1474,IF(O1474&lt;&gt;"",O1474,IF(L1474&lt;&gt;"",L1474/1.56,IF(M1474&lt;&gt;"",M1474/1.56,""))))</f>
        <v/>
      </c>
      <c r="U1474" s="3" t="n">
        <v>260</v>
      </c>
      <c r="V1474" s="3" t="n">
        <v>156</v>
      </c>
      <c r="W1474" s="3" t="n"/>
      <c r="X1474" s="4" t="n"/>
      <c r="Y1474" s="5" t="n">
        <v>0.39</v>
      </c>
      <c r="Z1474" s="4">
        <f>IF(L1474&lt;&gt;"",SQRT(3)*G1474*L1474/1000,"")</f>
        <v/>
      </c>
      <c r="AA1474" t="inlineStr">
        <is>
          <t>Source=Copeland 2D/3D/4D/4R/6D/8D/9R compressors (pdf) p73; PWS_RLA=31.3</t>
        </is>
      </c>
      <c r="AB1474" t="inlineStr">
        <is>
          <t>Copeland_RLA_230_460_3ph_60Hz.xlsx</t>
        </is>
      </c>
      <c r="AC1474" t="inlineStr">
        <is>
          <t>Recip_2D-9R</t>
        </is>
      </c>
    </row>
    <row r="1475">
      <c r="A1475" t="inlineStr">
        <is>
          <t>COPELAND</t>
        </is>
      </c>
      <c r="B1475" t="inlineStr">
        <is>
          <t>6DK3-350E-TSK</t>
        </is>
      </c>
      <c r="D1475" t="inlineStr">
        <is>
          <t>Reciprocating Semi-hermetic</t>
        </is>
      </c>
      <c r="E1475" s="2" t="n">
        <v>3</v>
      </c>
      <c r="F1475" s="2" t="n">
        <v>60</v>
      </c>
      <c r="G1475" s="2" t="n">
        <v>230</v>
      </c>
      <c r="H1475" t="inlineStr">
        <is>
          <t>208/230</t>
        </is>
      </c>
      <c r="I1475" s="2" t="n">
        <v>208</v>
      </c>
      <c r="J1475" s="2" t="n">
        <v>230</v>
      </c>
      <c r="L1475" s="3" t="n"/>
      <c r="M1475" s="3" t="n"/>
      <c r="N1475" s="3" t="n">
        <v>125.1</v>
      </c>
      <c r="O1475" s="3" t="n"/>
      <c r="P1475" s="3">
        <f>IF(L1475&lt;&gt;"",L1475/1.4,"")</f>
        <v/>
      </c>
      <c r="Q1475" s="3">
        <f>IF(L1475&lt;&gt;"",L1475/1.56,"")</f>
        <v/>
      </c>
      <c r="R1475" s="3">
        <f>IF(M1475&lt;&gt;"",M1475/1.4,"")</f>
        <v/>
      </c>
      <c r="S1475" s="3">
        <f>IF(M1475&lt;&gt;"",M1475/1.56,"")</f>
        <v/>
      </c>
      <c r="T1475" s="3">
        <f>IF(N1475&lt;&gt;"",N1475,IF(O1475&lt;&gt;"",O1475,IF(L1475&lt;&gt;"",L1475/1.56,IF(M1475&lt;&gt;"",M1475/1.56,""))))</f>
        <v/>
      </c>
      <c r="U1475" s="3" t="n">
        <v>565</v>
      </c>
      <c r="V1475" s="3" t="n">
        <v>340</v>
      </c>
      <c r="W1475" s="3" t="n"/>
      <c r="X1475" s="4" t="n"/>
      <c r="Y1475" s="5" t="n">
        <v>0.08699999999999999</v>
      </c>
      <c r="Z1475" s="4">
        <f>IF(L1475&lt;&gt;"",SQRT(3)*G1475*L1475/1000,"")</f>
        <v/>
      </c>
      <c r="AA1475" t="inlineStr">
        <is>
          <t>Source=Copeland 2D/3D/4D/4R/6D/8D/9R compressors (pdf) p73; PWS_RLA=62.6</t>
        </is>
      </c>
      <c r="AB1475" t="inlineStr">
        <is>
          <t>Copeland_RLA_230_460_3ph_60Hz.xlsx</t>
        </is>
      </c>
      <c r="AC1475" t="inlineStr">
        <is>
          <t>Recip_2D-9R</t>
        </is>
      </c>
    </row>
    <row r="1476">
      <c r="A1476" t="inlineStr">
        <is>
          <t>COPELAND</t>
        </is>
      </c>
      <c r="B1476" t="inlineStr">
        <is>
          <t>6DK3-350E-TSK</t>
        </is>
      </c>
      <c r="D1476" t="inlineStr">
        <is>
          <t>Reciprocating Semi-hermetic</t>
        </is>
      </c>
      <c r="E1476" s="2" t="n">
        <v>3</v>
      </c>
      <c r="F1476" s="2" t="n">
        <v>60</v>
      </c>
      <c r="G1476" s="2" t="n">
        <v>460</v>
      </c>
      <c r="H1476" t="inlineStr">
        <is>
          <t>460</t>
        </is>
      </c>
      <c r="I1476" s="2" t="n">
        <v>460</v>
      </c>
      <c r="J1476" s="2" t="n">
        <v>460</v>
      </c>
      <c r="L1476" s="3" t="n"/>
      <c r="M1476" s="3" t="n"/>
      <c r="N1476" s="3" t="n">
        <v>62.6</v>
      </c>
      <c r="O1476" s="3" t="n"/>
      <c r="P1476" s="3">
        <f>IF(L1476&lt;&gt;"",L1476/1.4,"")</f>
        <v/>
      </c>
      <c r="Q1476" s="3">
        <f>IF(L1476&lt;&gt;"",L1476/1.56,"")</f>
        <v/>
      </c>
      <c r="R1476" s="3">
        <f>IF(M1476&lt;&gt;"",M1476/1.4,"")</f>
        <v/>
      </c>
      <c r="S1476" s="3">
        <f>IF(M1476&lt;&gt;"",M1476/1.56,"")</f>
        <v/>
      </c>
      <c r="T1476" s="3">
        <f>IF(N1476&lt;&gt;"",N1476,IF(O1476&lt;&gt;"",O1476,IF(L1476&lt;&gt;"",L1476/1.56,IF(M1476&lt;&gt;"",M1476/1.56,""))))</f>
        <v/>
      </c>
      <c r="U1476" s="3" t="n">
        <v>283</v>
      </c>
      <c r="V1476" s="3" t="n"/>
      <c r="W1476" s="3" t="n"/>
      <c r="X1476" s="4" t="n"/>
      <c r="Y1476" s="5" t="n">
        <v>0.348</v>
      </c>
      <c r="Z1476" s="4">
        <f>IF(L1476&lt;&gt;"",SQRT(3)*G1476*L1476/1000,"")</f>
        <v/>
      </c>
      <c r="AA1476" t="inlineStr">
        <is>
          <t>Source=Copeland 2D/3D/4D/4R/6D/8D/9R compressors (pdf) p73</t>
        </is>
      </c>
      <c r="AB1476" t="inlineStr">
        <is>
          <t>Copeland_RLA_230_460_3ph_60Hz.xlsx</t>
        </is>
      </c>
      <c r="AC1476" t="inlineStr">
        <is>
          <t>Recip_2D-9R</t>
        </is>
      </c>
    </row>
    <row r="1477">
      <c r="A1477" t="inlineStr">
        <is>
          <t>COPELAND</t>
        </is>
      </c>
      <c r="B1477" t="inlineStr">
        <is>
          <t>6DK3-350L-FSD</t>
        </is>
      </c>
      <c r="D1477" t="inlineStr">
        <is>
          <t>Reciprocating Semi-hermetic</t>
        </is>
      </c>
      <c r="E1477" s="2" t="n">
        <v>3</v>
      </c>
      <c r="F1477" s="2" t="n">
        <v>60</v>
      </c>
      <c r="G1477" s="2" t="n">
        <v>460</v>
      </c>
      <c r="H1477" t="inlineStr">
        <is>
          <t>460</t>
        </is>
      </c>
      <c r="I1477" s="2" t="n">
        <v>460</v>
      </c>
      <c r="J1477" s="2" t="n">
        <v>460</v>
      </c>
      <c r="L1477" s="3" t="n"/>
      <c r="M1477" s="3" t="n"/>
      <c r="N1477" s="3" t="n">
        <v>62.6</v>
      </c>
      <c r="O1477" s="3" t="n"/>
      <c r="P1477" s="3">
        <f>IF(L1477&lt;&gt;"",L1477/1.4,"")</f>
        <v/>
      </c>
      <c r="Q1477" s="3">
        <f>IF(L1477&lt;&gt;"",L1477/1.56,"")</f>
        <v/>
      </c>
      <c r="R1477" s="3">
        <f>IF(M1477&lt;&gt;"",M1477/1.4,"")</f>
        <v/>
      </c>
      <c r="S1477" s="3">
        <f>IF(M1477&lt;&gt;"",M1477/1.56,"")</f>
        <v/>
      </c>
      <c r="T1477" s="3">
        <f>IF(N1477&lt;&gt;"",N1477,IF(O1477&lt;&gt;"",O1477,IF(L1477&lt;&gt;"",L1477/1.56,IF(M1477&lt;&gt;"",M1477/1.56,""))))</f>
        <v/>
      </c>
      <c r="U1477" s="3" t="n">
        <v>260</v>
      </c>
      <c r="V1477" s="3" t="n">
        <v>156</v>
      </c>
      <c r="W1477" s="3" t="n"/>
      <c r="X1477" s="4" t="n"/>
      <c r="Y1477" s="5" t="n">
        <v>0.39</v>
      </c>
      <c r="Z1477" s="4">
        <f>IF(L1477&lt;&gt;"",SQRT(3)*G1477*L1477/1000,"")</f>
        <v/>
      </c>
      <c r="AA1477" t="inlineStr">
        <is>
          <t>Source=Copeland 2D/3D/4D/4R/6D/8D/9R compressors (pdf) p73; PWS_RLA=31.3</t>
        </is>
      </c>
      <c r="AB1477" t="inlineStr">
        <is>
          <t>Copeland_RLA_230_460_3ph_60Hz.xlsx</t>
        </is>
      </c>
      <c r="AC1477" t="inlineStr">
        <is>
          <t>Recip_2D-9R</t>
        </is>
      </c>
    </row>
    <row r="1478">
      <c r="A1478" t="inlineStr">
        <is>
          <t>COPELAND</t>
        </is>
      </c>
      <c r="B1478" t="inlineStr">
        <is>
          <t>6DK3-350L-TSK</t>
        </is>
      </c>
      <c r="D1478" t="inlineStr">
        <is>
          <t>Reciprocating Semi-hermetic</t>
        </is>
      </c>
      <c r="E1478" s="2" t="n">
        <v>3</v>
      </c>
      <c r="F1478" s="2" t="n">
        <v>60</v>
      </c>
      <c r="G1478" s="2" t="n">
        <v>230</v>
      </c>
      <c r="H1478" t="inlineStr">
        <is>
          <t>208/230</t>
        </is>
      </c>
      <c r="I1478" s="2" t="n">
        <v>208</v>
      </c>
      <c r="J1478" s="2" t="n">
        <v>230</v>
      </c>
      <c r="L1478" s="3" t="n"/>
      <c r="M1478" s="3" t="n"/>
      <c r="N1478" s="3" t="n">
        <v>125.1</v>
      </c>
      <c r="O1478" s="3" t="n"/>
      <c r="P1478" s="3">
        <f>IF(L1478&lt;&gt;"",L1478/1.4,"")</f>
        <v/>
      </c>
      <c r="Q1478" s="3">
        <f>IF(L1478&lt;&gt;"",L1478/1.56,"")</f>
        <v/>
      </c>
      <c r="R1478" s="3">
        <f>IF(M1478&lt;&gt;"",M1478/1.4,"")</f>
        <v/>
      </c>
      <c r="S1478" s="3">
        <f>IF(M1478&lt;&gt;"",M1478/1.56,"")</f>
        <v/>
      </c>
      <c r="T1478" s="3">
        <f>IF(N1478&lt;&gt;"",N1478,IF(O1478&lt;&gt;"",O1478,IF(L1478&lt;&gt;"",L1478/1.56,IF(M1478&lt;&gt;"",M1478/1.56,""))))</f>
        <v/>
      </c>
      <c r="U1478" s="3" t="n">
        <v>565</v>
      </c>
      <c r="V1478" s="3" t="n">
        <v>340</v>
      </c>
      <c r="W1478" s="3" t="n"/>
      <c r="X1478" s="4" t="n"/>
      <c r="Y1478" s="5" t="n">
        <v>0.08699999999999999</v>
      </c>
      <c r="Z1478" s="4">
        <f>IF(L1478&lt;&gt;"",SQRT(3)*G1478*L1478/1000,"")</f>
        <v/>
      </c>
      <c r="AA1478" t="inlineStr">
        <is>
          <t>Source=Copeland 2D/3D/4D/4R/6D/8D/9R compressors (pdf) p73; PWS_RLA=62.6</t>
        </is>
      </c>
      <c r="AB1478" t="inlineStr">
        <is>
          <t>Copeland_RLA_230_460_3ph_60Hz.xlsx</t>
        </is>
      </c>
      <c r="AC1478" t="inlineStr">
        <is>
          <t>Recip_2D-9R</t>
        </is>
      </c>
    </row>
    <row r="1479">
      <c r="A1479" t="inlineStr">
        <is>
          <t>COPELAND</t>
        </is>
      </c>
      <c r="B1479" t="inlineStr">
        <is>
          <t>6DK3-350L-TSK</t>
        </is>
      </c>
      <c r="D1479" t="inlineStr">
        <is>
          <t>Reciprocating Semi-hermetic</t>
        </is>
      </c>
      <c r="E1479" s="2" t="n">
        <v>3</v>
      </c>
      <c r="F1479" s="2" t="n">
        <v>60</v>
      </c>
      <c r="G1479" s="2" t="n">
        <v>460</v>
      </c>
      <c r="H1479" t="inlineStr">
        <is>
          <t>460</t>
        </is>
      </c>
      <c r="I1479" s="2" t="n">
        <v>460</v>
      </c>
      <c r="J1479" s="2" t="n">
        <v>460</v>
      </c>
      <c r="L1479" s="3" t="n"/>
      <c r="M1479" s="3" t="n"/>
      <c r="N1479" s="3" t="n">
        <v>62.6</v>
      </c>
      <c r="O1479" s="3" t="n"/>
      <c r="P1479" s="3">
        <f>IF(L1479&lt;&gt;"",L1479/1.4,"")</f>
        <v/>
      </c>
      <c r="Q1479" s="3">
        <f>IF(L1479&lt;&gt;"",L1479/1.56,"")</f>
        <v/>
      </c>
      <c r="R1479" s="3">
        <f>IF(M1479&lt;&gt;"",M1479/1.4,"")</f>
        <v/>
      </c>
      <c r="S1479" s="3">
        <f>IF(M1479&lt;&gt;"",M1479/1.56,"")</f>
        <v/>
      </c>
      <c r="T1479" s="3">
        <f>IF(N1479&lt;&gt;"",N1479,IF(O1479&lt;&gt;"",O1479,IF(L1479&lt;&gt;"",L1479/1.56,IF(M1479&lt;&gt;"",M1479/1.56,""))))</f>
        <v/>
      </c>
      <c r="U1479" s="3" t="n">
        <v>283</v>
      </c>
      <c r="V1479" s="3" t="n"/>
      <c r="W1479" s="3" t="n"/>
      <c r="X1479" s="4" t="n"/>
      <c r="Y1479" s="5" t="n">
        <v>0.348</v>
      </c>
      <c r="Z1479" s="4">
        <f>IF(L1479&lt;&gt;"",SQRT(3)*G1479*L1479/1000,"")</f>
        <v/>
      </c>
      <c r="AA1479" t="inlineStr">
        <is>
          <t>Source=Copeland 2D/3D/4D/4R/6D/8D/9R compressors (pdf) p73</t>
        </is>
      </c>
      <c r="AB1479" t="inlineStr">
        <is>
          <t>Copeland_RLA_230_460_3ph_60Hz.xlsx</t>
        </is>
      </c>
      <c r="AC1479" t="inlineStr">
        <is>
          <t>Recip_2D-9R</t>
        </is>
      </c>
    </row>
    <row r="1480">
      <c r="A1480" t="inlineStr">
        <is>
          <t>COPELAND</t>
        </is>
      </c>
      <c r="B1480" t="inlineStr">
        <is>
          <t>6DK3A200E-TSK</t>
        </is>
      </c>
      <c r="D1480" t="inlineStr">
        <is>
          <t>Reciprocating Semi-hermetic</t>
        </is>
      </c>
      <c r="E1480" s="2" t="n">
        <v>3</v>
      </c>
      <c r="F1480" s="2" t="n">
        <v>60</v>
      </c>
      <c r="G1480" s="2" t="n">
        <v>230</v>
      </c>
      <c r="H1480" t="inlineStr">
        <is>
          <t>208/230</t>
        </is>
      </c>
      <c r="I1480" s="2" t="n">
        <v>208</v>
      </c>
      <c r="J1480" s="2" t="n">
        <v>230</v>
      </c>
      <c r="L1480" s="3" t="n"/>
      <c r="M1480" s="3" t="n"/>
      <c r="N1480" s="3" t="n">
        <v>75</v>
      </c>
      <c r="O1480" s="3" t="n"/>
      <c r="P1480" s="3">
        <f>IF(L1480&lt;&gt;"",L1480/1.4,"")</f>
        <v/>
      </c>
      <c r="Q1480" s="3">
        <f>IF(L1480&lt;&gt;"",L1480/1.56,"")</f>
        <v/>
      </c>
      <c r="R1480" s="3">
        <f>IF(M1480&lt;&gt;"",M1480/1.4,"")</f>
        <v/>
      </c>
      <c r="S1480" s="3">
        <f>IF(M1480&lt;&gt;"",M1480/1.56,"")</f>
        <v/>
      </c>
      <c r="T1480" s="3">
        <f>IF(N1480&lt;&gt;"",N1480,IF(O1480&lt;&gt;"",O1480,IF(L1480&lt;&gt;"",L1480/1.56,IF(M1480&lt;&gt;"",M1480/1.56,""))))</f>
        <v/>
      </c>
      <c r="U1480" s="3" t="n">
        <v>346</v>
      </c>
      <c r="V1480" s="3" t="n">
        <v>208</v>
      </c>
      <c r="W1480" s="3" t="n"/>
      <c r="X1480" s="4" t="n"/>
      <c r="Y1480" s="5" t="n">
        <v>0.142</v>
      </c>
      <c r="Z1480" s="4">
        <f>IF(L1480&lt;&gt;"",SQRT(3)*G1480*L1480/1000,"")</f>
        <v/>
      </c>
      <c r="AA1480" t="inlineStr">
        <is>
          <t>Source=Copeland 2D/3D/4D/4R/6D/8D/9R compressors (pdf) p73; PWS_RLA=37.5</t>
        </is>
      </c>
      <c r="AB1480" t="inlineStr">
        <is>
          <t>Copeland_RLA_230_460_3ph_60Hz.xlsx</t>
        </is>
      </c>
      <c r="AC1480" t="inlineStr">
        <is>
          <t>Recip_2D-9R</t>
        </is>
      </c>
    </row>
    <row r="1481">
      <c r="A1481" t="inlineStr">
        <is>
          <t>COPELAND</t>
        </is>
      </c>
      <c r="B1481" t="inlineStr">
        <is>
          <t>6DK3A200E-TSK</t>
        </is>
      </c>
      <c r="D1481" t="inlineStr">
        <is>
          <t>Reciprocating Semi-hermetic</t>
        </is>
      </c>
      <c r="E1481" s="2" t="n">
        <v>3</v>
      </c>
      <c r="F1481" s="2" t="n">
        <v>60</v>
      </c>
      <c r="G1481" s="2" t="n">
        <v>460</v>
      </c>
      <c r="H1481" t="inlineStr">
        <is>
          <t>460</t>
        </is>
      </c>
      <c r="I1481" s="2" t="n">
        <v>460</v>
      </c>
      <c r="J1481" s="2" t="n">
        <v>460</v>
      </c>
      <c r="L1481" s="3" t="n"/>
      <c r="M1481" s="3" t="n"/>
      <c r="N1481" s="3" t="n">
        <v>37.5</v>
      </c>
      <c r="O1481" s="3" t="n"/>
      <c r="P1481" s="3">
        <f>IF(L1481&lt;&gt;"",L1481/1.4,"")</f>
        <v/>
      </c>
      <c r="Q1481" s="3">
        <f>IF(L1481&lt;&gt;"",L1481/1.56,"")</f>
        <v/>
      </c>
      <c r="R1481" s="3">
        <f>IF(M1481&lt;&gt;"",M1481/1.4,"")</f>
        <v/>
      </c>
      <c r="S1481" s="3">
        <f>IF(M1481&lt;&gt;"",M1481/1.56,"")</f>
        <v/>
      </c>
      <c r="T1481" s="3">
        <f>IF(N1481&lt;&gt;"",N1481,IF(O1481&lt;&gt;"",O1481,IF(L1481&lt;&gt;"",L1481/1.56,IF(M1481&lt;&gt;"",M1481/1.56,""))))</f>
        <v/>
      </c>
      <c r="U1481" s="3" t="n">
        <v>173</v>
      </c>
      <c r="V1481" s="3" t="n"/>
      <c r="W1481" s="3" t="n"/>
      <c r="X1481" s="4" t="n"/>
      <c r="Y1481" s="5" t="n">
        <v>0.5679999999999999</v>
      </c>
      <c r="Z1481" s="4">
        <f>IF(L1481&lt;&gt;"",SQRT(3)*G1481*L1481/1000,"")</f>
        <v/>
      </c>
      <c r="AA1481" t="inlineStr">
        <is>
          <t>Source=Copeland 2D/3D/4D/4R/6D/8D/9R compressors (pdf) p73</t>
        </is>
      </c>
      <c r="AB1481" t="inlineStr">
        <is>
          <t>Copeland_RLA_230_460_3ph_60Hz.xlsx</t>
        </is>
      </c>
      <c r="AC1481" t="inlineStr">
        <is>
          <t>Recip_2D-9R</t>
        </is>
      </c>
    </row>
    <row r="1482">
      <c r="A1482" t="inlineStr">
        <is>
          <t>COPELAND</t>
        </is>
      </c>
      <c r="B1482" t="inlineStr">
        <is>
          <t>6DK3A200L-TSK</t>
        </is>
      </c>
      <c r="D1482" t="inlineStr">
        <is>
          <t>Reciprocating Semi-hermetic</t>
        </is>
      </c>
      <c r="E1482" s="2" t="n">
        <v>3</v>
      </c>
      <c r="F1482" s="2" t="n">
        <v>60</v>
      </c>
      <c r="G1482" s="2" t="n">
        <v>230</v>
      </c>
      <c r="H1482" t="inlineStr">
        <is>
          <t>208/230</t>
        </is>
      </c>
      <c r="I1482" s="2" t="n">
        <v>208</v>
      </c>
      <c r="J1482" s="2" t="n">
        <v>230</v>
      </c>
      <c r="L1482" s="3" t="n"/>
      <c r="M1482" s="3" t="n"/>
      <c r="N1482" s="3" t="n">
        <v>75</v>
      </c>
      <c r="O1482" s="3" t="n"/>
      <c r="P1482" s="3">
        <f>IF(L1482&lt;&gt;"",L1482/1.4,"")</f>
        <v/>
      </c>
      <c r="Q1482" s="3">
        <f>IF(L1482&lt;&gt;"",L1482/1.56,"")</f>
        <v/>
      </c>
      <c r="R1482" s="3">
        <f>IF(M1482&lt;&gt;"",M1482/1.4,"")</f>
        <v/>
      </c>
      <c r="S1482" s="3">
        <f>IF(M1482&lt;&gt;"",M1482/1.56,"")</f>
        <v/>
      </c>
      <c r="T1482" s="3">
        <f>IF(N1482&lt;&gt;"",N1482,IF(O1482&lt;&gt;"",O1482,IF(L1482&lt;&gt;"",L1482/1.56,IF(M1482&lt;&gt;"",M1482/1.56,""))))</f>
        <v/>
      </c>
      <c r="U1482" s="3" t="n">
        <v>346</v>
      </c>
      <c r="V1482" s="3" t="n">
        <v>208</v>
      </c>
      <c r="W1482" s="3" t="n"/>
      <c r="X1482" s="4" t="n"/>
      <c r="Y1482" s="5" t="n">
        <v>0.142</v>
      </c>
      <c r="Z1482" s="4">
        <f>IF(L1482&lt;&gt;"",SQRT(3)*G1482*L1482/1000,"")</f>
        <v/>
      </c>
      <c r="AA1482" t="inlineStr">
        <is>
          <t>Source=Copeland 2D/3D/4D/4R/6D/8D/9R compressors (pdf) p73; PWS_RLA=37.5</t>
        </is>
      </c>
      <c r="AB1482" t="inlineStr">
        <is>
          <t>Copeland_RLA_230_460_3ph_60Hz.xlsx</t>
        </is>
      </c>
      <c r="AC1482" t="inlineStr">
        <is>
          <t>Recip_2D-9R</t>
        </is>
      </c>
    </row>
    <row r="1483">
      <c r="A1483" t="inlineStr">
        <is>
          <t>COPELAND</t>
        </is>
      </c>
      <c r="B1483" t="inlineStr">
        <is>
          <t>6DK3A200L-TSK</t>
        </is>
      </c>
      <c r="D1483" t="inlineStr">
        <is>
          <t>Reciprocating Semi-hermetic</t>
        </is>
      </c>
      <c r="E1483" s="2" t="n">
        <v>3</v>
      </c>
      <c r="F1483" s="2" t="n">
        <v>60</v>
      </c>
      <c r="G1483" s="2" t="n">
        <v>460</v>
      </c>
      <c r="H1483" t="inlineStr">
        <is>
          <t>460</t>
        </is>
      </c>
      <c r="I1483" s="2" t="n">
        <v>460</v>
      </c>
      <c r="J1483" s="2" t="n">
        <v>460</v>
      </c>
      <c r="L1483" s="3" t="n"/>
      <c r="M1483" s="3" t="n"/>
      <c r="N1483" s="3" t="n">
        <v>37.5</v>
      </c>
      <c r="O1483" s="3" t="n"/>
      <c r="P1483" s="3">
        <f>IF(L1483&lt;&gt;"",L1483/1.4,"")</f>
        <v/>
      </c>
      <c r="Q1483" s="3">
        <f>IF(L1483&lt;&gt;"",L1483/1.56,"")</f>
        <v/>
      </c>
      <c r="R1483" s="3">
        <f>IF(M1483&lt;&gt;"",M1483/1.4,"")</f>
        <v/>
      </c>
      <c r="S1483" s="3">
        <f>IF(M1483&lt;&gt;"",M1483/1.56,"")</f>
        <v/>
      </c>
      <c r="T1483" s="3">
        <f>IF(N1483&lt;&gt;"",N1483,IF(O1483&lt;&gt;"",O1483,IF(L1483&lt;&gt;"",L1483/1.56,IF(M1483&lt;&gt;"",M1483/1.56,""))))</f>
        <v/>
      </c>
      <c r="U1483" s="3" t="n">
        <v>173</v>
      </c>
      <c r="V1483" s="3" t="n"/>
      <c r="W1483" s="3" t="n"/>
      <c r="X1483" s="4" t="n"/>
      <c r="Y1483" s="5" t="n">
        <v>0.5679999999999999</v>
      </c>
      <c r="Z1483" s="4">
        <f>IF(L1483&lt;&gt;"",SQRT(3)*G1483*L1483/1000,"")</f>
        <v/>
      </c>
      <c r="AA1483" t="inlineStr">
        <is>
          <t>Source=Copeland 2D/3D/4D/4R/6D/8D/9R compressors (pdf) p73</t>
        </is>
      </c>
      <c r="AB1483" t="inlineStr">
        <is>
          <t>Copeland_RLA_230_460_3ph_60Hz.xlsx</t>
        </is>
      </c>
      <c r="AC1483" t="inlineStr">
        <is>
          <t>Recip_2D-9R</t>
        </is>
      </c>
    </row>
    <row r="1484">
      <c r="A1484" t="inlineStr">
        <is>
          <t>COPELAND</t>
        </is>
      </c>
      <c r="B1484" t="inlineStr">
        <is>
          <t>6DK3A3500-FSD</t>
        </is>
      </c>
      <c r="D1484" t="inlineStr">
        <is>
          <t>Reciprocating Semi-hermetic</t>
        </is>
      </c>
      <c r="E1484" s="2" t="n">
        <v>3</v>
      </c>
      <c r="F1484" s="2" t="n">
        <v>60</v>
      </c>
      <c r="G1484" s="2" t="n">
        <v>460</v>
      </c>
      <c r="H1484" t="inlineStr">
        <is>
          <t>460</t>
        </is>
      </c>
      <c r="I1484" s="2" t="n">
        <v>460</v>
      </c>
      <c r="J1484" s="2" t="n">
        <v>460</v>
      </c>
      <c r="L1484" s="3" t="n"/>
      <c r="M1484" s="3" t="n"/>
      <c r="N1484" s="3" t="n">
        <v>62.6</v>
      </c>
      <c r="O1484" s="3" t="n"/>
      <c r="P1484" s="3">
        <f>IF(L1484&lt;&gt;"",L1484/1.4,"")</f>
        <v/>
      </c>
      <c r="Q1484" s="3">
        <f>IF(L1484&lt;&gt;"",L1484/1.56,"")</f>
        <v/>
      </c>
      <c r="R1484" s="3">
        <f>IF(M1484&lt;&gt;"",M1484/1.4,"")</f>
        <v/>
      </c>
      <c r="S1484" s="3">
        <f>IF(M1484&lt;&gt;"",M1484/1.56,"")</f>
        <v/>
      </c>
      <c r="T1484" s="3">
        <f>IF(N1484&lt;&gt;"",N1484,IF(O1484&lt;&gt;"",O1484,IF(L1484&lt;&gt;"",L1484/1.56,IF(M1484&lt;&gt;"",M1484/1.56,""))))</f>
        <v/>
      </c>
      <c r="U1484" s="3" t="n">
        <v>260</v>
      </c>
      <c r="V1484" s="3" t="n">
        <v>156</v>
      </c>
      <c r="W1484" s="3" t="n"/>
      <c r="X1484" s="4" t="n"/>
      <c r="Y1484" s="5" t="n">
        <v>0.39</v>
      </c>
      <c r="Z1484" s="4">
        <f>IF(L1484&lt;&gt;"",SQRT(3)*G1484*L1484/1000,"")</f>
        <v/>
      </c>
      <c r="AA1484" t="inlineStr">
        <is>
          <t>Source=Copeland 2D/3D/4D/4R/6D/8D/9R compressors (pdf) p73; PWS_RLA=31.3</t>
        </is>
      </c>
      <c r="AB1484" t="inlineStr">
        <is>
          <t>Copeland_RLA_230_460_3ph_60Hz.xlsx</t>
        </is>
      </c>
      <c r="AC1484" t="inlineStr">
        <is>
          <t>Recip_2D-9R</t>
        </is>
      </c>
    </row>
    <row r="1485">
      <c r="A1485" t="inlineStr">
        <is>
          <t>COPELAND</t>
        </is>
      </c>
      <c r="B1485" t="inlineStr">
        <is>
          <t>6DK3A3500-TSK</t>
        </is>
      </c>
      <c r="D1485" t="inlineStr">
        <is>
          <t>Reciprocating Semi-hermetic</t>
        </is>
      </c>
      <c r="E1485" s="2" t="n">
        <v>3</v>
      </c>
      <c r="F1485" s="2" t="n">
        <v>60</v>
      </c>
      <c r="G1485" s="2" t="n">
        <v>230</v>
      </c>
      <c r="H1485" t="inlineStr">
        <is>
          <t>208/230</t>
        </is>
      </c>
      <c r="I1485" s="2" t="n">
        <v>208</v>
      </c>
      <c r="J1485" s="2" t="n">
        <v>230</v>
      </c>
      <c r="L1485" s="3" t="n"/>
      <c r="M1485" s="3" t="n"/>
      <c r="N1485" s="3" t="n">
        <v>125.1</v>
      </c>
      <c r="O1485" s="3" t="n"/>
      <c r="P1485" s="3">
        <f>IF(L1485&lt;&gt;"",L1485/1.4,"")</f>
        <v/>
      </c>
      <c r="Q1485" s="3">
        <f>IF(L1485&lt;&gt;"",L1485/1.56,"")</f>
        <v/>
      </c>
      <c r="R1485" s="3">
        <f>IF(M1485&lt;&gt;"",M1485/1.4,"")</f>
        <v/>
      </c>
      <c r="S1485" s="3">
        <f>IF(M1485&lt;&gt;"",M1485/1.56,"")</f>
        <v/>
      </c>
      <c r="T1485" s="3">
        <f>IF(N1485&lt;&gt;"",N1485,IF(O1485&lt;&gt;"",O1485,IF(L1485&lt;&gt;"",L1485/1.56,IF(M1485&lt;&gt;"",M1485/1.56,""))))</f>
        <v/>
      </c>
      <c r="U1485" s="3" t="n">
        <v>565</v>
      </c>
      <c r="V1485" s="3" t="n">
        <v>340</v>
      </c>
      <c r="W1485" s="3" t="n"/>
      <c r="X1485" s="4" t="n"/>
      <c r="Y1485" s="5" t="n">
        <v>0.08699999999999999</v>
      </c>
      <c r="Z1485" s="4">
        <f>IF(L1485&lt;&gt;"",SQRT(3)*G1485*L1485/1000,"")</f>
        <v/>
      </c>
      <c r="AA1485" t="inlineStr">
        <is>
          <t>Source=Copeland 2D/3D/4D/4R/6D/8D/9R compressors (pdf) p73; PWS_RLA=62.6</t>
        </is>
      </c>
      <c r="AB1485" t="inlineStr">
        <is>
          <t>Copeland_RLA_230_460_3ph_60Hz.xlsx</t>
        </is>
      </c>
      <c r="AC1485" t="inlineStr">
        <is>
          <t>Recip_2D-9R</t>
        </is>
      </c>
    </row>
    <row r="1486">
      <c r="A1486" t="inlineStr">
        <is>
          <t>COPELAND</t>
        </is>
      </c>
      <c r="B1486" t="inlineStr">
        <is>
          <t>6DK3A3500-TSK</t>
        </is>
      </c>
      <c r="D1486" t="inlineStr">
        <is>
          <t>Reciprocating Semi-hermetic</t>
        </is>
      </c>
      <c r="E1486" s="2" t="n">
        <v>3</v>
      </c>
      <c r="F1486" s="2" t="n">
        <v>60</v>
      </c>
      <c r="G1486" s="2" t="n">
        <v>460</v>
      </c>
      <c r="H1486" t="inlineStr">
        <is>
          <t>460</t>
        </is>
      </c>
      <c r="I1486" s="2" t="n">
        <v>460</v>
      </c>
      <c r="J1486" s="2" t="n">
        <v>460</v>
      </c>
      <c r="L1486" s="3" t="n"/>
      <c r="M1486" s="3" t="n"/>
      <c r="N1486" s="3" t="n">
        <v>62.6</v>
      </c>
      <c r="O1486" s="3" t="n"/>
      <c r="P1486" s="3">
        <f>IF(L1486&lt;&gt;"",L1486/1.4,"")</f>
        <v/>
      </c>
      <c r="Q1486" s="3">
        <f>IF(L1486&lt;&gt;"",L1486/1.56,"")</f>
        <v/>
      </c>
      <c r="R1486" s="3">
        <f>IF(M1486&lt;&gt;"",M1486/1.4,"")</f>
        <v/>
      </c>
      <c r="S1486" s="3">
        <f>IF(M1486&lt;&gt;"",M1486/1.56,"")</f>
        <v/>
      </c>
      <c r="T1486" s="3">
        <f>IF(N1486&lt;&gt;"",N1486,IF(O1486&lt;&gt;"",O1486,IF(L1486&lt;&gt;"",L1486/1.56,IF(M1486&lt;&gt;"",M1486/1.56,""))))</f>
        <v/>
      </c>
      <c r="U1486" s="3" t="n">
        <v>283</v>
      </c>
      <c r="V1486" s="3" t="n"/>
      <c r="W1486" s="3" t="n"/>
      <c r="X1486" s="4" t="n"/>
      <c r="Y1486" s="5" t="n">
        <v>0.348</v>
      </c>
      <c r="Z1486" s="4">
        <f>IF(L1486&lt;&gt;"",SQRT(3)*G1486*L1486/1000,"")</f>
        <v/>
      </c>
      <c r="AA1486" t="inlineStr">
        <is>
          <t>Source=Copeland 2D/3D/4D/4R/6D/8D/9R compressors (pdf) p73</t>
        </is>
      </c>
      <c r="AB1486" t="inlineStr">
        <is>
          <t>Copeland_RLA_230_460_3ph_60Hz.xlsx</t>
        </is>
      </c>
      <c r="AC1486" t="inlineStr">
        <is>
          <t>Recip_2D-9R</t>
        </is>
      </c>
    </row>
    <row r="1487">
      <c r="A1487" t="inlineStr">
        <is>
          <t>COPELAND</t>
        </is>
      </c>
      <c r="B1487" t="inlineStr">
        <is>
          <t>6DK3A350E-FSD</t>
        </is>
      </c>
      <c r="D1487" t="inlineStr">
        <is>
          <t>Reciprocating Semi-hermetic</t>
        </is>
      </c>
      <c r="E1487" s="2" t="n">
        <v>3</v>
      </c>
      <c r="F1487" s="2" t="n">
        <v>60</v>
      </c>
      <c r="G1487" s="2" t="n">
        <v>460</v>
      </c>
      <c r="H1487" t="inlineStr">
        <is>
          <t>460</t>
        </is>
      </c>
      <c r="I1487" s="2" t="n">
        <v>460</v>
      </c>
      <c r="J1487" s="2" t="n">
        <v>460</v>
      </c>
      <c r="L1487" s="3" t="n"/>
      <c r="M1487" s="3" t="n"/>
      <c r="N1487" s="3" t="n">
        <v>62.6</v>
      </c>
      <c r="O1487" s="3" t="n"/>
      <c r="P1487" s="3">
        <f>IF(L1487&lt;&gt;"",L1487/1.4,"")</f>
        <v/>
      </c>
      <c r="Q1487" s="3">
        <f>IF(L1487&lt;&gt;"",L1487/1.56,"")</f>
        <v/>
      </c>
      <c r="R1487" s="3">
        <f>IF(M1487&lt;&gt;"",M1487/1.4,"")</f>
        <v/>
      </c>
      <c r="S1487" s="3">
        <f>IF(M1487&lt;&gt;"",M1487/1.56,"")</f>
        <v/>
      </c>
      <c r="T1487" s="3">
        <f>IF(N1487&lt;&gt;"",N1487,IF(O1487&lt;&gt;"",O1487,IF(L1487&lt;&gt;"",L1487/1.56,IF(M1487&lt;&gt;"",M1487/1.56,""))))</f>
        <v/>
      </c>
      <c r="U1487" s="3" t="n">
        <v>260</v>
      </c>
      <c r="V1487" s="3" t="n">
        <v>156</v>
      </c>
      <c r="W1487" s="3" t="n"/>
      <c r="X1487" s="4" t="n"/>
      <c r="Y1487" s="5" t="n">
        <v>0.39</v>
      </c>
      <c r="Z1487" s="4">
        <f>IF(L1487&lt;&gt;"",SQRT(3)*G1487*L1487/1000,"")</f>
        <v/>
      </c>
      <c r="AA1487" t="inlineStr">
        <is>
          <t>Source=Copeland 2D/3D/4D/4R/6D/8D/9R compressors (pdf) p73; PWS_RLA=31.3</t>
        </is>
      </c>
      <c r="AB1487" t="inlineStr">
        <is>
          <t>Copeland_RLA_230_460_3ph_60Hz.xlsx</t>
        </is>
      </c>
      <c r="AC1487" t="inlineStr">
        <is>
          <t>Recip_2D-9R</t>
        </is>
      </c>
    </row>
    <row r="1488">
      <c r="A1488" t="inlineStr">
        <is>
          <t>COPELAND</t>
        </is>
      </c>
      <c r="B1488" t="inlineStr">
        <is>
          <t>6DK3A350E-TSK</t>
        </is>
      </c>
      <c r="D1488" t="inlineStr">
        <is>
          <t>Reciprocating Semi-hermetic</t>
        </is>
      </c>
      <c r="E1488" s="2" t="n">
        <v>3</v>
      </c>
      <c r="F1488" s="2" t="n">
        <v>60</v>
      </c>
      <c r="G1488" s="2" t="n">
        <v>230</v>
      </c>
      <c r="H1488" t="inlineStr">
        <is>
          <t>208/230</t>
        </is>
      </c>
      <c r="I1488" s="2" t="n">
        <v>208</v>
      </c>
      <c r="J1488" s="2" t="n">
        <v>230</v>
      </c>
      <c r="L1488" s="3" t="n"/>
      <c r="M1488" s="3" t="n"/>
      <c r="N1488" s="3" t="n">
        <v>147.1</v>
      </c>
      <c r="O1488" s="3" t="n"/>
      <c r="P1488" s="3">
        <f>IF(L1488&lt;&gt;"",L1488/1.4,"")</f>
        <v/>
      </c>
      <c r="Q1488" s="3">
        <f>IF(L1488&lt;&gt;"",L1488/1.56,"")</f>
        <v/>
      </c>
      <c r="R1488" s="3">
        <f>IF(M1488&lt;&gt;"",M1488/1.4,"")</f>
        <v/>
      </c>
      <c r="S1488" s="3">
        <f>IF(M1488&lt;&gt;"",M1488/1.56,"")</f>
        <v/>
      </c>
      <c r="T1488" s="3">
        <f>IF(N1488&lt;&gt;"",N1488,IF(O1488&lt;&gt;"",O1488,IF(L1488&lt;&gt;"",L1488/1.56,IF(M1488&lt;&gt;"",M1488/1.56,""))))</f>
        <v/>
      </c>
      <c r="U1488" s="3" t="n">
        <v>565</v>
      </c>
      <c r="V1488" s="3" t="n">
        <v>340</v>
      </c>
      <c r="W1488" s="3" t="n"/>
      <c r="X1488" s="4" t="n"/>
      <c r="Y1488" s="5" t="n">
        <v>0.08699999999999999</v>
      </c>
      <c r="Z1488" s="4">
        <f>IF(L1488&lt;&gt;"",SQRT(3)*G1488*L1488/1000,"")</f>
        <v/>
      </c>
      <c r="AA1488" t="inlineStr">
        <is>
          <t>Source=Copeland 2D/3D/4D/4R/6D/8D/9R compressors (pdf) p74; PWS_RLA=62.6</t>
        </is>
      </c>
      <c r="AB1488" t="inlineStr">
        <is>
          <t>Copeland_RLA_230_460_3ph_60Hz.xlsx</t>
        </is>
      </c>
      <c r="AC1488" t="inlineStr">
        <is>
          <t>Recip_2D-9R</t>
        </is>
      </c>
    </row>
    <row r="1489">
      <c r="A1489" t="inlineStr">
        <is>
          <t>COPELAND</t>
        </is>
      </c>
      <c r="B1489" t="inlineStr">
        <is>
          <t>6DK3A350E-TSK</t>
        </is>
      </c>
      <c r="D1489" t="inlineStr">
        <is>
          <t>Reciprocating Semi-hermetic</t>
        </is>
      </c>
      <c r="E1489" s="2" t="n">
        <v>3</v>
      </c>
      <c r="F1489" s="2" t="n">
        <v>60</v>
      </c>
      <c r="G1489" s="2" t="n">
        <v>460</v>
      </c>
      <c r="H1489" t="inlineStr">
        <is>
          <t>460</t>
        </is>
      </c>
      <c r="I1489" s="2" t="n">
        <v>460</v>
      </c>
      <c r="J1489" s="2" t="n">
        <v>460</v>
      </c>
      <c r="L1489" s="3" t="n"/>
      <c r="M1489" s="3" t="n"/>
      <c r="N1489" s="3" t="n">
        <v>73.59999999999999</v>
      </c>
      <c r="O1489" s="3" t="n"/>
      <c r="P1489" s="3">
        <f>IF(L1489&lt;&gt;"",L1489/1.4,"")</f>
        <v/>
      </c>
      <c r="Q1489" s="3">
        <f>IF(L1489&lt;&gt;"",L1489/1.56,"")</f>
        <v/>
      </c>
      <c r="R1489" s="3">
        <f>IF(M1489&lt;&gt;"",M1489/1.4,"")</f>
        <v/>
      </c>
      <c r="S1489" s="3">
        <f>IF(M1489&lt;&gt;"",M1489/1.56,"")</f>
        <v/>
      </c>
      <c r="T1489" s="3">
        <f>IF(N1489&lt;&gt;"",N1489,IF(O1489&lt;&gt;"",O1489,IF(L1489&lt;&gt;"",L1489/1.56,IF(M1489&lt;&gt;"",M1489/1.56,""))))</f>
        <v/>
      </c>
      <c r="U1489" s="3" t="n">
        <v>283</v>
      </c>
      <c r="V1489" s="3" t="n"/>
      <c r="W1489" s="3" t="n"/>
      <c r="X1489" s="4" t="n"/>
      <c r="Y1489" s="5" t="n">
        <v>0.348</v>
      </c>
      <c r="Z1489" s="4">
        <f>IF(L1489&lt;&gt;"",SQRT(3)*G1489*L1489/1000,"")</f>
        <v/>
      </c>
      <c r="AA1489" t="inlineStr">
        <is>
          <t>Source=Copeland 2D/3D/4D/4R/6D/8D/9R compressors (pdf) p74</t>
        </is>
      </c>
      <c r="AB1489" t="inlineStr">
        <is>
          <t>Copeland_RLA_230_460_3ph_60Hz.xlsx</t>
        </is>
      </c>
      <c r="AC1489" t="inlineStr">
        <is>
          <t>Recip_2D-9R</t>
        </is>
      </c>
    </row>
    <row r="1490">
      <c r="A1490" t="inlineStr">
        <is>
          <t>COPELAND</t>
        </is>
      </c>
      <c r="B1490" t="inlineStr">
        <is>
          <t>6DK3A350L-FSD</t>
        </is>
      </c>
      <c r="D1490" t="inlineStr">
        <is>
          <t>Reciprocating Semi-hermetic</t>
        </is>
      </c>
      <c r="E1490" s="2" t="n">
        <v>3</v>
      </c>
      <c r="F1490" s="2" t="n">
        <v>60</v>
      </c>
      <c r="G1490" s="2" t="n">
        <v>460</v>
      </c>
      <c r="H1490" t="inlineStr">
        <is>
          <t>460</t>
        </is>
      </c>
      <c r="I1490" s="2" t="n">
        <v>460</v>
      </c>
      <c r="J1490" s="2" t="n">
        <v>460</v>
      </c>
      <c r="L1490" s="3" t="n"/>
      <c r="M1490" s="3" t="n"/>
      <c r="N1490" s="3" t="n">
        <v>62.6</v>
      </c>
      <c r="O1490" s="3" t="n"/>
      <c r="P1490" s="3">
        <f>IF(L1490&lt;&gt;"",L1490/1.4,"")</f>
        <v/>
      </c>
      <c r="Q1490" s="3">
        <f>IF(L1490&lt;&gt;"",L1490/1.56,"")</f>
        <v/>
      </c>
      <c r="R1490" s="3">
        <f>IF(M1490&lt;&gt;"",M1490/1.4,"")</f>
        <v/>
      </c>
      <c r="S1490" s="3">
        <f>IF(M1490&lt;&gt;"",M1490/1.56,"")</f>
        <v/>
      </c>
      <c r="T1490" s="3">
        <f>IF(N1490&lt;&gt;"",N1490,IF(O1490&lt;&gt;"",O1490,IF(L1490&lt;&gt;"",L1490/1.56,IF(M1490&lt;&gt;"",M1490/1.56,""))))</f>
        <v/>
      </c>
      <c r="U1490" s="3" t="n">
        <v>260</v>
      </c>
      <c r="V1490" s="3" t="n">
        <v>156</v>
      </c>
      <c r="W1490" s="3" t="n"/>
      <c r="X1490" s="4" t="n"/>
      <c r="Y1490" s="5" t="n">
        <v>0.39</v>
      </c>
      <c r="Z1490" s="4">
        <f>IF(L1490&lt;&gt;"",SQRT(3)*G1490*L1490/1000,"")</f>
        <v/>
      </c>
      <c r="AA1490" t="inlineStr">
        <is>
          <t>Source=Copeland 2D/3D/4D/4R/6D/8D/9R compressors (pdf) p74; PWS_RLA=31.3</t>
        </is>
      </c>
      <c r="AB1490" t="inlineStr">
        <is>
          <t>Copeland_RLA_230_460_3ph_60Hz.xlsx</t>
        </is>
      </c>
      <c r="AC1490" t="inlineStr">
        <is>
          <t>Recip_2D-9R</t>
        </is>
      </c>
    </row>
    <row r="1491">
      <c r="A1491" t="inlineStr">
        <is>
          <t>COPELAND</t>
        </is>
      </c>
      <c r="B1491" t="inlineStr">
        <is>
          <t>6DK3A350L-TSK</t>
        </is>
      </c>
      <c r="D1491" t="inlineStr">
        <is>
          <t>Reciprocating Semi-hermetic</t>
        </is>
      </c>
      <c r="E1491" s="2" t="n">
        <v>3</v>
      </c>
      <c r="F1491" s="2" t="n">
        <v>60</v>
      </c>
      <c r="G1491" s="2" t="n">
        <v>230</v>
      </c>
      <c r="H1491" t="inlineStr">
        <is>
          <t>208/230</t>
        </is>
      </c>
      <c r="I1491" s="2" t="n">
        <v>208</v>
      </c>
      <c r="J1491" s="2" t="n">
        <v>230</v>
      </c>
      <c r="L1491" s="3" t="n"/>
      <c r="M1491" s="3" t="n"/>
      <c r="N1491" s="3" t="n">
        <v>147.1</v>
      </c>
      <c r="O1491" s="3" t="n"/>
      <c r="P1491" s="3">
        <f>IF(L1491&lt;&gt;"",L1491/1.4,"")</f>
        <v/>
      </c>
      <c r="Q1491" s="3">
        <f>IF(L1491&lt;&gt;"",L1491/1.56,"")</f>
        <v/>
      </c>
      <c r="R1491" s="3">
        <f>IF(M1491&lt;&gt;"",M1491/1.4,"")</f>
        <v/>
      </c>
      <c r="S1491" s="3">
        <f>IF(M1491&lt;&gt;"",M1491/1.56,"")</f>
        <v/>
      </c>
      <c r="T1491" s="3">
        <f>IF(N1491&lt;&gt;"",N1491,IF(O1491&lt;&gt;"",O1491,IF(L1491&lt;&gt;"",L1491/1.56,IF(M1491&lt;&gt;"",M1491/1.56,""))))</f>
        <v/>
      </c>
      <c r="U1491" s="3" t="n">
        <v>565</v>
      </c>
      <c r="V1491" s="3" t="n">
        <v>340</v>
      </c>
      <c r="W1491" s="3" t="n"/>
      <c r="X1491" s="4" t="n"/>
      <c r="Y1491" s="5" t="n">
        <v>0.08699999999999999</v>
      </c>
      <c r="Z1491" s="4">
        <f>IF(L1491&lt;&gt;"",SQRT(3)*G1491*L1491/1000,"")</f>
        <v/>
      </c>
      <c r="AA1491" t="inlineStr">
        <is>
          <t>Source=Copeland 2D/3D/4D/4R/6D/8D/9R compressors (pdf) p74; PWS_RLA=62.6</t>
        </is>
      </c>
      <c r="AB1491" t="inlineStr">
        <is>
          <t>Copeland_RLA_230_460_3ph_60Hz.xlsx</t>
        </is>
      </c>
      <c r="AC1491" t="inlineStr">
        <is>
          <t>Recip_2D-9R</t>
        </is>
      </c>
    </row>
    <row r="1492">
      <c r="A1492" t="inlineStr">
        <is>
          <t>COPELAND</t>
        </is>
      </c>
      <c r="B1492" t="inlineStr">
        <is>
          <t>6DK3A350L-TSK</t>
        </is>
      </c>
      <c r="D1492" t="inlineStr">
        <is>
          <t>Reciprocating Semi-hermetic</t>
        </is>
      </c>
      <c r="E1492" s="2" t="n">
        <v>3</v>
      </c>
      <c r="F1492" s="2" t="n">
        <v>60</v>
      </c>
      <c r="G1492" s="2" t="n">
        <v>460</v>
      </c>
      <c r="H1492" t="inlineStr">
        <is>
          <t>460</t>
        </is>
      </c>
      <c r="I1492" s="2" t="n">
        <v>460</v>
      </c>
      <c r="J1492" s="2" t="n">
        <v>460</v>
      </c>
      <c r="L1492" s="3" t="n"/>
      <c r="M1492" s="3" t="n"/>
      <c r="N1492" s="3" t="n">
        <v>73.59999999999999</v>
      </c>
      <c r="O1492" s="3" t="n"/>
      <c r="P1492" s="3">
        <f>IF(L1492&lt;&gt;"",L1492/1.4,"")</f>
        <v/>
      </c>
      <c r="Q1492" s="3">
        <f>IF(L1492&lt;&gt;"",L1492/1.56,"")</f>
        <v/>
      </c>
      <c r="R1492" s="3">
        <f>IF(M1492&lt;&gt;"",M1492/1.4,"")</f>
        <v/>
      </c>
      <c r="S1492" s="3">
        <f>IF(M1492&lt;&gt;"",M1492/1.56,"")</f>
        <v/>
      </c>
      <c r="T1492" s="3">
        <f>IF(N1492&lt;&gt;"",N1492,IF(O1492&lt;&gt;"",O1492,IF(L1492&lt;&gt;"",L1492/1.56,IF(M1492&lt;&gt;"",M1492/1.56,""))))</f>
        <v/>
      </c>
      <c r="U1492" s="3" t="n">
        <v>283</v>
      </c>
      <c r="V1492" s="3" t="n"/>
      <c r="W1492" s="3" t="n"/>
      <c r="X1492" s="4" t="n"/>
      <c r="Y1492" s="5" t="n">
        <v>0.348</v>
      </c>
      <c r="Z1492" s="4">
        <f>IF(L1492&lt;&gt;"",SQRT(3)*G1492*L1492/1000,"")</f>
        <v/>
      </c>
      <c r="AA1492" t="inlineStr">
        <is>
          <t>Source=Copeland 2D/3D/4D/4R/6D/8D/9R compressors (pdf) p74</t>
        </is>
      </c>
      <c r="AB1492" t="inlineStr">
        <is>
          <t>Copeland_RLA_230_460_3ph_60Hz.xlsx</t>
        </is>
      </c>
      <c r="AC1492" t="inlineStr">
        <is>
          <t>Recip_2D-9R</t>
        </is>
      </c>
    </row>
    <row r="1493">
      <c r="A1493" t="inlineStr">
        <is>
          <t>COPELAND</t>
        </is>
      </c>
      <c r="B1493" t="inlineStr">
        <is>
          <t>6DK3F93KE-FSD</t>
        </is>
      </c>
      <c r="D1493" t="inlineStr">
        <is>
          <t>Reciprocating Semi-hermetic</t>
        </is>
      </c>
      <c r="E1493" s="2" t="n">
        <v>3</v>
      </c>
      <c r="F1493" s="2" t="n">
        <v>60</v>
      </c>
      <c r="G1493" s="2" t="n">
        <v>460</v>
      </c>
      <c r="H1493" t="inlineStr">
        <is>
          <t>460</t>
        </is>
      </c>
      <c r="I1493" s="2" t="n">
        <v>460</v>
      </c>
      <c r="J1493" s="2" t="n">
        <v>460</v>
      </c>
      <c r="L1493" s="3" t="n"/>
      <c r="M1493" s="3" t="n"/>
      <c r="N1493" s="3" t="n">
        <v>44.6</v>
      </c>
      <c r="O1493" s="3" t="n"/>
      <c r="P1493" s="3">
        <f>IF(L1493&lt;&gt;"",L1493/1.4,"")</f>
        <v/>
      </c>
      <c r="Q1493" s="3">
        <f>IF(L1493&lt;&gt;"",L1493/1.56,"")</f>
        <v/>
      </c>
      <c r="R1493" s="3">
        <f>IF(M1493&lt;&gt;"",M1493/1.4,"")</f>
        <v/>
      </c>
      <c r="S1493" s="3">
        <f>IF(M1493&lt;&gt;"",M1493/1.56,"")</f>
        <v/>
      </c>
      <c r="T1493" s="3">
        <f>IF(N1493&lt;&gt;"",N1493,IF(O1493&lt;&gt;"",O1493,IF(L1493&lt;&gt;"",L1493/1.56,IF(M1493&lt;&gt;"",M1493/1.56,""))))</f>
        <v/>
      </c>
      <c r="U1493" s="3" t="n">
        <v>218</v>
      </c>
      <c r="V1493" s="3" t="n">
        <v>131</v>
      </c>
      <c r="W1493" s="3" t="n"/>
      <c r="X1493" s="4" t="n"/>
      <c r="Y1493" s="5" t="n">
        <v>0.457</v>
      </c>
      <c r="Z1493" s="4">
        <f>IF(L1493&lt;&gt;"",SQRT(3)*G1493*L1493/1000,"")</f>
        <v/>
      </c>
      <c r="AA1493" t="inlineStr">
        <is>
          <t>Source=Copeland 2D/3D/4D/4R/6D/8D/9R compressors (pdf) p74; PWS_RLA=22.3</t>
        </is>
      </c>
      <c r="AB1493" t="inlineStr">
        <is>
          <t>Copeland_RLA_230_460_3ph_60Hz.xlsx</t>
        </is>
      </c>
      <c r="AC1493" t="inlineStr">
        <is>
          <t>Recip_2D-9R</t>
        </is>
      </c>
    </row>
    <row r="1494">
      <c r="A1494" t="inlineStr">
        <is>
          <t>COPELAND</t>
        </is>
      </c>
      <c r="B1494" t="inlineStr">
        <is>
          <t>6DK3F93KE-TSK</t>
        </is>
      </c>
      <c r="D1494" t="inlineStr">
        <is>
          <t>Reciprocating Semi-hermetic</t>
        </is>
      </c>
      <c r="E1494" s="2" t="n">
        <v>3</v>
      </c>
      <c r="F1494" s="2" t="n">
        <v>60</v>
      </c>
      <c r="G1494" s="2" t="n">
        <v>230</v>
      </c>
      <c r="H1494" t="inlineStr">
        <is>
          <t>208/230</t>
        </is>
      </c>
      <c r="I1494" s="2" t="n">
        <v>208</v>
      </c>
      <c r="J1494" s="2" t="n">
        <v>230</v>
      </c>
      <c r="L1494" s="3" t="n"/>
      <c r="M1494" s="3" t="n"/>
      <c r="N1494" s="3" t="n">
        <v>80.7</v>
      </c>
      <c r="O1494" s="3" t="n"/>
      <c r="P1494" s="3">
        <f>IF(L1494&lt;&gt;"",L1494/1.4,"")</f>
        <v/>
      </c>
      <c r="Q1494" s="3">
        <f>IF(L1494&lt;&gt;"",L1494/1.56,"")</f>
        <v/>
      </c>
      <c r="R1494" s="3">
        <f>IF(M1494&lt;&gt;"",M1494/1.4,"")</f>
        <v/>
      </c>
      <c r="S1494" s="3">
        <f>IF(M1494&lt;&gt;"",M1494/1.56,"")</f>
        <v/>
      </c>
      <c r="T1494" s="3">
        <f>IF(N1494&lt;&gt;"",N1494,IF(O1494&lt;&gt;"",O1494,IF(L1494&lt;&gt;"",L1494/1.56,IF(M1494&lt;&gt;"",M1494/1.56,""))))</f>
        <v/>
      </c>
      <c r="U1494" s="3" t="n">
        <v>450</v>
      </c>
      <c r="V1494" s="3" t="n">
        <v>263</v>
      </c>
      <c r="W1494" s="3" t="n"/>
      <c r="X1494" s="4" t="n"/>
      <c r="Y1494" s="5" t="n">
        <v>0.114</v>
      </c>
      <c r="Z1494" s="4">
        <f>IF(L1494&lt;&gt;"",SQRT(3)*G1494*L1494/1000,"")</f>
        <v/>
      </c>
      <c r="AA1494" t="inlineStr">
        <is>
          <t>Source=Copeland 2D/3D/4D/4R/6D/8D/9R compressors (pdf) p74; PWS_RLA=40.4</t>
        </is>
      </c>
      <c r="AB1494" t="inlineStr">
        <is>
          <t>Copeland_RLA_230_460_3ph_60Hz.xlsx</t>
        </is>
      </c>
      <c r="AC1494" t="inlineStr">
        <is>
          <t>Recip_2D-9R</t>
        </is>
      </c>
    </row>
    <row r="1495">
      <c r="A1495" t="inlineStr">
        <is>
          <t>COPELAND</t>
        </is>
      </c>
      <c r="B1495" t="inlineStr">
        <is>
          <t>6DK3F93KE-TSK</t>
        </is>
      </c>
      <c r="D1495" t="inlineStr">
        <is>
          <t>Reciprocating Semi-hermetic</t>
        </is>
      </c>
      <c r="E1495" s="2" t="n">
        <v>3</v>
      </c>
      <c r="F1495" s="2" t="n">
        <v>60</v>
      </c>
      <c r="G1495" s="2" t="n">
        <v>460</v>
      </c>
      <c r="H1495" t="inlineStr">
        <is>
          <t>460</t>
        </is>
      </c>
      <c r="I1495" s="2" t="n">
        <v>460</v>
      </c>
      <c r="J1495" s="2" t="n">
        <v>460</v>
      </c>
      <c r="L1495" s="3" t="n"/>
      <c r="M1495" s="3" t="n"/>
      <c r="N1495" s="3" t="n">
        <v>40.4</v>
      </c>
      <c r="O1495" s="3" t="n"/>
      <c r="P1495" s="3">
        <f>IF(L1495&lt;&gt;"",L1495/1.4,"")</f>
        <v/>
      </c>
      <c r="Q1495" s="3">
        <f>IF(L1495&lt;&gt;"",L1495/1.56,"")</f>
        <v/>
      </c>
      <c r="R1495" s="3">
        <f>IF(M1495&lt;&gt;"",M1495/1.4,"")</f>
        <v/>
      </c>
      <c r="S1495" s="3">
        <f>IF(M1495&lt;&gt;"",M1495/1.56,"")</f>
        <v/>
      </c>
      <c r="T1495" s="3">
        <f>IF(N1495&lt;&gt;"",N1495,IF(O1495&lt;&gt;"",O1495,IF(L1495&lt;&gt;"",L1495/1.56,IF(M1495&lt;&gt;"",M1495/1.56,""))))</f>
        <v/>
      </c>
      <c r="U1495" s="3" t="n">
        <v>225</v>
      </c>
      <c r="V1495" s="3" t="n"/>
      <c r="W1495" s="3" t="n"/>
      <c r="X1495" s="4" t="n"/>
      <c r="Y1495" s="5" t="n">
        <v>0.456</v>
      </c>
      <c r="Z1495" s="4">
        <f>IF(L1495&lt;&gt;"",SQRT(3)*G1495*L1495/1000,"")</f>
        <v/>
      </c>
      <c r="AA1495" t="inlineStr">
        <is>
          <t>Source=Copeland 2D/3D/4D/4R/6D/8D/9R compressors (pdf) p74</t>
        </is>
      </c>
      <c r="AB1495" t="inlineStr">
        <is>
          <t>Copeland_RLA_230_460_3ph_60Hz.xlsx</t>
        </is>
      </c>
      <c r="AC1495" t="inlineStr">
        <is>
          <t>Recip_2D-9R</t>
        </is>
      </c>
    </row>
    <row r="1496">
      <c r="A1496" t="inlineStr">
        <is>
          <t>COPELAND</t>
        </is>
      </c>
      <c r="B1496" t="inlineStr">
        <is>
          <t>6DK3F93KL-FSD</t>
        </is>
      </c>
      <c r="D1496" t="inlineStr">
        <is>
          <t>Reciprocating Semi-hermetic</t>
        </is>
      </c>
      <c r="E1496" s="2" t="n">
        <v>3</v>
      </c>
      <c r="F1496" s="2" t="n">
        <v>60</v>
      </c>
      <c r="G1496" s="2" t="n">
        <v>460</v>
      </c>
      <c r="H1496" t="inlineStr">
        <is>
          <t>460</t>
        </is>
      </c>
      <c r="I1496" s="2" t="n">
        <v>460</v>
      </c>
      <c r="J1496" s="2" t="n">
        <v>460</v>
      </c>
      <c r="L1496" s="3" t="n"/>
      <c r="M1496" s="3" t="n"/>
      <c r="N1496" s="3" t="n">
        <v>44.6</v>
      </c>
      <c r="O1496" s="3" t="n"/>
      <c r="P1496" s="3">
        <f>IF(L1496&lt;&gt;"",L1496/1.4,"")</f>
        <v/>
      </c>
      <c r="Q1496" s="3">
        <f>IF(L1496&lt;&gt;"",L1496/1.56,"")</f>
        <v/>
      </c>
      <c r="R1496" s="3">
        <f>IF(M1496&lt;&gt;"",M1496/1.4,"")</f>
        <v/>
      </c>
      <c r="S1496" s="3">
        <f>IF(M1496&lt;&gt;"",M1496/1.56,"")</f>
        <v/>
      </c>
      <c r="T1496" s="3">
        <f>IF(N1496&lt;&gt;"",N1496,IF(O1496&lt;&gt;"",O1496,IF(L1496&lt;&gt;"",L1496/1.56,IF(M1496&lt;&gt;"",M1496/1.56,""))))</f>
        <v/>
      </c>
      <c r="U1496" s="3" t="n">
        <v>218</v>
      </c>
      <c r="V1496" s="3" t="n">
        <v>131</v>
      </c>
      <c r="W1496" s="3" t="n"/>
      <c r="X1496" s="4" t="n"/>
      <c r="Y1496" s="5" t="n">
        <v>0.457</v>
      </c>
      <c r="Z1496" s="4">
        <f>IF(L1496&lt;&gt;"",SQRT(3)*G1496*L1496/1000,"")</f>
        <v/>
      </c>
      <c r="AA1496" t="inlineStr">
        <is>
          <t>Source=Copeland 2D/3D/4D/4R/6D/8D/9R compressors (pdf) p74; PWS_RLA=22.3</t>
        </is>
      </c>
      <c r="AB1496" t="inlineStr">
        <is>
          <t>Copeland_RLA_230_460_3ph_60Hz.xlsx</t>
        </is>
      </c>
      <c r="AC1496" t="inlineStr">
        <is>
          <t>Recip_2D-9R</t>
        </is>
      </c>
    </row>
    <row r="1497">
      <c r="A1497" t="inlineStr">
        <is>
          <t>COPELAND</t>
        </is>
      </c>
      <c r="B1497" t="inlineStr">
        <is>
          <t>6DK3F93KL-TSK</t>
        </is>
      </c>
      <c r="D1497" t="inlineStr">
        <is>
          <t>Reciprocating Semi-hermetic</t>
        </is>
      </c>
      <c r="E1497" s="2" t="n">
        <v>3</v>
      </c>
      <c r="F1497" s="2" t="n">
        <v>60</v>
      </c>
      <c r="G1497" s="2" t="n">
        <v>230</v>
      </c>
      <c r="H1497" t="inlineStr">
        <is>
          <t>208/230</t>
        </is>
      </c>
      <c r="I1497" s="2" t="n">
        <v>208</v>
      </c>
      <c r="J1497" s="2" t="n">
        <v>230</v>
      </c>
      <c r="L1497" s="3" t="n"/>
      <c r="M1497" s="3" t="n"/>
      <c r="N1497" s="3" t="n">
        <v>80.7</v>
      </c>
      <c r="O1497" s="3" t="n"/>
      <c r="P1497" s="3">
        <f>IF(L1497&lt;&gt;"",L1497/1.4,"")</f>
        <v/>
      </c>
      <c r="Q1497" s="3">
        <f>IF(L1497&lt;&gt;"",L1497/1.56,"")</f>
        <v/>
      </c>
      <c r="R1497" s="3">
        <f>IF(M1497&lt;&gt;"",M1497/1.4,"")</f>
        <v/>
      </c>
      <c r="S1497" s="3">
        <f>IF(M1497&lt;&gt;"",M1497/1.56,"")</f>
        <v/>
      </c>
      <c r="T1497" s="3">
        <f>IF(N1497&lt;&gt;"",N1497,IF(O1497&lt;&gt;"",O1497,IF(L1497&lt;&gt;"",L1497/1.56,IF(M1497&lt;&gt;"",M1497/1.56,""))))</f>
        <v/>
      </c>
      <c r="U1497" s="3" t="n">
        <v>450</v>
      </c>
      <c r="V1497" s="3" t="n">
        <v>263</v>
      </c>
      <c r="W1497" s="3" t="n"/>
      <c r="X1497" s="4" t="n"/>
      <c r="Y1497" s="5" t="n">
        <v>0.114</v>
      </c>
      <c r="Z1497" s="4">
        <f>IF(L1497&lt;&gt;"",SQRT(3)*G1497*L1497/1000,"")</f>
        <v/>
      </c>
      <c r="AA1497" t="inlineStr">
        <is>
          <t>Source=Copeland 2D/3D/4D/4R/6D/8D/9R compressors (pdf) p74; PWS_RLA=40.4</t>
        </is>
      </c>
      <c r="AB1497" t="inlineStr">
        <is>
          <t>Copeland_RLA_230_460_3ph_60Hz.xlsx</t>
        </is>
      </c>
      <c r="AC1497" t="inlineStr">
        <is>
          <t>Recip_2D-9R</t>
        </is>
      </c>
    </row>
    <row r="1498">
      <c r="A1498" t="inlineStr">
        <is>
          <t>COPELAND</t>
        </is>
      </c>
      <c r="B1498" t="inlineStr">
        <is>
          <t>6DK3F93KL-TSK</t>
        </is>
      </c>
      <c r="D1498" t="inlineStr">
        <is>
          <t>Reciprocating Semi-hermetic</t>
        </is>
      </c>
      <c r="E1498" s="2" t="n">
        <v>3</v>
      </c>
      <c r="F1498" s="2" t="n">
        <v>60</v>
      </c>
      <c r="G1498" s="2" t="n">
        <v>460</v>
      </c>
      <c r="H1498" t="inlineStr">
        <is>
          <t>460</t>
        </is>
      </c>
      <c r="I1498" s="2" t="n">
        <v>460</v>
      </c>
      <c r="J1498" s="2" t="n">
        <v>460</v>
      </c>
      <c r="L1498" s="3" t="n"/>
      <c r="M1498" s="3" t="n"/>
      <c r="N1498" s="3" t="n">
        <v>40.4</v>
      </c>
      <c r="O1498" s="3" t="n"/>
      <c r="P1498" s="3">
        <f>IF(L1498&lt;&gt;"",L1498/1.4,"")</f>
        <v/>
      </c>
      <c r="Q1498" s="3">
        <f>IF(L1498&lt;&gt;"",L1498/1.56,"")</f>
        <v/>
      </c>
      <c r="R1498" s="3">
        <f>IF(M1498&lt;&gt;"",M1498/1.4,"")</f>
        <v/>
      </c>
      <c r="S1498" s="3">
        <f>IF(M1498&lt;&gt;"",M1498/1.56,"")</f>
        <v/>
      </c>
      <c r="T1498" s="3">
        <f>IF(N1498&lt;&gt;"",N1498,IF(O1498&lt;&gt;"",O1498,IF(L1498&lt;&gt;"",L1498/1.56,IF(M1498&lt;&gt;"",M1498/1.56,""))))</f>
        <v/>
      </c>
      <c r="U1498" s="3" t="n">
        <v>225</v>
      </c>
      <c r="V1498" s="3" t="n"/>
      <c r="W1498" s="3" t="n"/>
      <c r="X1498" s="4" t="n"/>
      <c r="Y1498" s="5" t="n">
        <v>0.456</v>
      </c>
      <c r="Z1498" s="4">
        <f>IF(L1498&lt;&gt;"",SQRT(3)*G1498*L1498/1000,"")</f>
        <v/>
      </c>
      <c r="AA1498" t="inlineStr">
        <is>
          <t>Source=Copeland 2D/3D/4D/4R/6D/8D/9R compressors (pdf) p74</t>
        </is>
      </c>
      <c r="AB1498" t="inlineStr">
        <is>
          <t>Copeland_RLA_230_460_3ph_60Hz.xlsx</t>
        </is>
      </c>
      <c r="AC1498" t="inlineStr">
        <is>
          <t>Recip_2D-9R</t>
        </is>
      </c>
    </row>
    <row r="1499">
      <c r="A1499" t="inlineStr">
        <is>
          <t>COPELAND</t>
        </is>
      </c>
      <c r="B1499" t="inlineStr">
        <is>
          <t>6DK3R23ME-TSK</t>
        </is>
      </c>
      <c r="D1499" t="inlineStr">
        <is>
          <t>Reciprocating Semi-hermetic</t>
        </is>
      </c>
      <c r="E1499" s="2" t="n">
        <v>3</v>
      </c>
      <c r="F1499" s="2" t="n">
        <v>60</v>
      </c>
      <c r="G1499" s="2" t="n">
        <v>230</v>
      </c>
      <c r="H1499" t="inlineStr">
        <is>
          <t>208/230</t>
        </is>
      </c>
      <c r="I1499" s="2" t="n">
        <v>208</v>
      </c>
      <c r="J1499" s="2" t="n">
        <v>230</v>
      </c>
      <c r="L1499" s="3" t="n"/>
      <c r="M1499" s="3" t="n"/>
      <c r="N1499" s="3" t="n">
        <v>75</v>
      </c>
      <c r="O1499" s="3" t="n"/>
      <c r="P1499" s="3">
        <f>IF(L1499&lt;&gt;"",L1499/1.4,"")</f>
        <v/>
      </c>
      <c r="Q1499" s="3">
        <f>IF(L1499&lt;&gt;"",L1499/1.56,"")</f>
        <v/>
      </c>
      <c r="R1499" s="3">
        <f>IF(M1499&lt;&gt;"",M1499/1.4,"")</f>
        <v/>
      </c>
      <c r="S1499" s="3">
        <f>IF(M1499&lt;&gt;"",M1499/1.56,"")</f>
        <v/>
      </c>
      <c r="T1499" s="3">
        <f>IF(N1499&lt;&gt;"",N1499,IF(O1499&lt;&gt;"",O1499,IF(L1499&lt;&gt;"",L1499/1.56,IF(M1499&lt;&gt;"",M1499/1.56,""))))</f>
        <v/>
      </c>
      <c r="U1499" s="3" t="n">
        <v>346</v>
      </c>
      <c r="V1499" s="3" t="n">
        <v>208</v>
      </c>
      <c r="W1499" s="3" t="n"/>
      <c r="X1499" s="4" t="n"/>
      <c r="Y1499" s="5" t="n">
        <v>0.142</v>
      </c>
      <c r="Z1499" s="4">
        <f>IF(L1499&lt;&gt;"",SQRT(3)*G1499*L1499/1000,"")</f>
        <v/>
      </c>
      <c r="AA1499" t="inlineStr">
        <is>
          <t>Source=Copeland 2D/3D/4D/4R/6D/8D/9R compressors (pdf) p74; PWS_RLA=37.5</t>
        </is>
      </c>
      <c r="AB1499" t="inlineStr">
        <is>
          <t>Copeland_RLA_230_460_3ph_60Hz.xlsx</t>
        </is>
      </c>
      <c r="AC1499" t="inlineStr">
        <is>
          <t>Recip_2D-9R</t>
        </is>
      </c>
    </row>
    <row r="1500">
      <c r="A1500" t="inlineStr">
        <is>
          <t>COPELAND</t>
        </is>
      </c>
      <c r="B1500" t="inlineStr">
        <is>
          <t>6DK3R23ME-TSK</t>
        </is>
      </c>
      <c r="D1500" t="inlineStr">
        <is>
          <t>Reciprocating Semi-hermetic</t>
        </is>
      </c>
      <c r="E1500" s="2" t="n">
        <v>3</v>
      </c>
      <c r="F1500" s="2" t="n">
        <v>60</v>
      </c>
      <c r="G1500" s="2" t="n">
        <v>460</v>
      </c>
      <c r="H1500" t="inlineStr">
        <is>
          <t>460</t>
        </is>
      </c>
      <c r="I1500" s="2" t="n">
        <v>460</v>
      </c>
      <c r="J1500" s="2" t="n">
        <v>460</v>
      </c>
      <c r="L1500" s="3" t="n"/>
      <c r="M1500" s="3" t="n"/>
      <c r="N1500" s="3" t="n">
        <v>37.5</v>
      </c>
      <c r="O1500" s="3" t="n"/>
      <c r="P1500" s="3">
        <f>IF(L1500&lt;&gt;"",L1500/1.4,"")</f>
        <v/>
      </c>
      <c r="Q1500" s="3">
        <f>IF(L1500&lt;&gt;"",L1500/1.56,"")</f>
        <v/>
      </c>
      <c r="R1500" s="3">
        <f>IF(M1500&lt;&gt;"",M1500/1.4,"")</f>
        <v/>
      </c>
      <c r="S1500" s="3">
        <f>IF(M1500&lt;&gt;"",M1500/1.56,"")</f>
        <v/>
      </c>
      <c r="T1500" s="3">
        <f>IF(N1500&lt;&gt;"",N1500,IF(O1500&lt;&gt;"",O1500,IF(L1500&lt;&gt;"",L1500/1.56,IF(M1500&lt;&gt;"",M1500/1.56,""))))</f>
        <v/>
      </c>
      <c r="U1500" s="3" t="n">
        <v>173</v>
      </c>
      <c r="V1500" s="3" t="n"/>
      <c r="W1500" s="3" t="n"/>
      <c r="X1500" s="4" t="n"/>
      <c r="Y1500" s="5" t="n">
        <v>0.5679999999999999</v>
      </c>
      <c r="Z1500" s="4">
        <f>IF(L1500&lt;&gt;"",SQRT(3)*G1500*L1500/1000,"")</f>
        <v/>
      </c>
      <c r="AA1500" t="inlineStr">
        <is>
          <t>Source=Copeland 2D/3D/4D/4R/6D/8D/9R compressors (pdf) p74</t>
        </is>
      </c>
      <c r="AB1500" t="inlineStr">
        <is>
          <t>Copeland_RLA_230_460_3ph_60Hz.xlsx</t>
        </is>
      </c>
      <c r="AC1500" t="inlineStr">
        <is>
          <t>Recip_2D-9R</t>
        </is>
      </c>
    </row>
    <row r="1501">
      <c r="A1501" t="inlineStr">
        <is>
          <t>COPELAND</t>
        </is>
      </c>
      <c r="B1501" t="inlineStr">
        <is>
          <t>6DK3R35M0-FSD</t>
        </is>
      </c>
      <c r="D1501" t="inlineStr">
        <is>
          <t>Reciprocating Semi-hermetic</t>
        </is>
      </c>
      <c r="E1501" s="2" t="n">
        <v>3</v>
      </c>
      <c r="F1501" s="2" t="n">
        <v>60</v>
      </c>
      <c r="G1501" s="2" t="n">
        <v>460</v>
      </c>
      <c r="H1501" t="inlineStr">
        <is>
          <t>460</t>
        </is>
      </c>
      <c r="I1501" s="2" t="n">
        <v>460</v>
      </c>
      <c r="J1501" s="2" t="n">
        <v>460</v>
      </c>
      <c r="L1501" s="3" t="n"/>
      <c r="M1501" s="3" t="n"/>
      <c r="N1501" s="3" t="n">
        <v>62.6</v>
      </c>
      <c r="O1501" s="3" t="n"/>
      <c r="P1501" s="3">
        <f>IF(L1501&lt;&gt;"",L1501/1.4,"")</f>
        <v/>
      </c>
      <c r="Q1501" s="3">
        <f>IF(L1501&lt;&gt;"",L1501/1.56,"")</f>
        <v/>
      </c>
      <c r="R1501" s="3">
        <f>IF(M1501&lt;&gt;"",M1501/1.4,"")</f>
        <v/>
      </c>
      <c r="S1501" s="3">
        <f>IF(M1501&lt;&gt;"",M1501/1.56,"")</f>
        <v/>
      </c>
      <c r="T1501" s="3">
        <f>IF(N1501&lt;&gt;"",N1501,IF(O1501&lt;&gt;"",O1501,IF(L1501&lt;&gt;"",L1501/1.56,IF(M1501&lt;&gt;"",M1501/1.56,""))))</f>
        <v/>
      </c>
      <c r="U1501" s="3" t="n">
        <v>260</v>
      </c>
      <c r="V1501" s="3" t="n">
        <v>156</v>
      </c>
      <c r="W1501" s="3" t="n"/>
      <c r="X1501" s="4" t="n"/>
      <c r="Y1501" s="5" t="n">
        <v>0.39</v>
      </c>
      <c r="Z1501" s="4">
        <f>IF(L1501&lt;&gt;"",SQRT(3)*G1501*L1501/1000,"")</f>
        <v/>
      </c>
      <c r="AA1501" t="inlineStr">
        <is>
          <t>Source=Copeland 2D/3D/4D/4R/6D/8D/9R compressors (pdf) p74; PWS_RLA=31.3</t>
        </is>
      </c>
      <c r="AB1501" t="inlineStr">
        <is>
          <t>Copeland_RLA_230_460_3ph_60Hz.xlsx</t>
        </is>
      </c>
      <c r="AC1501" t="inlineStr">
        <is>
          <t>Recip_2D-9R</t>
        </is>
      </c>
    </row>
    <row r="1502">
      <c r="A1502" t="inlineStr">
        <is>
          <t>COPELAND</t>
        </is>
      </c>
      <c r="B1502" t="inlineStr">
        <is>
          <t>6DK3R35M0-TSK</t>
        </is>
      </c>
      <c r="D1502" t="inlineStr">
        <is>
          <t>Reciprocating Semi-hermetic</t>
        </is>
      </c>
      <c r="E1502" s="2" t="n">
        <v>3</v>
      </c>
      <c r="F1502" s="2" t="n">
        <v>60</v>
      </c>
      <c r="G1502" s="2" t="n">
        <v>230</v>
      </c>
      <c r="H1502" t="inlineStr">
        <is>
          <t>208/230</t>
        </is>
      </c>
      <c r="I1502" s="2" t="n">
        <v>208</v>
      </c>
      <c r="J1502" s="2" t="n">
        <v>230</v>
      </c>
      <c r="L1502" s="3" t="n"/>
      <c r="M1502" s="3" t="n"/>
      <c r="N1502" s="3" t="n">
        <v>125.1</v>
      </c>
      <c r="O1502" s="3" t="n"/>
      <c r="P1502" s="3">
        <f>IF(L1502&lt;&gt;"",L1502/1.4,"")</f>
        <v/>
      </c>
      <c r="Q1502" s="3">
        <f>IF(L1502&lt;&gt;"",L1502/1.56,"")</f>
        <v/>
      </c>
      <c r="R1502" s="3">
        <f>IF(M1502&lt;&gt;"",M1502/1.4,"")</f>
        <v/>
      </c>
      <c r="S1502" s="3">
        <f>IF(M1502&lt;&gt;"",M1502/1.56,"")</f>
        <v/>
      </c>
      <c r="T1502" s="3">
        <f>IF(N1502&lt;&gt;"",N1502,IF(O1502&lt;&gt;"",O1502,IF(L1502&lt;&gt;"",L1502/1.56,IF(M1502&lt;&gt;"",M1502/1.56,""))))</f>
        <v/>
      </c>
      <c r="U1502" s="3" t="n">
        <v>565</v>
      </c>
      <c r="V1502" s="3" t="n">
        <v>340</v>
      </c>
      <c r="W1502" s="3" t="n"/>
      <c r="X1502" s="4" t="n"/>
      <c r="Y1502" s="5" t="n">
        <v>0.08699999999999999</v>
      </c>
      <c r="Z1502" s="4">
        <f>IF(L1502&lt;&gt;"",SQRT(3)*G1502*L1502/1000,"")</f>
        <v/>
      </c>
      <c r="AA1502" t="inlineStr">
        <is>
          <t>Source=Copeland 2D/3D/4D/4R/6D/8D/9R compressors (pdf) p74; PWS_RLA=62.6</t>
        </is>
      </c>
      <c r="AB1502" t="inlineStr">
        <is>
          <t>Copeland_RLA_230_460_3ph_60Hz.xlsx</t>
        </is>
      </c>
      <c r="AC1502" t="inlineStr">
        <is>
          <t>Recip_2D-9R</t>
        </is>
      </c>
    </row>
    <row r="1503">
      <c r="A1503" t="inlineStr">
        <is>
          <t>COPELAND</t>
        </is>
      </c>
      <c r="B1503" t="inlineStr">
        <is>
          <t>6DK3R35M0-TSK</t>
        </is>
      </c>
      <c r="D1503" t="inlineStr">
        <is>
          <t>Reciprocating Semi-hermetic</t>
        </is>
      </c>
      <c r="E1503" s="2" t="n">
        <v>3</v>
      </c>
      <c r="F1503" s="2" t="n">
        <v>60</v>
      </c>
      <c r="G1503" s="2" t="n">
        <v>460</v>
      </c>
      <c r="H1503" t="inlineStr">
        <is>
          <t>460</t>
        </is>
      </c>
      <c r="I1503" s="2" t="n">
        <v>460</v>
      </c>
      <c r="J1503" s="2" t="n">
        <v>460</v>
      </c>
      <c r="L1503" s="3" t="n"/>
      <c r="M1503" s="3" t="n"/>
      <c r="N1503" s="3" t="n">
        <v>62.6</v>
      </c>
      <c r="O1503" s="3" t="n"/>
      <c r="P1503" s="3">
        <f>IF(L1503&lt;&gt;"",L1503/1.4,"")</f>
        <v/>
      </c>
      <c r="Q1503" s="3">
        <f>IF(L1503&lt;&gt;"",L1503/1.56,"")</f>
        <v/>
      </c>
      <c r="R1503" s="3">
        <f>IF(M1503&lt;&gt;"",M1503/1.4,"")</f>
        <v/>
      </c>
      <c r="S1503" s="3">
        <f>IF(M1503&lt;&gt;"",M1503/1.56,"")</f>
        <v/>
      </c>
      <c r="T1503" s="3">
        <f>IF(N1503&lt;&gt;"",N1503,IF(O1503&lt;&gt;"",O1503,IF(L1503&lt;&gt;"",L1503/1.56,IF(M1503&lt;&gt;"",M1503/1.56,""))))</f>
        <v/>
      </c>
      <c r="U1503" s="3" t="n">
        <v>283</v>
      </c>
      <c r="V1503" s="3" t="n"/>
      <c r="W1503" s="3" t="n"/>
      <c r="X1503" s="4" t="n"/>
      <c r="Y1503" s="5" t="n">
        <v>0.348</v>
      </c>
      <c r="Z1503" s="4">
        <f>IF(L1503&lt;&gt;"",SQRT(3)*G1503*L1503/1000,"")</f>
        <v/>
      </c>
      <c r="AA1503" t="inlineStr">
        <is>
          <t>Source=Copeland 2D/3D/4D/4R/6D/8D/9R compressors (pdf) p74</t>
        </is>
      </c>
      <c r="AB1503" t="inlineStr">
        <is>
          <t>Copeland_RLA_230_460_3ph_60Hz.xlsx</t>
        </is>
      </c>
      <c r="AC1503" t="inlineStr">
        <is>
          <t>Recip_2D-9R</t>
        </is>
      </c>
    </row>
    <row r="1504">
      <c r="A1504" t="inlineStr">
        <is>
          <t>COPELAND</t>
        </is>
      </c>
      <c r="B1504" t="inlineStr">
        <is>
          <t>6DK3R35ME-FSD</t>
        </is>
      </c>
      <c r="D1504" t="inlineStr">
        <is>
          <t>Reciprocating Semi-hermetic</t>
        </is>
      </c>
      <c r="E1504" s="2" t="n">
        <v>3</v>
      </c>
      <c r="F1504" s="2" t="n">
        <v>60</v>
      </c>
      <c r="G1504" s="2" t="n">
        <v>460</v>
      </c>
      <c r="H1504" t="inlineStr">
        <is>
          <t>460</t>
        </is>
      </c>
      <c r="I1504" s="2" t="n">
        <v>460</v>
      </c>
      <c r="J1504" s="2" t="n">
        <v>460</v>
      </c>
      <c r="L1504" s="3" t="n"/>
      <c r="M1504" s="3" t="n"/>
      <c r="N1504" s="3" t="n">
        <v>79.3</v>
      </c>
      <c r="O1504" s="3" t="n"/>
      <c r="P1504" s="3">
        <f>IF(L1504&lt;&gt;"",L1504/1.4,"")</f>
        <v/>
      </c>
      <c r="Q1504" s="3">
        <f>IF(L1504&lt;&gt;"",L1504/1.56,"")</f>
        <v/>
      </c>
      <c r="R1504" s="3">
        <f>IF(M1504&lt;&gt;"",M1504/1.4,"")</f>
        <v/>
      </c>
      <c r="S1504" s="3">
        <f>IF(M1504&lt;&gt;"",M1504/1.56,"")</f>
        <v/>
      </c>
      <c r="T1504" s="3">
        <f>IF(N1504&lt;&gt;"",N1504,IF(O1504&lt;&gt;"",O1504,IF(L1504&lt;&gt;"",L1504/1.56,IF(M1504&lt;&gt;"",M1504/1.56,""))))</f>
        <v/>
      </c>
      <c r="U1504" s="3" t="n">
        <v>260</v>
      </c>
      <c r="V1504" s="3" t="n">
        <v>156</v>
      </c>
      <c r="W1504" s="3" t="n"/>
      <c r="X1504" s="4" t="n"/>
      <c r="Y1504" s="5" t="n">
        <v>0.39</v>
      </c>
      <c r="Z1504" s="4">
        <f>IF(L1504&lt;&gt;"",SQRT(3)*G1504*L1504/1000,"")</f>
        <v/>
      </c>
      <c r="AA1504" t="inlineStr">
        <is>
          <t>Source=Copeland 2D/3D/4D/4R/6D/8D/9R compressors (pdf) p74; PWS_RLA=39.6</t>
        </is>
      </c>
      <c r="AB1504" t="inlineStr">
        <is>
          <t>Copeland_RLA_230_460_3ph_60Hz.xlsx</t>
        </is>
      </c>
      <c r="AC1504" t="inlineStr">
        <is>
          <t>Recip_2D-9R</t>
        </is>
      </c>
    </row>
    <row r="1505">
      <c r="A1505" t="inlineStr">
        <is>
          <t>COPELAND</t>
        </is>
      </c>
      <c r="B1505" t="inlineStr">
        <is>
          <t>6DK3R35ME-TSK</t>
        </is>
      </c>
      <c r="D1505" t="inlineStr">
        <is>
          <t>Reciprocating Semi-hermetic</t>
        </is>
      </c>
      <c r="E1505" s="2" t="n">
        <v>3</v>
      </c>
      <c r="F1505" s="2" t="n">
        <v>60</v>
      </c>
      <c r="G1505" s="2" t="n">
        <v>230</v>
      </c>
      <c r="H1505" t="inlineStr">
        <is>
          <t>208/230</t>
        </is>
      </c>
      <c r="I1505" s="2" t="n">
        <v>208</v>
      </c>
      <c r="J1505" s="2" t="n">
        <v>230</v>
      </c>
      <c r="L1505" s="3" t="n"/>
      <c r="M1505" s="3" t="n"/>
      <c r="N1505" s="3" t="n">
        <v>147.1</v>
      </c>
      <c r="O1505" s="3" t="n"/>
      <c r="P1505" s="3">
        <f>IF(L1505&lt;&gt;"",L1505/1.4,"")</f>
        <v/>
      </c>
      <c r="Q1505" s="3">
        <f>IF(L1505&lt;&gt;"",L1505/1.56,"")</f>
        <v/>
      </c>
      <c r="R1505" s="3">
        <f>IF(M1505&lt;&gt;"",M1505/1.4,"")</f>
        <v/>
      </c>
      <c r="S1505" s="3">
        <f>IF(M1505&lt;&gt;"",M1505/1.56,"")</f>
        <v/>
      </c>
      <c r="T1505" s="3">
        <f>IF(N1505&lt;&gt;"",N1505,IF(O1505&lt;&gt;"",O1505,IF(L1505&lt;&gt;"",L1505/1.56,IF(M1505&lt;&gt;"",M1505/1.56,""))))</f>
        <v/>
      </c>
      <c r="U1505" s="3" t="n">
        <v>565</v>
      </c>
      <c r="V1505" s="3" t="n">
        <v>340</v>
      </c>
      <c r="W1505" s="3" t="n"/>
      <c r="X1505" s="4" t="n"/>
      <c r="Y1505" s="5" t="n">
        <v>0.08699999999999999</v>
      </c>
      <c r="Z1505" s="4">
        <f>IF(L1505&lt;&gt;"",SQRT(3)*G1505*L1505/1000,"")</f>
        <v/>
      </c>
      <c r="AA1505" t="inlineStr">
        <is>
          <t>Source=Copeland 2D/3D/4D/4R/6D/8D/9R compressors (pdf) p74; PWS_RLA=73.6</t>
        </is>
      </c>
      <c r="AB1505" t="inlineStr">
        <is>
          <t>Copeland_RLA_230_460_3ph_60Hz.xlsx</t>
        </is>
      </c>
      <c r="AC1505" t="inlineStr">
        <is>
          <t>Recip_2D-9R</t>
        </is>
      </c>
    </row>
    <row r="1506">
      <c r="A1506" t="inlineStr">
        <is>
          <t>COPELAND</t>
        </is>
      </c>
      <c r="B1506" t="inlineStr">
        <is>
          <t>6DK3R35ME-TSK</t>
        </is>
      </c>
      <c r="D1506" t="inlineStr">
        <is>
          <t>Reciprocating Semi-hermetic</t>
        </is>
      </c>
      <c r="E1506" s="2" t="n">
        <v>3</v>
      </c>
      <c r="F1506" s="2" t="n">
        <v>60</v>
      </c>
      <c r="G1506" s="2" t="n">
        <v>460</v>
      </c>
      <c r="H1506" t="inlineStr">
        <is>
          <t>460</t>
        </is>
      </c>
      <c r="I1506" s="2" t="n">
        <v>460</v>
      </c>
      <c r="J1506" s="2" t="n">
        <v>460</v>
      </c>
      <c r="L1506" s="3" t="n"/>
      <c r="M1506" s="3" t="n"/>
      <c r="N1506" s="3" t="n">
        <v>73.59999999999999</v>
      </c>
      <c r="O1506" s="3" t="n"/>
      <c r="P1506" s="3">
        <f>IF(L1506&lt;&gt;"",L1506/1.4,"")</f>
        <v/>
      </c>
      <c r="Q1506" s="3">
        <f>IF(L1506&lt;&gt;"",L1506/1.56,"")</f>
        <v/>
      </c>
      <c r="R1506" s="3">
        <f>IF(M1506&lt;&gt;"",M1506/1.4,"")</f>
        <v/>
      </c>
      <c r="S1506" s="3">
        <f>IF(M1506&lt;&gt;"",M1506/1.56,"")</f>
        <v/>
      </c>
      <c r="T1506" s="3">
        <f>IF(N1506&lt;&gt;"",N1506,IF(O1506&lt;&gt;"",O1506,IF(L1506&lt;&gt;"",L1506/1.56,IF(M1506&lt;&gt;"",M1506/1.56,""))))</f>
        <v/>
      </c>
      <c r="U1506" s="3" t="n">
        <v>283</v>
      </c>
      <c r="V1506" s="3" t="n"/>
      <c r="W1506" s="3" t="n"/>
      <c r="X1506" s="4" t="n"/>
      <c r="Y1506" s="5" t="n">
        <v>0.348</v>
      </c>
      <c r="Z1506" s="4">
        <f>IF(L1506&lt;&gt;"",SQRT(3)*G1506*L1506/1000,"")</f>
        <v/>
      </c>
      <c r="AA1506" t="inlineStr">
        <is>
          <t>Source=Copeland 2D/3D/4D/4R/6D/8D/9R compressors (pdf) p75</t>
        </is>
      </c>
      <c r="AB1506" t="inlineStr">
        <is>
          <t>Copeland_RLA_230_460_3ph_60Hz.xlsx</t>
        </is>
      </c>
      <c r="AC1506" t="inlineStr">
        <is>
          <t>Recip_2D-9R</t>
        </is>
      </c>
    </row>
    <row r="1507">
      <c r="A1507" t="inlineStr">
        <is>
          <t>COPELAND</t>
        </is>
      </c>
      <c r="B1507" t="inlineStr">
        <is>
          <t>6DK3R35ML-FSD</t>
        </is>
      </c>
      <c r="D1507" t="inlineStr">
        <is>
          <t>Reciprocating Semi-hermetic</t>
        </is>
      </c>
      <c r="E1507" s="2" t="n">
        <v>3</v>
      </c>
      <c r="F1507" s="2" t="n">
        <v>60</v>
      </c>
      <c r="G1507" s="2" t="n">
        <v>460</v>
      </c>
      <c r="H1507" t="inlineStr">
        <is>
          <t>460</t>
        </is>
      </c>
      <c r="I1507" s="2" t="n">
        <v>460</v>
      </c>
      <c r="J1507" s="2" t="n">
        <v>460</v>
      </c>
      <c r="L1507" s="3" t="n"/>
      <c r="M1507" s="3" t="n"/>
      <c r="N1507" s="3" t="n">
        <v>79.3</v>
      </c>
      <c r="O1507" s="3" t="n"/>
      <c r="P1507" s="3">
        <f>IF(L1507&lt;&gt;"",L1507/1.4,"")</f>
        <v/>
      </c>
      <c r="Q1507" s="3">
        <f>IF(L1507&lt;&gt;"",L1507/1.56,"")</f>
        <v/>
      </c>
      <c r="R1507" s="3">
        <f>IF(M1507&lt;&gt;"",M1507/1.4,"")</f>
        <v/>
      </c>
      <c r="S1507" s="3">
        <f>IF(M1507&lt;&gt;"",M1507/1.56,"")</f>
        <v/>
      </c>
      <c r="T1507" s="3">
        <f>IF(N1507&lt;&gt;"",N1507,IF(O1507&lt;&gt;"",O1507,IF(L1507&lt;&gt;"",L1507/1.56,IF(M1507&lt;&gt;"",M1507/1.56,""))))</f>
        <v/>
      </c>
      <c r="U1507" s="3" t="n">
        <v>260</v>
      </c>
      <c r="V1507" s="3" t="n">
        <v>156</v>
      </c>
      <c r="W1507" s="3" t="n"/>
      <c r="X1507" s="4" t="n"/>
      <c r="Y1507" s="5" t="n">
        <v>0.39</v>
      </c>
      <c r="Z1507" s="4">
        <f>IF(L1507&lt;&gt;"",SQRT(3)*G1507*L1507/1000,"")</f>
        <v/>
      </c>
      <c r="AA1507" t="inlineStr">
        <is>
          <t>Source=Copeland 2D/3D/4D/4R/6D/8D/9R compressors (pdf) p75; PWS_RLA=39.6</t>
        </is>
      </c>
      <c r="AB1507" t="inlineStr">
        <is>
          <t>Copeland_RLA_230_460_3ph_60Hz.xlsx</t>
        </is>
      </c>
      <c r="AC1507" t="inlineStr">
        <is>
          <t>Recip_2D-9R</t>
        </is>
      </c>
    </row>
    <row r="1508">
      <c r="A1508" t="inlineStr">
        <is>
          <t>COPELAND</t>
        </is>
      </c>
      <c r="B1508" t="inlineStr">
        <is>
          <t>6DK3R35ML-TSK</t>
        </is>
      </c>
      <c r="D1508" t="inlineStr">
        <is>
          <t>Reciprocating Semi-hermetic</t>
        </is>
      </c>
      <c r="E1508" s="2" t="n">
        <v>3</v>
      </c>
      <c r="F1508" s="2" t="n">
        <v>60</v>
      </c>
      <c r="G1508" s="2" t="n">
        <v>230</v>
      </c>
      <c r="H1508" t="inlineStr">
        <is>
          <t>208/230</t>
        </is>
      </c>
      <c r="I1508" s="2" t="n">
        <v>208</v>
      </c>
      <c r="J1508" s="2" t="n">
        <v>230</v>
      </c>
      <c r="L1508" s="3" t="n"/>
      <c r="M1508" s="3" t="n"/>
      <c r="N1508" s="3" t="n">
        <v>147.1</v>
      </c>
      <c r="O1508" s="3" t="n"/>
      <c r="P1508" s="3">
        <f>IF(L1508&lt;&gt;"",L1508/1.4,"")</f>
        <v/>
      </c>
      <c r="Q1508" s="3">
        <f>IF(L1508&lt;&gt;"",L1508/1.56,"")</f>
        <v/>
      </c>
      <c r="R1508" s="3">
        <f>IF(M1508&lt;&gt;"",M1508/1.4,"")</f>
        <v/>
      </c>
      <c r="S1508" s="3">
        <f>IF(M1508&lt;&gt;"",M1508/1.56,"")</f>
        <v/>
      </c>
      <c r="T1508" s="3">
        <f>IF(N1508&lt;&gt;"",N1508,IF(O1508&lt;&gt;"",O1508,IF(L1508&lt;&gt;"",L1508/1.56,IF(M1508&lt;&gt;"",M1508/1.56,""))))</f>
        <v/>
      </c>
      <c r="U1508" s="3" t="n">
        <v>565</v>
      </c>
      <c r="V1508" s="3" t="n">
        <v>340</v>
      </c>
      <c r="W1508" s="3" t="n"/>
      <c r="X1508" s="4" t="n"/>
      <c r="Y1508" s="5" t="n">
        <v>0.08699999999999999</v>
      </c>
      <c r="Z1508" s="4">
        <f>IF(L1508&lt;&gt;"",SQRT(3)*G1508*L1508/1000,"")</f>
        <v/>
      </c>
      <c r="AA1508" t="inlineStr">
        <is>
          <t>Source=Copeland 2D/3D/4D/4R/6D/8D/9R compressors (pdf) p75; PWS_RLA=73.6</t>
        </is>
      </c>
      <c r="AB1508" t="inlineStr">
        <is>
          <t>Copeland_RLA_230_460_3ph_60Hz.xlsx</t>
        </is>
      </c>
      <c r="AC1508" t="inlineStr">
        <is>
          <t>Recip_2D-9R</t>
        </is>
      </c>
    </row>
    <row r="1509">
      <c r="A1509" t="inlineStr">
        <is>
          <t>COPELAND</t>
        </is>
      </c>
      <c r="B1509" t="inlineStr">
        <is>
          <t>6DK3R35ML-TSK</t>
        </is>
      </c>
      <c r="D1509" t="inlineStr">
        <is>
          <t>Reciprocating Semi-hermetic</t>
        </is>
      </c>
      <c r="E1509" s="2" t="n">
        <v>3</v>
      </c>
      <c r="F1509" s="2" t="n">
        <v>60</v>
      </c>
      <c r="G1509" s="2" t="n">
        <v>460</v>
      </c>
      <c r="H1509" t="inlineStr">
        <is>
          <t>460</t>
        </is>
      </c>
      <c r="I1509" s="2" t="n">
        <v>460</v>
      </c>
      <c r="J1509" s="2" t="n">
        <v>460</v>
      </c>
      <c r="L1509" s="3" t="n"/>
      <c r="M1509" s="3" t="n"/>
      <c r="N1509" s="3" t="n">
        <v>73.59999999999999</v>
      </c>
      <c r="O1509" s="3" t="n"/>
      <c r="P1509" s="3">
        <f>IF(L1509&lt;&gt;"",L1509/1.4,"")</f>
        <v/>
      </c>
      <c r="Q1509" s="3">
        <f>IF(L1509&lt;&gt;"",L1509/1.56,"")</f>
        <v/>
      </c>
      <c r="R1509" s="3">
        <f>IF(M1509&lt;&gt;"",M1509/1.4,"")</f>
        <v/>
      </c>
      <c r="S1509" s="3">
        <f>IF(M1509&lt;&gt;"",M1509/1.56,"")</f>
        <v/>
      </c>
      <c r="T1509" s="3">
        <f>IF(N1509&lt;&gt;"",N1509,IF(O1509&lt;&gt;"",O1509,IF(L1509&lt;&gt;"",L1509/1.56,IF(M1509&lt;&gt;"",M1509/1.56,""))))</f>
        <v/>
      </c>
      <c r="U1509" s="3" t="n">
        <v>283</v>
      </c>
      <c r="V1509" s="3" t="n"/>
      <c r="W1509" s="3" t="n"/>
      <c r="X1509" s="4" t="n"/>
      <c r="Y1509" s="5" t="n">
        <v>0.348</v>
      </c>
      <c r="Z1509" s="4">
        <f>IF(L1509&lt;&gt;"",SQRT(3)*G1509*L1509/1000,"")</f>
        <v/>
      </c>
      <c r="AA1509" t="inlineStr">
        <is>
          <t>Source=Copeland 2D/3D/4D/4R/6D/8D/9R compressors (pdf) p75</t>
        </is>
      </c>
      <c r="AB1509" t="inlineStr">
        <is>
          <t>Copeland_RLA_230_460_3ph_60Hz.xlsx</t>
        </is>
      </c>
      <c r="AC1509" t="inlineStr">
        <is>
          <t>Recip_2D-9R</t>
        </is>
      </c>
    </row>
    <row r="1510">
      <c r="A1510" t="inlineStr">
        <is>
          <t>COPELAND</t>
        </is>
      </c>
      <c r="B1510" t="inlineStr">
        <is>
          <t>6DK8-3500-TSK</t>
        </is>
      </c>
      <c r="D1510" t="inlineStr">
        <is>
          <t>Reciprocating Semi-hermetic</t>
        </is>
      </c>
      <c r="E1510" s="2" t="n">
        <v>3</v>
      </c>
      <c r="F1510" s="2" t="n">
        <v>60</v>
      </c>
      <c r="G1510" s="2" t="n">
        <v>230</v>
      </c>
      <c r="H1510" t="inlineStr">
        <is>
          <t>208/230</t>
        </is>
      </c>
      <c r="I1510" s="2" t="n">
        <v>208</v>
      </c>
      <c r="J1510" s="2" t="n">
        <v>230</v>
      </c>
      <c r="L1510" s="3" t="n"/>
      <c r="M1510" s="3" t="n"/>
      <c r="N1510" s="3" t="n">
        <v>125.1</v>
      </c>
      <c r="O1510" s="3" t="n"/>
      <c r="P1510" s="3">
        <f>IF(L1510&lt;&gt;"",L1510/1.4,"")</f>
        <v/>
      </c>
      <c r="Q1510" s="3">
        <f>IF(L1510&lt;&gt;"",L1510/1.56,"")</f>
        <v/>
      </c>
      <c r="R1510" s="3">
        <f>IF(M1510&lt;&gt;"",M1510/1.4,"")</f>
        <v/>
      </c>
      <c r="S1510" s="3">
        <f>IF(M1510&lt;&gt;"",M1510/1.56,"")</f>
        <v/>
      </c>
      <c r="T1510" s="3">
        <f>IF(N1510&lt;&gt;"",N1510,IF(O1510&lt;&gt;"",O1510,IF(L1510&lt;&gt;"",L1510/1.56,IF(M1510&lt;&gt;"",M1510/1.56,""))))</f>
        <v/>
      </c>
      <c r="U1510" s="3" t="n">
        <v>565</v>
      </c>
      <c r="V1510" s="3" t="n">
        <v>340</v>
      </c>
      <c r="W1510" s="3" t="n"/>
      <c r="X1510" s="4" t="n"/>
      <c r="Y1510" s="5" t="n">
        <v>0.08699999999999999</v>
      </c>
      <c r="Z1510" s="4">
        <f>IF(L1510&lt;&gt;"",SQRT(3)*G1510*L1510/1000,"")</f>
        <v/>
      </c>
      <c r="AA1510" t="inlineStr">
        <is>
          <t>Source=Copeland 2D/3D/4D/4R/6D/8D/9R compressors (pdf) p75; PWS_RLA=62.6</t>
        </is>
      </c>
      <c r="AB1510" t="inlineStr">
        <is>
          <t>Copeland_RLA_230_460_3ph_60Hz.xlsx</t>
        </is>
      </c>
      <c r="AC1510" t="inlineStr">
        <is>
          <t>Recip_2D-9R</t>
        </is>
      </c>
    </row>
    <row r="1511">
      <c r="A1511" t="inlineStr">
        <is>
          <t>COPELAND</t>
        </is>
      </c>
      <c r="B1511" t="inlineStr">
        <is>
          <t>6DK8-3500-TSK</t>
        </is>
      </c>
      <c r="D1511" t="inlineStr">
        <is>
          <t>Reciprocating Semi-hermetic</t>
        </is>
      </c>
      <c r="E1511" s="2" t="n">
        <v>3</v>
      </c>
      <c r="F1511" s="2" t="n">
        <v>60</v>
      </c>
      <c r="G1511" s="2" t="n">
        <v>460</v>
      </c>
      <c r="H1511" t="inlineStr">
        <is>
          <t>460</t>
        </is>
      </c>
      <c r="I1511" s="2" t="n">
        <v>460</v>
      </c>
      <c r="J1511" s="2" t="n">
        <v>460</v>
      </c>
      <c r="L1511" s="3" t="n"/>
      <c r="M1511" s="3" t="n"/>
      <c r="N1511" s="3" t="n">
        <v>62.6</v>
      </c>
      <c r="O1511" s="3" t="n"/>
      <c r="P1511" s="3">
        <f>IF(L1511&lt;&gt;"",L1511/1.4,"")</f>
        <v/>
      </c>
      <c r="Q1511" s="3">
        <f>IF(L1511&lt;&gt;"",L1511/1.56,"")</f>
        <v/>
      </c>
      <c r="R1511" s="3">
        <f>IF(M1511&lt;&gt;"",M1511/1.4,"")</f>
        <v/>
      </c>
      <c r="S1511" s="3">
        <f>IF(M1511&lt;&gt;"",M1511/1.56,"")</f>
        <v/>
      </c>
      <c r="T1511" s="3">
        <f>IF(N1511&lt;&gt;"",N1511,IF(O1511&lt;&gt;"",O1511,IF(L1511&lt;&gt;"",L1511/1.56,IF(M1511&lt;&gt;"",M1511/1.56,""))))</f>
        <v/>
      </c>
      <c r="U1511" s="3" t="n">
        <v>283</v>
      </c>
      <c r="V1511" s="3" t="n"/>
      <c r="W1511" s="3" t="n"/>
      <c r="X1511" s="4" t="n"/>
      <c r="Y1511" s="5" t="n">
        <v>0.348</v>
      </c>
      <c r="Z1511" s="4">
        <f>IF(L1511&lt;&gt;"",SQRT(3)*G1511*L1511/1000,"")</f>
        <v/>
      </c>
      <c r="AA1511" t="inlineStr">
        <is>
          <t>Source=Copeland 2D/3D/4D/4R/6D/8D/9R compressors (pdf) p75</t>
        </is>
      </c>
      <c r="AB1511" t="inlineStr">
        <is>
          <t>Copeland_RLA_230_460_3ph_60Hz.xlsx</t>
        </is>
      </c>
      <c r="AC1511" t="inlineStr">
        <is>
          <t>Recip_2D-9R</t>
        </is>
      </c>
    </row>
    <row r="1512">
      <c r="A1512" t="inlineStr">
        <is>
          <t>COPELAND</t>
        </is>
      </c>
      <c r="B1512" t="inlineStr">
        <is>
          <t>6DK8A3500-TSK</t>
        </is>
      </c>
      <c r="D1512" t="inlineStr">
        <is>
          <t>Reciprocating Semi-hermetic</t>
        </is>
      </c>
      <c r="E1512" s="2" t="n">
        <v>3</v>
      </c>
      <c r="F1512" s="2" t="n">
        <v>60</v>
      </c>
      <c r="G1512" s="2" t="n">
        <v>230</v>
      </c>
      <c r="H1512" t="inlineStr">
        <is>
          <t>208/230</t>
        </is>
      </c>
      <c r="I1512" s="2" t="n">
        <v>208</v>
      </c>
      <c r="J1512" s="2" t="n">
        <v>230</v>
      </c>
      <c r="L1512" s="3" t="n"/>
      <c r="M1512" s="3" t="n"/>
      <c r="N1512" s="3" t="n">
        <v>125.1</v>
      </c>
      <c r="O1512" s="3" t="n"/>
      <c r="P1512" s="3">
        <f>IF(L1512&lt;&gt;"",L1512/1.4,"")</f>
        <v/>
      </c>
      <c r="Q1512" s="3">
        <f>IF(L1512&lt;&gt;"",L1512/1.56,"")</f>
        <v/>
      </c>
      <c r="R1512" s="3">
        <f>IF(M1512&lt;&gt;"",M1512/1.4,"")</f>
        <v/>
      </c>
      <c r="S1512" s="3">
        <f>IF(M1512&lt;&gt;"",M1512/1.56,"")</f>
        <v/>
      </c>
      <c r="T1512" s="3">
        <f>IF(N1512&lt;&gt;"",N1512,IF(O1512&lt;&gt;"",O1512,IF(L1512&lt;&gt;"",L1512/1.56,IF(M1512&lt;&gt;"",M1512/1.56,""))))</f>
        <v/>
      </c>
      <c r="U1512" s="3" t="n">
        <v>565</v>
      </c>
      <c r="V1512" s="3" t="n">
        <v>340</v>
      </c>
      <c r="W1512" s="3" t="n"/>
      <c r="X1512" s="4" t="n"/>
      <c r="Y1512" s="5" t="n">
        <v>0.08699999999999999</v>
      </c>
      <c r="Z1512" s="4">
        <f>IF(L1512&lt;&gt;"",SQRT(3)*G1512*L1512/1000,"")</f>
        <v/>
      </c>
      <c r="AA1512" t="inlineStr">
        <is>
          <t>Source=Copeland 2D/3D/4D/4R/6D/8D/9R compressors (pdf) p75; PWS_RLA=62.6</t>
        </is>
      </c>
      <c r="AB1512" t="inlineStr">
        <is>
          <t>Copeland_RLA_230_460_3ph_60Hz.xlsx</t>
        </is>
      </c>
      <c r="AC1512" t="inlineStr">
        <is>
          <t>Recip_2D-9R</t>
        </is>
      </c>
    </row>
    <row r="1513">
      <c r="A1513" t="inlineStr">
        <is>
          <t>COPELAND</t>
        </is>
      </c>
      <c r="B1513" t="inlineStr">
        <is>
          <t>6DK8A3500-TSK</t>
        </is>
      </c>
      <c r="D1513" t="inlineStr">
        <is>
          <t>Reciprocating Semi-hermetic</t>
        </is>
      </c>
      <c r="E1513" s="2" t="n">
        <v>3</v>
      </c>
      <c r="F1513" s="2" t="n">
        <v>60</v>
      </c>
      <c r="G1513" s="2" t="n">
        <v>460</v>
      </c>
      <c r="H1513" t="inlineStr">
        <is>
          <t>460</t>
        </is>
      </c>
      <c r="I1513" s="2" t="n">
        <v>460</v>
      </c>
      <c r="J1513" s="2" t="n">
        <v>460</v>
      </c>
      <c r="L1513" s="3" t="n"/>
      <c r="M1513" s="3" t="n"/>
      <c r="N1513" s="3" t="n">
        <v>62.6</v>
      </c>
      <c r="O1513" s="3" t="n"/>
      <c r="P1513" s="3">
        <f>IF(L1513&lt;&gt;"",L1513/1.4,"")</f>
        <v/>
      </c>
      <c r="Q1513" s="3">
        <f>IF(L1513&lt;&gt;"",L1513/1.56,"")</f>
        <v/>
      </c>
      <c r="R1513" s="3">
        <f>IF(M1513&lt;&gt;"",M1513/1.4,"")</f>
        <v/>
      </c>
      <c r="S1513" s="3">
        <f>IF(M1513&lt;&gt;"",M1513/1.56,"")</f>
        <v/>
      </c>
      <c r="T1513" s="3">
        <f>IF(N1513&lt;&gt;"",N1513,IF(O1513&lt;&gt;"",O1513,IF(L1513&lt;&gt;"",L1513/1.56,IF(M1513&lt;&gt;"",M1513/1.56,""))))</f>
        <v/>
      </c>
      <c r="U1513" s="3" t="n">
        <v>283</v>
      </c>
      <c r="V1513" s="3" t="n"/>
      <c r="W1513" s="3" t="n"/>
      <c r="X1513" s="4" t="n"/>
      <c r="Y1513" s="5" t="n">
        <v>0.348</v>
      </c>
      <c r="Z1513" s="4">
        <f>IF(L1513&lt;&gt;"",SQRT(3)*G1513*L1513/1000,"")</f>
        <v/>
      </c>
      <c r="AA1513" t="inlineStr">
        <is>
          <t>Source=Copeland 2D/3D/4D/4R/6D/8D/9R compressors (pdf) p75</t>
        </is>
      </c>
      <c r="AB1513" t="inlineStr">
        <is>
          <t>Copeland_RLA_230_460_3ph_60Hz.xlsx</t>
        </is>
      </c>
      <c r="AC1513" t="inlineStr">
        <is>
          <t>Recip_2D-9R</t>
        </is>
      </c>
    </row>
    <row r="1514">
      <c r="A1514" t="inlineStr">
        <is>
          <t>COPELAND</t>
        </is>
      </c>
      <c r="B1514" t="inlineStr">
        <is>
          <t>6DKG-3500-FSD</t>
        </is>
      </c>
      <c r="D1514" t="inlineStr">
        <is>
          <t>Reciprocating Semi-hermetic</t>
        </is>
      </c>
      <c r="E1514" s="2" t="n">
        <v>3</v>
      </c>
      <c r="F1514" s="2" t="n">
        <v>60</v>
      </c>
      <c r="G1514" s="2" t="n">
        <v>460</v>
      </c>
      <c r="H1514" t="inlineStr">
        <is>
          <t>460</t>
        </is>
      </c>
      <c r="I1514" s="2" t="n">
        <v>460</v>
      </c>
      <c r="J1514" s="2" t="n">
        <v>460</v>
      </c>
      <c r="L1514" s="3" t="n"/>
      <c r="M1514" s="3" t="n"/>
      <c r="N1514" s="3" t="n">
        <v>62.6</v>
      </c>
      <c r="O1514" s="3" t="n"/>
      <c r="P1514" s="3">
        <f>IF(L1514&lt;&gt;"",L1514/1.4,"")</f>
        <v/>
      </c>
      <c r="Q1514" s="3">
        <f>IF(L1514&lt;&gt;"",L1514/1.56,"")</f>
        <v/>
      </c>
      <c r="R1514" s="3">
        <f>IF(M1514&lt;&gt;"",M1514/1.4,"")</f>
        <v/>
      </c>
      <c r="S1514" s="3">
        <f>IF(M1514&lt;&gt;"",M1514/1.56,"")</f>
        <v/>
      </c>
      <c r="T1514" s="3">
        <f>IF(N1514&lt;&gt;"",N1514,IF(O1514&lt;&gt;"",O1514,IF(L1514&lt;&gt;"",L1514/1.56,IF(M1514&lt;&gt;"",M1514/1.56,""))))</f>
        <v/>
      </c>
      <c r="U1514" s="3" t="n">
        <v>260</v>
      </c>
      <c r="V1514" s="3" t="n">
        <v>156</v>
      </c>
      <c r="W1514" s="3" t="n"/>
      <c r="X1514" s="4" t="n"/>
      <c r="Y1514" s="5" t="n">
        <v>0.39</v>
      </c>
      <c r="Z1514" s="4">
        <f>IF(L1514&lt;&gt;"",SQRT(3)*G1514*L1514/1000,"")</f>
        <v/>
      </c>
      <c r="AA1514" t="inlineStr">
        <is>
          <t>Source=Copeland 2D/3D/4D/4R/6D/8D/9R compressors (pdf) p75; PWS_RLA=31.3</t>
        </is>
      </c>
      <c r="AB1514" t="inlineStr">
        <is>
          <t>Copeland_RLA_230_460_3ph_60Hz.xlsx</t>
        </is>
      </c>
      <c r="AC1514" t="inlineStr">
        <is>
          <t>Recip_2D-9R</t>
        </is>
      </c>
    </row>
    <row r="1515">
      <c r="A1515" t="inlineStr">
        <is>
          <t>COPELAND</t>
        </is>
      </c>
      <c r="B1515" t="inlineStr">
        <is>
          <t>6DKG-3500-TSK</t>
        </is>
      </c>
      <c r="D1515" t="inlineStr">
        <is>
          <t>Reciprocating Semi-hermetic</t>
        </is>
      </c>
      <c r="E1515" s="2" t="n">
        <v>3</v>
      </c>
      <c r="F1515" s="2" t="n">
        <v>60</v>
      </c>
      <c r="G1515" s="2" t="n">
        <v>230</v>
      </c>
      <c r="H1515" t="inlineStr">
        <is>
          <t>208/230</t>
        </is>
      </c>
      <c r="I1515" s="2" t="n">
        <v>208</v>
      </c>
      <c r="J1515" s="2" t="n">
        <v>230</v>
      </c>
      <c r="L1515" s="3" t="n"/>
      <c r="M1515" s="3" t="n"/>
      <c r="N1515" s="3" t="n">
        <v>125.1</v>
      </c>
      <c r="O1515" s="3" t="n"/>
      <c r="P1515" s="3">
        <f>IF(L1515&lt;&gt;"",L1515/1.4,"")</f>
        <v/>
      </c>
      <c r="Q1515" s="3">
        <f>IF(L1515&lt;&gt;"",L1515/1.56,"")</f>
        <v/>
      </c>
      <c r="R1515" s="3">
        <f>IF(M1515&lt;&gt;"",M1515/1.4,"")</f>
        <v/>
      </c>
      <c r="S1515" s="3">
        <f>IF(M1515&lt;&gt;"",M1515/1.56,"")</f>
        <v/>
      </c>
      <c r="T1515" s="3">
        <f>IF(N1515&lt;&gt;"",N1515,IF(O1515&lt;&gt;"",O1515,IF(L1515&lt;&gt;"",L1515/1.56,IF(M1515&lt;&gt;"",M1515/1.56,""))))</f>
        <v/>
      </c>
      <c r="U1515" s="3" t="n">
        <v>565</v>
      </c>
      <c r="V1515" s="3" t="n">
        <v>340</v>
      </c>
      <c r="W1515" s="3" t="n"/>
      <c r="X1515" s="4" t="n"/>
      <c r="Y1515" s="5" t="n">
        <v>0.08699999999999999</v>
      </c>
      <c r="Z1515" s="4">
        <f>IF(L1515&lt;&gt;"",SQRT(3)*G1515*L1515/1000,"")</f>
        <v/>
      </c>
      <c r="AA1515" t="inlineStr">
        <is>
          <t>Source=Copeland 2D/3D/4D/4R/6D/8D/9R compressors (pdf) p75; PWS_RLA=62.6</t>
        </is>
      </c>
      <c r="AB1515" t="inlineStr">
        <is>
          <t>Copeland_RLA_230_460_3ph_60Hz.xlsx</t>
        </is>
      </c>
      <c r="AC1515" t="inlineStr">
        <is>
          <t>Recip_2D-9R</t>
        </is>
      </c>
    </row>
    <row r="1516">
      <c r="A1516" t="inlineStr">
        <is>
          <t>COPELAND</t>
        </is>
      </c>
      <c r="B1516" t="inlineStr">
        <is>
          <t>6DKG-3500-TSK</t>
        </is>
      </c>
      <c r="D1516" t="inlineStr">
        <is>
          <t>Reciprocating Semi-hermetic</t>
        </is>
      </c>
      <c r="E1516" s="2" t="n">
        <v>3</v>
      </c>
      <c r="F1516" s="2" t="n">
        <v>60</v>
      </c>
      <c r="G1516" s="2" t="n">
        <v>460</v>
      </c>
      <c r="H1516" t="inlineStr">
        <is>
          <t>460</t>
        </is>
      </c>
      <c r="I1516" s="2" t="n">
        <v>460</v>
      </c>
      <c r="J1516" s="2" t="n">
        <v>460</v>
      </c>
      <c r="L1516" s="3" t="n"/>
      <c r="M1516" s="3" t="n"/>
      <c r="N1516" s="3" t="n">
        <v>62.6</v>
      </c>
      <c r="O1516" s="3" t="n"/>
      <c r="P1516" s="3">
        <f>IF(L1516&lt;&gt;"",L1516/1.4,"")</f>
        <v/>
      </c>
      <c r="Q1516" s="3">
        <f>IF(L1516&lt;&gt;"",L1516/1.56,"")</f>
        <v/>
      </c>
      <c r="R1516" s="3">
        <f>IF(M1516&lt;&gt;"",M1516/1.4,"")</f>
        <v/>
      </c>
      <c r="S1516" s="3">
        <f>IF(M1516&lt;&gt;"",M1516/1.56,"")</f>
        <v/>
      </c>
      <c r="T1516" s="3">
        <f>IF(N1516&lt;&gt;"",N1516,IF(O1516&lt;&gt;"",O1516,IF(L1516&lt;&gt;"",L1516/1.56,IF(M1516&lt;&gt;"",M1516/1.56,""))))</f>
        <v/>
      </c>
      <c r="U1516" s="3" t="n">
        <v>283</v>
      </c>
      <c r="V1516" s="3" t="n"/>
      <c r="W1516" s="3" t="n"/>
      <c r="X1516" s="4" t="n"/>
      <c r="Y1516" s="5" t="n">
        <v>0.348</v>
      </c>
      <c r="Z1516" s="4">
        <f>IF(L1516&lt;&gt;"",SQRT(3)*G1516*L1516/1000,"")</f>
        <v/>
      </c>
      <c r="AA1516" t="inlineStr">
        <is>
          <t>Source=Copeland 2D/3D/4D/4R/6D/8D/9R compressors (pdf) p75</t>
        </is>
      </c>
      <c r="AB1516" t="inlineStr">
        <is>
          <t>Copeland_RLA_230_460_3ph_60Hz.xlsx</t>
        </is>
      </c>
      <c r="AC1516" t="inlineStr">
        <is>
          <t>Recip_2D-9R</t>
        </is>
      </c>
    </row>
    <row r="1517">
      <c r="A1517" t="inlineStr">
        <is>
          <t>COPELAND</t>
        </is>
      </c>
      <c r="B1517" t="inlineStr">
        <is>
          <t>6DKG-350E-FSD</t>
        </is>
      </c>
      <c r="D1517" t="inlineStr">
        <is>
          <t>Reciprocating Semi-hermetic</t>
        </is>
      </c>
      <c r="E1517" s="2" t="n">
        <v>3</v>
      </c>
      <c r="F1517" s="2" t="n">
        <v>60</v>
      </c>
      <c r="G1517" s="2" t="n">
        <v>460</v>
      </c>
      <c r="H1517" t="inlineStr">
        <is>
          <t>460</t>
        </is>
      </c>
      <c r="I1517" s="2" t="n">
        <v>460</v>
      </c>
      <c r="J1517" s="2" t="n">
        <v>460</v>
      </c>
      <c r="L1517" s="3" t="n"/>
      <c r="M1517" s="3" t="n"/>
      <c r="N1517" s="3" t="n">
        <v>62.6</v>
      </c>
      <c r="O1517" s="3" t="n"/>
      <c r="P1517" s="3">
        <f>IF(L1517&lt;&gt;"",L1517/1.4,"")</f>
        <v/>
      </c>
      <c r="Q1517" s="3">
        <f>IF(L1517&lt;&gt;"",L1517/1.56,"")</f>
        <v/>
      </c>
      <c r="R1517" s="3">
        <f>IF(M1517&lt;&gt;"",M1517/1.4,"")</f>
        <v/>
      </c>
      <c r="S1517" s="3">
        <f>IF(M1517&lt;&gt;"",M1517/1.56,"")</f>
        <v/>
      </c>
      <c r="T1517" s="3">
        <f>IF(N1517&lt;&gt;"",N1517,IF(O1517&lt;&gt;"",O1517,IF(L1517&lt;&gt;"",L1517/1.56,IF(M1517&lt;&gt;"",M1517/1.56,""))))</f>
        <v/>
      </c>
      <c r="U1517" s="3" t="n">
        <v>260</v>
      </c>
      <c r="V1517" s="3" t="n">
        <v>156</v>
      </c>
      <c r="W1517" s="3" t="n"/>
      <c r="X1517" s="4" t="n"/>
      <c r="Y1517" s="5" t="n">
        <v>0.39</v>
      </c>
      <c r="Z1517" s="4">
        <f>IF(L1517&lt;&gt;"",SQRT(3)*G1517*L1517/1000,"")</f>
        <v/>
      </c>
      <c r="AA1517" t="inlineStr">
        <is>
          <t>Source=Copeland 2D/3D/4D/4R/6D/8D/9R compressors (pdf) p75; PWS_RLA=31.3</t>
        </is>
      </c>
      <c r="AB1517" t="inlineStr">
        <is>
          <t>Copeland_RLA_230_460_3ph_60Hz.xlsx</t>
        </is>
      </c>
      <c r="AC1517" t="inlineStr">
        <is>
          <t>Recip_2D-9R</t>
        </is>
      </c>
    </row>
    <row r="1518">
      <c r="A1518" t="inlineStr">
        <is>
          <t>COPELAND</t>
        </is>
      </c>
      <c r="B1518" t="inlineStr">
        <is>
          <t>6DKG-350L-FSD</t>
        </is>
      </c>
      <c r="D1518" t="inlineStr">
        <is>
          <t>Reciprocating Semi-hermetic</t>
        </is>
      </c>
      <c r="E1518" s="2" t="n">
        <v>3</v>
      </c>
      <c r="F1518" s="2" t="n">
        <v>60</v>
      </c>
      <c r="G1518" s="2" t="n">
        <v>460</v>
      </c>
      <c r="H1518" t="inlineStr">
        <is>
          <t>460</t>
        </is>
      </c>
      <c r="I1518" s="2" t="n">
        <v>460</v>
      </c>
      <c r="J1518" s="2" t="n">
        <v>460</v>
      </c>
      <c r="L1518" s="3" t="n"/>
      <c r="M1518" s="3" t="n"/>
      <c r="N1518" s="3" t="n">
        <v>62.6</v>
      </c>
      <c r="O1518" s="3" t="n"/>
      <c r="P1518" s="3">
        <f>IF(L1518&lt;&gt;"",L1518/1.4,"")</f>
        <v/>
      </c>
      <c r="Q1518" s="3">
        <f>IF(L1518&lt;&gt;"",L1518/1.56,"")</f>
        <v/>
      </c>
      <c r="R1518" s="3">
        <f>IF(M1518&lt;&gt;"",M1518/1.4,"")</f>
        <v/>
      </c>
      <c r="S1518" s="3">
        <f>IF(M1518&lt;&gt;"",M1518/1.56,"")</f>
        <v/>
      </c>
      <c r="T1518" s="3">
        <f>IF(N1518&lt;&gt;"",N1518,IF(O1518&lt;&gt;"",O1518,IF(L1518&lt;&gt;"",L1518/1.56,IF(M1518&lt;&gt;"",M1518/1.56,""))))</f>
        <v/>
      </c>
      <c r="U1518" s="3" t="n">
        <v>260</v>
      </c>
      <c r="V1518" s="3" t="n">
        <v>156</v>
      </c>
      <c r="W1518" s="3" t="n"/>
      <c r="X1518" s="4" t="n"/>
      <c r="Y1518" s="5" t="n">
        <v>0.39</v>
      </c>
      <c r="Z1518" s="4">
        <f>IF(L1518&lt;&gt;"",SQRT(3)*G1518*L1518/1000,"")</f>
        <v/>
      </c>
      <c r="AA1518" t="inlineStr">
        <is>
          <t>Source=Copeland 2D/3D/4D/4R/6D/8D/9R compressors (pdf) p75; PWS_RLA=31.3</t>
        </is>
      </c>
      <c r="AB1518" t="inlineStr">
        <is>
          <t>Copeland_RLA_230_460_3ph_60Hz.xlsx</t>
        </is>
      </c>
      <c r="AC1518" t="inlineStr">
        <is>
          <t>Recip_2D-9R</t>
        </is>
      </c>
    </row>
    <row r="1519">
      <c r="A1519" t="inlineStr">
        <is>
          <t>COPELAND</t>
        </is>
      </c>
      <c r="B1519" t="inlineStr">
        <is>
          <t>6DL1-2700-FSD</t>
        </is>
      </c>
      <c r="D1519" t="inlineStr">
        <is>
          <t>Reciprocating Semi-hermetic</t>
        </is>
      </c>
      <c r="E1519" s="2" t="n">
        <v>3</v>
      </c>
      <c r="F1519" s="2" t="n">
        <v>60</v>
      </c>
      <c r="G1519" s="2" t="n">
        <v>460</v>
      </c>
      <c r="H1519" t="inlineStr">
        <is>
          <t>460</t>
        </is>
      </c>
      <c r="I1519" s="2" t="n">
        <v>460</v>
      </c>
      <c r="J1519" s="2" t="n">
        <v>460</v>
      </c>
      <c r="L1519" s="3" t="n"/>
      <c r="M1519" s="3" t="n"/>
      <c r="N1519" s="3" t="n">
        <v>42.9</v>
      </c>
      <c r="O1519" s="3" t="n"/>
      <c r="P1519" s="3">
        <f>IF(L1519&lt;&gt;"",L1519/1.4,"")</f>
        <v/>
      </c>
      <c r="Q1519" s="3">
        <f>IF(L1519&lt;&gt;"",L1519/1.56,"")</f>
        <v/>
      </c>
      <c r="R1519" s="3">
        <f>IF(M1519&lt;&gt;"",M1519/1.4,"")</f>
        <v/>
      </c>
      <c r="S1519" s="3">
        <f>IF(M1519&lt;&gt;"",M1519/1.56,"")</f>
        <v/>
      </c>
      <c r="T1519" s="3">
        <f>IF(N1519&lt;&gt;"",N1519,IF(O1519&lt;&gt;"",O1519,IF(L1519&lt;&gt;"",L1519/1.56,IF(M1519&lt;&gt;"",M1519/1.56,""))))</f>
        <v/>
      </c>
      <c r="U1519" s="3" t="n">
        <v>218</v>
      </c>
      <c r="V1519" s="3" t="n">
        <v>131</v>
      </c>
      <c r="W1519" s="3" t="n"/>
      <c r="X1519" s="4" t="n"/>
      <c r="Y1519" s="5" t="n">
        <v>0.457</v>
      </c>
      <c r="Z1519" s="4">
        <f>IF(L1519&lt;&gt;"",SQRT(3)*G1519*L1519/1000,"")</f>
        <v/>
      </c>
      <c r="AA1519" t="inlineStr">
        <is>
          <t>Source=Copeland 2D/3D/4D/4R/6D/8D/9R compressors (pdf) p75; PWS_RLA=21.5</t>
        </is>
      </c>
      <c r="AB1519" t="inlineStr">
        <is>
          <t>Copeland_RLA_230_460_3ph_60Hz.xlsx</t>
        </is>
      </c>
      <c r="AC1519" t="inlineStr">
        <is>
          <t>Recip_2D-9R</t>
        </is>
      </c>
    </row>
    <row r="1520">
      <c r="A1520" t="inlineStr">
        <is>
          <t>COPELAND</t>
        </is>
      </c>
      <c r="B1520" t="inlineStr">
        <is>
          <t>6DL1-2700-TSK</t>
        </is>
      </c>
      <c r="D1520" t="inlineStr">
        <is>
          <t>Reciprocating Semi-hermetic</t>
        </is>
      </c>
      <c r="E1520" s="2" t="n">
        <v>3</v>
      </c>
      <c r="F1520" s="2" t="n">
        <v>60</v>
      </c>
      <c r="G1520" s="2" t="n">
        <v>230</v>
      </c>
      <c r="H1520" t="inlineStr">
        <is>
          <t>208/230</t>
        </is>
      </c>
      <c r="I1520" s="2" t="n">
        <v>208</v>
      </c>
      <c r="J1520" s="2" t="n">
        <v>230</v>
      </c>
      <c r="L1520" s="3" t="n"/>
      <c r="M1520" s="3" t="n"/>
      <c r="N1520" s="3" t="n">
        <v>89.3</v>
      </c>
      <c r="O1520" s="3" t="n"/>
      <c r="P1520" s="3">
        <f>IF(L1520&lt;&gt;"",L1520/1.4,"")</f>
        <v/>
      </c>
      <c r="Q1520" s="3">
        <f>IF(L1520&lt;&gt;"",L1520/1.56,"")</f>
        <v/>
      </c>
      <c r="R1520" s="3">
        <f>IF(M1520&lt;&gt;"",M1520/1.4,"")</f>
        <v/>
      </c>
      <c r="S1520" s="3">
        <f>IF(M1520&lt;&gt;"",M1520/1.56,"")</f>
        <v/>
      </c>
      <c r="T1520" s="3">
        <f>IF(N1520&lt;&gt;"",N1520,IF(O1520&lt;&gt;"",O1520,IF(L1520&lt;&gt;"",L1520/1.56,IF(M1520&lt;&gt;"",M1520/1.56,""))))</f>
        <v/>
      </c>
      <c r="U1520" s="3" t="n">
        <v>450</v>
      </c>
      <c r="V1520" s="3" t="n">
        <v>263</v>
      </c>
      <c r="W1520" s="3" t="n"/>
      <c r="X1520" s="4" t="n"/>
      <c r="Y1520" s="5" t="n">
        <v>0.114</v>
      </c>
      <c r="Z1520" s="4">
        <f>IF(L1520&lt;&gt;"",SQRT(3)*G1520*L1520/1000,"")</f>
        <v/>
      </c>
      <c r="AA1520" t="inlineStr">
        <is>
          <t>Source=Copeland 2D/3D/4D/4R/6D/8D/9R compressors (pdf) p75; PWS_RLA=44.7</t>
        </is>
      </c>
      <c r="AB1520" t="inlineStr">
        <is>
          <t>Copeland_RLA_230_460_3ph_60Hz.xlsx</t>
        </is>
      </c>
      <c r="AC1520" t="inlineStr">
        <is>
          <t>Recip_2D-9R</t>
        </is>
      </c>
    </row>
    <row r="1521">
      <c r="A1521" t="inlineStr">
        <is>
          <t>COPELAND</t>
        </is>
      </c>
      <c r="B1521" t="inlineStr">
        <is>
          <t>6DL1-2700-TSK</t>
        </is>
      </c>
      <c r="D1521" t="inlineStr">
        <is>
          <t>Reciprocating Semi-hermetic</t>
        </is>
      </c>
      <c r="E1521" s="2" t="n">
        <v>3</v>
      </c>
      <c r="F1521" s="2" t="n">
        <v>60</v>
      </c>
      <c r="G1521" s="2" t="n">
        <v>460</v>
      </c>
      <c r="H1521" t="inlineStr">
        <is>
          <t>460</t>
        </is>
      </c>
      <c r="I1521" s="2" t="n">
        <v>460</v>
      </c>
      <c r="J1521" s="2" t="n">
        <v>460</v>
      </c>
      <c r="L1521" s="3" t="n"/>
      <c r="M1521" s="3" t="n"/>
      <c r="N1521" s="3" t="n">
        <v>44.6</v>
      </c>
      <c r="O1521" s="3" t="n"/>
      <c r="P1521" s="3">
        <f>IF(L1521&lt;&gt;"",L1521/1.4,"")</f>
        <v/>
      </c>
      <c r="Q1521" s="3">
        <f>IF(L1521&lt;&gt;"",L1521/1.56,"")</f>
        <v/>
      </c>
      <c r="R1521" s="3">
        <f>IF(M1521&lt;&gt;"",M1521/1.4,"")</f>
        <v/>
      </c>
      <c r="S1521" s="3">
        <f>IF(M1521&lt;&gt;"",M1521/1.56,"")</f>
        <v/>
      </c>
      <c r="T1521" s="3">
        <f>IF(N1521&lt;&gt;"",N1521,IF(O1521&lt;&gt;"",O1521,IF(L1521&lt;&gt;"",L1521/1.56,IF(M1521&lt;&gt;"",M1521/1.56,""))))</f>
        <v/>
      </c>
      <c r="U1521" s="3" t="n">
        <v>225</v>
      </c>
      <c r="V1521" s="3" t="n"/>
      <c r="W1521" s="3" t="n"/>
      <c r="X1521" s="4" t="n"/>
      <c r="Y1521" s="5" t="n">
        <v>0.456</v>
      </c>
      <c r="Z1521" s="4">
        <f>IF(L1521&lt;&gt;"",SQRT(3)*G1521*L1521/1000,"")</f>
        <v/>
      </c>
      <c r="AA1521" t="inlineStr">
        <is>
          <t>Source=Copeland 2D/3D/4D/4R/6D/8D/9R compressors (pdf) p75</t>
        </is>
      </c>
      <c r="AB1521" t="inlineStr">
        <is>
          <t>Copeland_RLA_230_460_3ph_60Hz.xlsx</t>
        </is>
      </c>
      <c r="AC1521" t="inlineStr">
        <is>
          <t>Recip_2D-9R</t>
        </is>
      </c>
    </row>
    <row r="1522">
      <c r="A1522" t="inlineStr">
        <is>
          <t>COPELAND</t>
        </is>
      </c>
      <c r="B1522" t="inlineStr">
        <is>
          <t>6DL1A2700-FSD</t>
        </is>
      </c>
      <c r="D1522" t="inlineStr">
        <is>
          <t>Reciprocating Semi-hermetic</t>
        </is>
      </c>
      <c r="E1522" s="2" t="n">
        <v>3</v>
      </c>
      <c r="F1522" s="2" t="n">
        <v>60</v>
      </c>
      <c r="G1522" s="2" t="n">
        <v>460</v>
      </c>
      <c r="H1522" t="inlineStr">
        <is>
          <t>460</t>
        </is>
      </c>
      <c r="I1522" s="2" t="n">
        <v>460</v>
      </c>
      <c r="J1522" s="2" t="n">
        <v>460</v>
      </c>
      <c r="L1522" s="3" t="n"/>
      <c r="M1522" s="3" t="n"/>
      <c r="N1522" s="3" t="n">
        <v>42.9</v>
      </c>
      <c r="O1522" s="3" t="n"/>
      <c r="P1522" s="3">
        <f>IF(L1522&lt;&gt;"",L1522/1.4,"")</f>
        <v/>
      </c>
      <c r="Q1522" s="3">
        <f>IF(L1522&lt;&gt;"",L1522/1.56,"")</f>
        <v/>
      </c>
      <c r="R1522" s="3">
        <f>IF(M1522&lt;&gt;"",M1522/1.4,"")</f>
        <v/>
      </c>
      <c r="S1522" s="3">
        <f>IF(M1522&lt;&gt;"",M1522/1.56,"")</f>
        <v/>
      </c>
      <c r="T1522" s="3">
        <f>IF(N1522&lt;&gt;"",N1522,IF(O1522&lt;&gt;"",O1522,IF(L1522&lt;&gt;"",L1522/1.56,IF(M1522&lt;&gt;"",M1522/1.56,""))))</f>
        <v/>
      </c>
      <c r="U1522" s="3" t="n">
        <v>218</v>
      </c>
      <c r="V1522" s="3" t="n">
        <v>131</v>
      </c>
      <c r="W1522" s="3" t="n"/>
      <c r="X1522" s="4" t="n"/>
      <c r="Y1522" s="5" t="n">
        <v>0.457</v>
      </c>
      <c r="Z1522" s="4">
        <f>IF(L1522&lt;&gt;"",SQRT(3)*G1522*L1522/1000,"")</f>
        <v/>
      </c>
      <c r="AA1522" t="inlineStr">
        <is>
          <t>Source=Copeland 2D/3D/4D/4R/6D/8D/9R compressors (pdf) p75; PWS_RLA=21.5</t>
        </is>
      </c>
      <c r="AB1522" t="inlineStr">
        <is>
          <t>Copeland_RLA_230_460_3ph_60Hz.xlsx</t>
        </is>
      </c>
      <c r="AC1522" t="inlineStr">
        <is>
          <t>Recip_2D-9R</t>
        </is>
      </c>
    </row>
    <row r="1523">
      <c r="A1523" t="inlineStr">
        <is>
          <t>COPELAND</t>
        </is>
      </c>
      <c r="B1523" t="inlineStr">
        <is>
          <t>6DL1A2700-TSK</t>
        </is>
      </c>
      <c r="D1523" t="inlineStr">
        <is>
          <t>Reciprocating Semi-hermetic</t>
        </is>
      </c>
      <c r="E1523" s="2" t="n">
        <v>3</v>
      </c>
      <c r="F1523" s="2" t="n">
        <v>60</v>
      </c>
      <c r="G1523" s="2" t="n">
        <v>230</v>
      </c>
      <c r="H1523" t="inlineStr">
        <is>
          <t>208/230</t>
        </is>
      </c>
      <c r="I1523" s="2" t="n">
        <v>208</v>
      </c>
      <c r="J1523" s="2" t="n">
        <v>230</v>
      </c>
      <c r="L1523" s="3" t="n"/>
      <c r="M1523" s="3" t="n"/>
      <c r="N1523" s="3" t="n">
        <v>89.3</v>
      </c>
      <c r="O1523" s="3" t="n"/>
      <c r="P1523" s="3">
        <f>IF(L1523&lt;&gt;"",L1523/1.4,"")</f>
        <v/>
      </c>
      <c r="Q1523" s="3">
        <f>IF(L1523&lt;&gt;"",L1523/1.56,"")</f>
        <v/>
      </c>
      <c r="R1523" s="3">
        <f>IF(M1523&lt;&gt;"",M1523/1.4,"")</f>
        <v/>
      </c>
      <c r="S1523" s="3">
        <f>IF(M1523&lt;&gt;"",M1523/1.56,"")</f>
        <v/>
      </c>
      <c r="T1523" s="3">
        <f>IF(N1523&lt;&gt;"",N1523,IF(O1523&lt;&gt;"",O1523,IF(L1523&lt;&gt;"",L1523/1.56,IF(M1523&lt;&gt;"",M1523/1.56,""))))</f>
        <v/>
      </c>
      <c r="U1523" s="3" t="n">
        <v>450</v>
      </c>
      <c r="V1523" s="3" t="n">
        <v>263</v>
      </c>
      <c r="W1523" s="3" t="n"/>
      <c r="X1523" s="4" t="n"/>
      <c r="Y1523" s="5" t="n">
        <v>0.114</v>
      </c>
      <c r="Z1523" s="4">
        <f>IF(L1523&lt;&gt;"",SQRT(3)*G1523*L1523/1000,"")</f>
        <v/>
      </c>
      <c r="AA1523" t="inlineStr">
        <is>
          <t>Source=Copeland 2D/3D/4D/4R/6D/8D/9R compressors (pdf) p75; PWS_RLA=44.7</t>
        </is>
      </c>
      <c r="AB1523" t="inlineStr">
        <is>
          <t>Copeland_RLA_230_460_3ph_60Hz.xlsx</t>
        </is>
      </c>
      <c r="AC1523" t="inlineStr">
        <is>
          <t>Recip_2D-9R</t>
        </is>
      </c>
    </row>
    <row r="1524">
      <c r="A1524" t="inlineStr">
        <is>
          <t>COPELAND</t>
        </is>
      </c>
      <c r="B1524" t="inlineStr">
        <is>
          <t>6DL1A2700-TSK</t>
        </is>
      </c>
      <c r="D1524" t="inlineStr">
        <is>
          <t>Reciprocating Semi-hermetic</t>
        </is>
      </c>
      <c r="E1524" s="2" t="n">
        <v>3</v>
      </c>
      <c r="F1524" s="2" t="n">
        <v>60</v>
      </c>
      <c r="G1524" s="2" t="n">
        <v>460</v>
      </c>
      <c r="H1524" t="inlineStr">
        <is>
          <t>460</t>
        </is>
      </c>
      <c r="I1524" s="2" t="n">
        <v>460</v>
      </c>
      <c r="J1524" s="2" t="n">
        <v>460</v>
      </c>
      <c r="L1524" s="3" t="n"/>
      <c r="M1524" s="3" t="n"/>
      <c r="N1524" s="3" t="n">
        <v>44.6</v>
      </c>
      <c r="O1524" s="3" t="n"/>
      <c r="P1524" s="3">
        <f>IF(L1524&lt;&gt;"",L1524/1.4,"")</f>
        <v/>
      </c>
      <c r="Q1524" s="3">
        <f>IF(L1524&lt;&gt;"",L1524/1.56,"")</f>
        <v/>
      </c>
      <c r="R1524" s="3">
        <f>IF(M1524&lt;&gt;"",M1524/1.4,"")</f>
        <v/>
      </c>
      <c r="S1524" s="3">
        <f>IF(M1524&lt;&gt;"",M1524/1.56,"")</f>
        <v/>
      </c>
      <c r="T1524" s="3">
        <f>IF(N1524&lt;&gt;"",N1524,IF(O1524&lt;&gt;"",O1524,IF(L1524&lt;&gt;"",L1524/1.56,IF(M1524&lt;&gt;"",M1524/1.56,""))))</f>
        <v/>
      </c>
      <c r="U1524" s="3" t="n">
        <v>225</v>
      </c>
      <c r="V1524" s="3" t="n"/>
      <c r="W1524" s="3" t="n"/>
      <c r="X1524" s="4" t="n"/>
      <c r="Y1524" s="5" t="n">
        <v>0.456</v>
      </c>
      <c r="Z1524" s="4">
        <f>IF(L1524&lt;&gt;"",SQRT(3)*G1524*L1524/1000,"")</f>
        <v/>
      </c>
      <c r="AA1524" t="inlineStr">
        <is>
          <t>Source=Copeland 2D/3D/4D/4R/6D/8D/9R compressors (pdf) p75</t>
        </is>
      </c>
      <c r="AB1524" t="inlineStr">
        <is>
          <t>Copeland_RLA_230_460_3ph_60Hz.xlsx</t>
        </is>
      </c>
      <c r="AC1524" t="inlineStr">
        <is>
          <t>Recip_2D-9R</t>
        </is>
      </c>
    </row>
    <row r="1525">
      <c r="A1525" t="inlineStr">
        <is>
          <t>COPELAND</t>
        </is>
      </c>
      <c r="B1525" t="inlineStr">
        <is>
          <t>6DL3-2700-FSD</t>
        </is>
      </c>
      <c r="D1525" t="inlineStr">
        <is>
          <t>Reciprocating Semi-hermetic</t>
        </is>
      </c>
      <c r="E1525" s="2" t="n">
        <v>3</v>
      </c>
      <c r="F1525" s="2" t="n">
        <v>60</v>
      </c>
      <c r="G1525" s="2" t="n">
        <v>460</v>
      </c>
      <c r="H1525" t="inlineStr">
        <is>
          <t>460</t>
        </is>
      </c>
      <c r="I1525" s="2" t="n">
        <v>460</v>
      </c>
      <c r="J1525" s="2" t="n">
        <v>460</v>
      </c>
      <c r="L1525" s="3" t="n"/>
      <c r="M1525" s="3" t="n"/>
      <c r="N1525" s="3" t="n">
        <v>41.6</v>
      </c>
      <c r="O1525" s="3" t="n"/>
      <c r="P1525" s="3">
        <f>IF(L1525&lt;&gt;"",L1525/1.4,"")</f>
        <v/>
      </c>
      <c r="Q1525" s="3">
        <f>IF(L1525&lt;&gt;"",L1525/1.56,"")</f>
        <v/>
      </c>
      <c r="R1525" s="3">
        <f>IF(M1525&lt;&gt;"",M1525/1.4,"")</f>
        <v/>
      </c>
      <c r="S1525" s="3">
        <f>IF(M1525&lt;&gt;"",M1525/1.56,"")</f>
        <v/>
      </c>
      <c r="T1525" s="3">
        <f>IF(N1525&lt;&gt;"",N1525,IF(O1525&lt;&gt;"",O1525,IF(L1525&lt;&gt;"",L1525/1.56,IF(M1525&lt;&gt;"",M1525/1.56,""))))</f>
        <v/>
      </c>
      <c r="U1525" s="3" t="n">
        <v>218</v>
      </c>
      <c r="V1525" s="3" t="n">
        <v>131</v>
      </c>
      <c r="W1525" s="3" t="n"/>
      <c r="X1525" s="4" t="n"/>
      <c r="Y1525" s="5" t="n">
        <v>0.457</v>
      </c>
      <c r="Z1525" s="4">
        <f>IF(L1525&lt;&gt;"",SQRT(3)*G1525*L1525/1000,"")</f>
        <v/>
      </c>
      <c r="AA1525" t="inlineStr">
        <is>
          <t>Source=Copeland 2D/3D/4D/4R/6D/8D/9R compressors (pdf) p76; PWS_RLA=20.8</t>
        </is>
      </c>
      <c r="AB1525" t="inlineStr">
        <is>
          <t>Copeland_RLA_230_460_3ph_60Hz.xlsx</t>
        </is>
      </c>
      <c r="AC1525" t="inlineStr">
        <is>
          <t>Recip_2D-9R</t>
        </is>
      </c>
    </row>
    <row r="1526">
      <c r="A1526" t="inlineStr">
        <is>
          <t>COPELAND</t>
        </is>
      </c>
      <c r="B1526" t="inlineStr">
        <is>
          <t>6DL3-2700-TSK</t>
        </is>
      </c>
      <c r="D1526" t="inlineStr">
        <is>
          <t>Reciprocating Semi-hermetic</t>
        </is>
      </c>
      <c r="E1526" s="2" t="n">
        <v>3</v>
      </c>
      <c r="F1526" s="2" t="n">
        <v>60</v>
      </c>
      <c r="G1526" s="2" t="n">
        <v>230</v>
      </c>
      <c r="H1526" t="inlineStr">
        <is>
          <t>208/230</t>
        </is>
      </c>
      <c r="I1526" s="2" t="n">
        <v>208</v>
      </c>
      <c r="J1526" s="2" t="n">
        <v>230</v>
      </c>
      <c r="L1526" s="3" t="n"/>
      <c r="M1526" s="3" t="n"/>
      <c r="N1526" s="3" t="n">
        <v>80.7</v>
      </c>
      <c r="O1526" s="3" t="n"/>
      <c r="P1526" s="3">
        <f>IF(L1526&lt;&gt;"",L1526/1.4,"")</f>
        <v/>
      </c>
      <c r="Q1526" s="3">
        <f>IF(L1526&lt;&gt;"",L1526/1.56,"")</f>
        <v/>
      </c>
      <c r="R1526" s="3">
        <f>IF(M1526&lt;&gt;"",M1526/1.4,"")</f>
        <v/>
      </c>
      <c r="S1526" s="3">
        <f>IF(M1526&lt;&gt;"",M1526/1.56,"")</f>
        <v/>
      </c>
      <c r="T1526" s="3">
        <f>IF(N1526&lt;&gt;"",N1526,IF(O1526&lt;&gt;"",O1526,IF(L1526&lt;&gt;"",L1526/1.56,IF(M1526&lt;&gt;"",M1526/1.56,""))))</f>
        <v/>
      </c>
      <c r="U1526" s="3" t="n">
        <v>450</v>
      </c>
      <c r="V1526" s="3" t="n">
        <v>263</v>
      </c>
      <c r="W1526" s="3" t="n"/>
      <c r="X1526" s="4" t="n"/>
      <c r="Y1526" s="5" t="n">
        <v>0.114</v>
      </c>
      <c r="Z1526" s="4">
        <f>IF(L1526&lt;&gt;"",SQRT(3)*G1526*L1526/1000,"")</f>
        <v/>
      </c>
      <c r="AA1526" t="inlineStr">
        <is>
          <t>Source=Copeland 2D/3D/4D/4R/6D/8D/9R compressors (pdf) p76; PWS_RLA=40.4</t>
        </is>
      </c>
      <c r="AB1526" t="inlineStr">
        <is>
          <t>Copeland_RLA_230_460_3ph_60Hz.xlsx</t>
        </is>
      </c>
      <c r="AC1526" t="inlineStr">
        <is>
          <t>Recip_2D-9R</t>
        </is>
      </c>
    </row>
    <row r="1527">
      <c r="A1527" t="inlineStr">
        <is>
          <t>COPELAND</t>
        </is>
      </c>
      <c r="B1527" t="inlineStr">
        <is>
          <t>6DL3-2700-TSK</t>
        </is>
      </c>
      <c r="D1527" t="inlineStr">
        <is>
          <t>Reciprocating Semi-hermetic</t>
        </is>
      </c>
      <c r="E1527" s="2" t="n">
        <v>3</v>
      </c>
      <c r="F1527" s="2" t="n">
        <v>60</v>
      </c>
      <c r="G1527" s="2" t="n">
        <v>460</v>
      </c>
      <c r="H1527" t="inlineStr">
        <is>
          <t>460</t>
        </is>
      </c>
      <c r="I1527" s="2" t="n">
        <v>460</v>
      </c>
      <c r="J1527" s="2" t="n">
        <v>460</v>
      </c>
      <c r="L1527" s="3" t="n"/>
      <c r="M1527" s="3" t="n"/>
      <c r="N1527" s="3" t="n">
        <v>40.4</v>
      </c>
      <c r="O1527" s="3" t="n"/>
      <c r="P1527" s="3">
        <f>IF(L1527&lt;&gt;"",L1527/1.4,"")</f>
        <v/>
      </c>
      <c r="Q1527" s="3">
        <f>IF(L1527&lt;&gt;"",L1527/1.56,"")</f>
        <v/>
      </c>
      <c r="R1527" s="3">
        <f>IF(M1527&lt;&gt;"",M1527/1.4,"")</f>
        <v/>
      </c>
      <c r="S1527" s="3">
        <f>IF(M1527&lt;&gt;"",M1527/1.56,"")</f>
        <v/>
      </c>
      <c r="T1527" s="3">
        <f>IF(N1527&lt;&gt;"",N1527,IF(O1527&lt;&gt;"",O1527,IF(L1527&lt;&gt;"",L1527/1.56,IF(M1527&lt;&gt;"",M1527/1.56,""))))</f>
        <v/>
      </c>
      <c r="U1527" s="3" t="n">
        <v>225</v>
      </c>
      <c r="V1527" s="3" t="n"/>
      <c r="W1527" s="3" t="n"/>
      <c r="X1527" s="4" t="n"/>
      <c r="Y1527" s="5" t="n">
        <v>0.456</v>
      </c>
      <c r="Z1527" s="4">
        <f>IF(L1527&lt;&gt;"",SQRT(3)*G1527*L1527/1000,"")</f>
        <v/>
      </c>
      <c r="AA1527" t="inlineStr">
        <is>
          <t>Source=Copeland 2D/3D/4D/4R/6D/8D/9R compressors (pdf) p76</t>
        </is>
      </c>
      <c r="AB1527" t="inlineStr">
        <is>
          <t>Copeland_RLA_230_460_3ph_60Hz.xlsx</t>
        </is>
      </c>
      <c r="AC1527" t="inlineStr">
        <is>
          <t>Recip_2D-9R</t>
        </is>
      </c>
    </row>
    <row r="1528">
      <c r="A1528" t="inlineStr">
        <is>
          <t>COPELAND</t>
        </is>
      </c>
      <c r="B1528" t="inlineStr">
        <is>
          <t>6DL3-270E-FSD</t>
        </is>
      </c>
      <c r="D1528" t="inlineStr">
        <is>
          <t>Reciprocating Semi-hermetic</t>
        </is>
      </c>
      <c r="E1528" s="2" t="n">
        <v>3</v>
      </c>
      <c r="F1528" s="2" t="n">
        <v>60</v>
      </c>
      <c r="G1528" s="2" t="n">
        <v>460</v>
      </c>
      <c r="H1528" t="inlineStr">
        <is>
          <t>460</t>
        </is>
      </c>
      <c r="I1528" s="2" t="n">
        <v>460</v>
      </c>
      <c r="J1528" s="2" t="n">
        <v>460</v>
      </c>
      <c r="L1528" s="3" t="n"/>
      <c r="M1528" s="3" t="n"/>
      <c r="N1528" s="3" t="n">
        <v>41.6</v>
      </c>
      <c r="O1528" s="3" t="n"/>
      <c r="P1528" s="3">
        <f>IF(L1528&lt;&gt;"",L1528/1.4,"")</f>
        <v/>
      </c>
      <c r="Q1528" s="3">
        <f>IF(L1528&lt;&gt;"",L1528/1.56,"")</f>
        <v/>
      </c>
      <c r="R1528" s="3">
        <f>IF(M1528&lt;&gt;"",M1528/1.4,"")</f>
        <v/>
      </c>
      <c r="S1528" s="3">
        <f>IF(M1528&lt;&gt;"",M1528/1.56,"")</f>
        <v/>
      </c>
      <c r="T1528" s="3">
        <f>IF(N1528&lt;&gt;"",N1528,IF(O1528&lt;&gt;"",O1528,IF(L1528&lt;&gt;"",L1528/1.56,IF(M1528&lt;&gt;"",M1528/1.56,""))))</f>
        <v/>
      </c>
      <c r="U1528" s="3" t="n">
        <v>218</v>
      </c>
      <c r="V1528" s="3" t="n">
        <v>131</v>
      </c>
      <c r="W1528" s="3" t="n"/>
      <c r="X1528" s="4" t="n"/>
      <c r="Y1528" s="5" t="n">
        <v>0.457</v>
      </c>
      <c r="Z1528" s="4">
        <f>IF(L1528&lt;&gt;"",SQRT(3)*G1528*L1528/1000,"")</f>
        <v/>
      </c>
      <c r="AA1528" t="inlineStr">
        <is>
          <t>Source=Copeland 2D/3D/4D/4R/6D/8D/9R compressors (pdf) p76; PWS_RLA=20.8</t>
        </is>
      </c>
      <c r="AB1528" t="inlineStr">
        <is>
          <t>Copeland_RLA_230_460_3ph_60Hz.xlsx</t>
        </is>
      </c>
      <c r="AC1528" t="inlineStr">
        <is>
          <t>Recip_2D-9R</t>
        </is>
      </c>
    </row>
    <row r="1529">
      <c r="A1529" t="inlineStr">
        <is>
          <t>COPELAND</t>
        </is>
      </c>
      <c r="B1529" t="inlineStr">
        <is>
          <t>6DL3-270E-TSK</t>
        </is>
      </c>
      <c r="D1529" t="inlineStr">
        <is>
          <t>Reciprocating Semi-hermetic</t>
        </is>
      </c>
      <c r="E1529" s="2" t="n">
        <v>3</v>
      </c>
      <c r="F1529" s="2" t="n">
        <v>60</v>
      </c>
      <c r="G1529" s="2" t="n">
        <v>230</v>
      </c>
      <c r="H1529" t="inlineStr">
        <is>
          <t>208/230</t>
        </is>
      </c>
      <c r="I1529" s="2" t="n">
        <v>208</v>
      </c>
      <c r="J1529" s="2" t="n">
        <v>230</v>
      </c>
      <c r="L1529" s="3" t="n"/>
      <c r="M1529" s="3" t="n"/>
      <c r="N1529" s="3" t="n">
        <v>80.7</v>
      </c>
      <c r="O1529" s="3" t="n"/>
      <c r="P1529" s="3">
        <f>IF(L1529&lt;&gt;"",L1529/1.4,"")</f>
        <v/>
      </c>
      <c r="Q1529" s="3">
        <f>IF(L1529&lt;&gt;"",L1529/1.56,"")</f>
        <v/>
      </c>
      <c r="R1529" s="3">
        <f>IF(M1529&lt;&gt;"",M1529/1.4,"")</f>
        <v/>
      </c>
      <c r="S1529" s="3">
        <f>IF(M1529&lt;&gt;"",M1529/1.56,"")</f>
        <v/>
      </c>
      <c r="T1529" s="3">
        <f>IF(N1529&lt;&gt;"",N1529,IF(O1529&lt;&gt;"",O1529,IF(L1529&lt;&gt;"",L1529/1.56,IF(M1529&lt;&gt;"",M1529/1.56,""))))</f>
        <v/>
      </c>
      <c r="U1529" s="3" t="n">
        <v>450</v>
      </c>
      <c r="V1529" s="3" t="n">
        <v>263</v>
      </c>
      <c r="W1529" s="3" t="n"/>
      <c r="X1529" s="4" t="n"/>
      <c r="Y1529" s="5" t="n">
        <v>0.114</v>
      </c>
      <c r="Z1529" s="4">
        <f>IF(L1529&lt;&gt;"",SQRT(3)*G1529*L1529/1000,"")</f>
        <v/>
      </c>
      <c r="AA1529" t="inlineStr">
        <is>
          <t>Source=Copeland 2D/3D/4D/4R/6D/8D/9R compressors (pdf) p76; PWS_RLA=40.4</t>
        </is>
      </c>
      <c r="AB1529" t="inlineStr">
        <is>
          <t>Copeland_RLA_230_460_3ph_60Hz.xlsx</t>
        </is>
      </c>
      <c r="AC1529" t="inlineStr">
        <is>
          <t>Recip_2D-9R</t>
        </is>
      </c>
    </row>
    <row r="1530">
      <c r="A1530" t="inlineStr">
        <is>
          <t>COPELAND</t>
        </is>
      </c>
      <c r="B1530" t="inlineStr">
        <is>
          <t>6DL3-270E-TSK</t>
        </is>
      </c>
      <c r="D1530" t="inlineStr">
        <is>
          <t>Reciprocating Semi-hermetic</t>
        </is>
      </c>
      <c r="E1530" s="2" t="n">
        <v>3</v>
      </c>
      <c r="F1530" s="2" t="n">
        <v>60</v>
      </c>
      <c r="G1530" s="2" t="n">
        <v>460</v>
      </c>
      <c r="H1530" t="inlineStr">
        <is>
          <t>460</t>
        </is>
      </c>
      <c r="I1530" s="2" t="n">
        <v>460</v>
      </c>
      <c r="J1530" s="2" t="n">
        <v>460</v>
      </c>
      <c r="L1530" s="3" t="n"/>
      <c r="M1530" s="3" t="n"/>
      <c r="N1530" s="3" t="n">
        <v>40.4</v>
      </c>
      <c r="O1530" s="3" t="n"/>
      <c r="P1530" s="3">
        <f>IF(L1530&lt;&gt;"",L1530/1.4,"")</f>
        <v/>
      </c>
      <c r="Q1530" s="3">
        <f>IF(L1530&lt;&gt;"",L1530/1.56,"")</f>
        <v/>
      </c>
      <c r="R1530" s="3">
        <f>IF(M1530&lt;&gt;"",M1530/1.4,"")</f>
        <v/>
      </c>
      <c r="S1530" s="3">
        <f>IF(M1530&lt;&gt;"",M1530/1.56,"")</f>
        <v/>
      </c>
      <c r="T1530" s="3">
        <f>IF(N1530&lt;&gt;"",N1530,IF(O1530&lt;&gt;"",O1530,IF(L1530&lt;&gt;"",L1530/1.56,IF(M1530&lt;&gt;"",M1530/1.56,""))))</f>
        <v/>
      </c>
      <c r="U1530" s="3" t="n">
        <v>225</v>
      </c>
      <c r="V1530" s="3" t="n"/>
      <c r="W1530" s="3" t="n"/>
      <c r="X1530" s="4" t="n"/>
      <c r="Y1530" s="5" t="n">
        <v>0.456</v>
      </c>
      <c r="Z1530" s="4">
        <f>IF(L1530&lt;&gt;"",SQRT(3)*G1530*L1530/1000,"")</f>
        <v/>
      </c>
      <c r="AA1530" t="inlineStr">
        <is>
          <t>Source=Copeland 2D/3D/4D/4R/6D/8D/9R compressors (pdf) p76</t>
        </is>
      </c>
      <c r="AB1530" t="inlineStr">
        <is>
          <t>Copeland_RLA_230_460_3ph_60Hz.xlsx</t>
        </is>
      </c>
      <c r="AC1530" t="inlineStr">
        <is>
          <t>Recip_2D-9R</t>
        </is>
      </c>
    </row>
    <row r="1531">
      <c r="A1531" t="inlineStr">
        <is>
          <t>COPELAND</t>
        </is>
      </c>
      <c r="B1531" t="inlineStr">
        <is>
          <t>6DL3-270L-FSD</t>
        </is>
      </c>
      <c r="D1531" t="inlineStr">
        <is>
          <t>Reciprocating Semi-hermetic</t>
        </is>
      </c>
      <c r="E1531" s="2" t="n">
        <v>3</v>
      </c>
      <c r="F1531" s="2" t="n">
        <v>60</v>
      </c>
      <c r="G1531" s="2" t="n">
        <v>460</v>
      </c>
      <c r="H1531" t="inlineStr">
        <is>
          <t>460</t>
        </is>
      </c>
      <c r="I1531" s="2" t="n">
        <v>460</v>
      </c>
      <c r="J1531" s="2" t="n">
        <v>460</v>
      </c>
      <c r="L1531" s="3" t="n"/>
      <c r="M1531" s="3" t="n"/>
      <c r="N1531" s="3" t="n">
        <v>41.6</v>
      </c>
      <c r="O1531" s="3" t="n"/>
      <c r="P1531" s="3">
        <f>IF(L1531&lt;&gt;"",L1531/1.4,"")</f>
        <v/>
      </c>
      <c r="Q1531" s="3">
        <f>IF(L1531&lt;&gt;"",L1531/1.56,"")</f>
        <v/>
      </c>
      <c r="R1531" s="3">
        <f>IF(M1531&lt;&gt;"",M1531/1.4,"")</f>
        <v/>
      </c>
      <c r="S1531" s="3">
        <f>IF(M1531&lt;&gt;"",M1531/1.56,"")</f>
        <v/>
      </c>
      <c r="T1531" s="3">
        <f>IF(N1531&lt;&gt;"",N1531,IF(O1531&lt;&gt;"",O1531,IF(L1531&lt;&gt;"",L1531/1.56,IF(M1531&lt;&gt;"",M1531/1.56,""))))</f>
        <v/>
      </c>
      <c r="U1531" s="3" t="n">
        <v>218</v>
      </c>
      <c r="V1531" s="3" t="n">
        <v>131</v>
      </c>
      <c r="W1531" s="3" t="n"/>
      <c r="X1531" s="4" t="n"/>
      <c r="Y1531" s="5" t="n">
        <v>0.457</v>
      </c>
      <c r="Z1531" s="4">
        <f>IF(L1531&lt;&gt;"",SQRT(3)*G1531*L1531/1000,"")</f>
        <v/>
      </c>
      <c r="AA1531" t="inlineStr">
        <is>
          <t>Source=Copeland 2D/3D/4D/4R/6D/8D/9R compressors (pdf) p76; PWS_RLA=20.8</t>
        </is>
      </c>
      <c r="AB1531" t="inlineStr">
        <is>
          <t>Copeland_RLA_230_460_3ph_60Hz.xlsx</t>
        </is>
      </c>
      <c r="AC1531" t="inlineStr">
        <is>
          <t>Recip_2D-9R</t>
        </is>
      </c>
    </row>
    <row r="1532">
      <c r="A1532" t="inlineStr">
        <is>
          <t>COPELAND</t>
        </is>
      </c>
      <c r="B1532" t="inlineStr">
        <is>
          <t>6DL3-270L-TSK</t>
        </is>
      </c>
      <c r="D1532" t="inlineStr">
        <is>
          <t>Reciprocating Semi-hermetic</t>
        </is>
      </c>
      <c r="E1532" s="2" t="n">
        <v>3</v>
      </c>
      <c r="F1532" s="2" t="n">
        <v>60</v>
      </c>
      <c r="G1532" s="2" t="n">
        <v>230</v>
      </c>
      <c r="H1532" t="inlineStr">
        <is>
          <t>208/230</t>
        </is>
      </c>
      <c r="I1532" s="2" t="n">
        <v>208</v>
      </c>
      <c r="J1532" s="2" t="n">
        <v>230</v>
      </c>
      <c r="L1532" s="3" t="n"/>
      <c r="M1532" s="3" t="n"/>
      <c r="N1532" s="3" t="n">
        <v>80.7</v>
      </c>
      <c r="O1532" s="3" t="n"/>
      <c r="P1532" s="3">
        <f>IF(L1532&lt;&gt;"",L1532/1.4,"")</f>
        <v/>
      </c>
      <c r="Q1532" s="3">
        <f>IF(L1532&lt;&gt;"",L1532/1.56,"")</f>
        <v/>
      </c>
      <c r="R1532" s="3">
        <f>IF(M1532&lt;&gt;"",M1532/1.4,"")</f>
        <v/>
      </c>
      <c r="S1532" s="3">
        <f>IF(M1532&lt;&gt;"",M1532/1.56,"")</f>
        <v/>
      </c>
      <c r="T1532" s="3">
        <f>IF(N1532&lt;&gt;"",N1532,IF(O1532&lt;&gt;"",O1532,IF(L1532&lt;&gt;"",L1532/1.56,IF(M1532&lt;&gt;"",M1532/1.56,""))))</f>
        <v/>
      </c>
      <c r="U1532" s="3" t="n">
        <v>450</v>
      </c>
      <c r="V1532" s="3" t="n">
        <v>263</v>
      </c>
      <c r="W1532" s="3" t="n"/>
      <c r="X1532" s="4" t="n"/>
      <c r="Y1532" s="5" t="n">
        <v>0.114</v>
      </c>
      <c r="Z1532" s="4">
        <f>IF(L1532&lt;&gt;"",SQRT(3)*G1532*L1532/1000,"")</f>
        <v/>
      </c>
      <c r="AA1532" t="inlineStr">
        <is>
          <t>Source=Copeland 2D/3D/4D/4R/6D/8D/9R compressors (pdf) p76; PWS_RLA=40.4</t>
        </is>
      </c>
      <c r="AB1532" t="inlineStr">
        <is>
          <t>Copeland_RLA_230_460_3ph_60Hz.xlsx</t>
        </is>
      </c>
      <c r="AC1532" t="inlineStr">
        <is>
          <t>Recip_2D-9R</t>
        </is>
      </c>
    </row>
    <row r="1533">
      <c r="A1533" t="inlineStr">
        <is>
          <t>COPELAND</t>
        </is>
      </c>
      <c r="B1533" t="inlineStr">
        <is>
          <t>6DL3-270L-TSK</t>
        </is>
      </c>
      <c r="D1533" t="inlineStr">
        <is>
          <t>Reciprocating Semi-hermetic</t>
        </is>
      </c>
      <c r="E1533" s="2" t="n">
        <v>3</v>
      </c>
      <c r="F1533" s="2" t="n">
        <v>60</v>
      </c>
      <c r="G1533" s="2" t="n">
        <v>460</v>
      </c>
      <c r="H1533" t="inlineStr">
        <is>
          <t>460</t>
        </is>
      </c>
      <c r="I1533" s="2" t="n">
        <v>460</v>
      </c>
      <c r="J1533" s="2" t="n">
        <v>460</v>
      </c>
      <c r="L1533" s="3" t="n"/>
      <c r="M1533" s="3" t="n"/>
      <c r="N1533" s="3" t="n">
        <v>40.4</v>
      </c>
      <c r="O1533" s="3" t="n"/>
      <c r="P1533" s="3">
        <f>IF(L1533&lt;&gt;"",L1533/1.4,"")</f>
        <v/>
      </c>
      <c r="Q1533" s="3">
        <f>IF(L1533&lt;&gt;"",L1533/1.56,"")</f>
        <v/>
      </c>
      <c r="R1533" s="3">
        <f>IF(M1533&lt;&gt;"",M1533/1.4,"")</f>
        <v/>
      </c>
      <c r="S1533" s="3">
        <f>IF(M1533&lt;&gt;"",M1533/1.56,"")</f>
        <v/>
      </c>
      <c r="T1533" s="3">
        <f>IF(N1533&lt;&gt;"",N1533,IF(O1533&lt;&gt;"",O1533,IF(L1533&lt;&gt;"",L1533/1.56,IF(M1533&lt;&gt;"",M1533/1.56,""))))</f>
        <v/>
      </c>
      <c r="U1533" s="3" t="n">
        <v>225</v>
      </c>
      <c r="V1533" s="3" t="n"/>
      <c r="W1533" s="3" t="n"/>
      <c r="X1533" s="4" t="n"/>
      <c r="Y1533" s="5" t="n">
        <v>0.456</v>
      </c>
      <c r="Z1533" s="4">
        <f>IF(L1533&lt;&gt;"",SQRT(3)*G1533*L1533/1000,"")</f>
        <v/>
      </c>
      <c r="AA1533" t="inlineStr">
        <is>
          <t>Source=Copeland 2D/3D/4D/4R/6D/8D/9R compressors (pdf) p76</t>
        </is>
      </c>
      <c r="AB1533" t="inlineStr">
        <is>
          <t>Copeland_RLA_230_460_3ph_60Hz.xlsx</t>
        </is>
      </c>
      <c r="AC1533" t="inlineStr">
        <is>
          <t>Recip_2D-9R</t>
        </is>
      </c>
    </row>
    <row r="1534">
      <c r="A1534" t="inlineStr">
        <is>
          <t>COPELAND</t>
        </is>
      </c>
      <c r="B1534" t="inlineStr">
        <is>
          <t>6DL3A2700-FSD</t>
        </is>
      </c>
      <c r="D1534" t="inlineStr">
        <is>
          <t>Reciprocating Semi-hermetic</t>
        </is>
      </c>
      <c r="E1534" s="2" t="n">
        <v>3</v>
      </c>
      <c r="F1534" s="2" t="n">
        <v>60</v>
      </c>
      <c r="G1534" s="2" t="n">
        <v>460</v>
      </c>
      <c r="H1534" t="inlineStr">
        <is>
          <t>460</t>
        </is>
      </c>
      <c r="I1534" s="2" t="n">
        <v>460</v>
      </c>
      <c r="J1534" s="2" t="n">
        <v>460</v>
      </c>
      <c r="L1534" s="3" t="n"/>
      <c r="M1534" s="3" t="n"/>
      <c r="N1534" s="3" t="n">
        <v>41.6</v>
      </c>
      <c r="O1534" s="3" t="n"/>
      <c r="P1534" s="3">
        <f>IF(L1534&lt;&gt;"",L1534/1.4,"")</f>
        <v/>
      </c>
      <c r="Q1534" s="3">
        <f>IF(L1534&lt;&gt;"",L1534/1.56,"")</f>
        <v/>
      </c>
      <c r="R1534" s="3">
        <f>IF(M1534&lt;&gt;"",M1534/1.4,"")</f>
        <v/>
      </c>
      <c r="S1534" s="3">
        <f>IF(M1534&lt;&gt;"",M1534/1.56,"")</f>
        <v/>
      </c>
      <c r="T1534" s="3">
        <f>IF(N1534&lt;&gt;"",N1534,IF(O1534&lt;&gt;"",O1534,IF(L1534&lt;&gt;"",L1534/1.56,IF(M1534&lt;&gt;"",M1534/1.56,""))))</f>
        <v/>
      </c>
      <c r="U1534" s="3" t="n">
        <v>218</v>
      </c>
      <c r="V1534" s="3" t="n">
        <v>131</v>
      </c>
      <c r="W1534" s="3" t="n"/>
      <c r="X1534" s="4" t="n"/>
      <c r="Y1534" s="5" t="n">
        <v>0.457</v>
      </c>
      <c r="Z1534" s="4">
        <f>IF(L1534&lt;&gt;"",SQRT(3)*G1534*L1534/1000,"")</f>
        <v/>
      </c>
      <c r="AA1534" t="inlineStr">
        <is>
          <t>Source=Copeland 2D/3D/4D/4R/6D/8D/9R compressors (pdf) p76; PWS_RLA=20.8</t>
        </is>
      </c>
      <c r="AB1534" t="inlineStr">
        <is>
          <t>Copeland_RLA_230_460_3ph_60Hz.xlsx</t>
        </is>
      </c>
      <c r="AC1534" t="inlineStr">
        <is>
          <t>Recip_2D-9R</t>
        </is>
      </c>
    </row>
    <row r="1535">
      <c r="A1535" t="inlineStr">
        <is>
          <t>COPELAND</t>
        </is>
      </c>
      <c r="B1535" t="inlineStr">
        <is>
          <t>6DL3A2700-TSK</t>
        </is>
      </c>
      <c r="D1535" t="inlineStr">
        <is>
          <t>Reciprocating Semi-hermetic</t>
        </is>
      </c>
      <c r="E1535" s="2" t="n">
        <v>3</v>
      </c>
      <c r="F1535" s="2" t="n">
        <v>60</v>
      </c>
      <c r="G1535" s="2" t="n">
        <v>230</v>
      </c>
      <c r="H1535" t="inlineStr">
        <is>
          <t>208/230</t>
        </is>
      </c>
      <c r="I1535" s="2" t="n">
        <v>208</v>
      </c>
      <c r="J1535" s="2" t="n">
        <v>230</v>
      </c>
      <c r="L1535" s="3" t="n"/>
      <c r="M1535" s="3" t="n"/>
      <c r="N1535" s="3" t="n">
        <v>80.7</v>
      </c>
      <c r="O1535" s="3" t="n"/>
      <c r="P1535" s="3">
        <f>IF(L1535&lt;&gt;"",L1535/1.4,"")</f>
        <v/>
      </c>
      <c r="Q1535" s="3">
        <f>IF(L1535&lt;&gt;"",L1535/1.56,"")</f>
        <v/>
      </c>
      <c r="R1535" s="3">
        <f>IF(M1535&lt;&gt;"",M1535/1.4,"")</f>
        <v/>
      </c>
      <c r="S1535" s="3">
        <f>IF(M1535&lt;&gt;"",M1535/1.56,"")</f>
        <v/>
      </c>
      <c r="T1535" s="3">
        <f>IF(N1535&lt;&gt;"",N1535,IF(O1535&lt;&gt;"",O1535,IF(L1535&lt;&gt;"",L1535/1.56,IF(M1535&lt;&gt;"",M1535/1.56,""))))</f>
        <v/>
      </c>
      <c r="U1535" s="3" t="n">
        <v>450</v>
      </c>
      <c r="V1535" s="3" t="n">
        <v>263</v>
      </c>
      <c r="W1535" s="3" t="n"/>
      <c r="X1535" s="4" t="n"/>
      <c r="Y1535" s="5" t="n">
        <v>0.114</v>
      </c>
      <c r="Z1535" s="4">
        <f>IF(L1535&lt;&gt;"",SQRT(3)*G1535*L1535/1000,"")</f>
        <v/>
      </c>
      <c r="AA1535" t="inlineStr">
        <is>
          <t>Source=Copeland 2D/3D/4D/4R/6D/8D/9R compressors (pdf) p76; PWS_RLA=40.4</t>
        </is>
      </c>
      <c r="AB1535" t="inlineStr">
        <is>
          <t>Copeland_RLA_230_460_3ph_60Hz.xlsx</t>
        </is>
      </c>
      <c r="AC1535" t="inlineStr">
        <is>
          <t>Recip_2D-9R</t>
        </is>
      </c>
    </row>
    <row r="1536">
      <c r="A1536" t="inlineStr">
        <is>
          <t>COPELAND</t>
        </is>
      </c>
      <c r="B1536" t="inlineStr">
        <is>
          <t>6DL3A2700-TSK</t>
        </is>
      </c>
      <c r="D1536" t="inlineStr">
        <is>
          <t>Reciprocating Semi-hermetic</t>
        </is>
      </c>
      <c r="E1536" s="2" t="n">
        <v>3</v>
      </c>
      <c r="F1536" s="2" t="n">
        <v>60</v>
      </c>
      <c r="G1536" s="2" t="n">
        <v>460</v>
      </c>
      <c r="H1536" t="inlineStr">
        <is>
          <t>460</t>
        </is>
      </c>
      <c r="I1536" s="2" t="n">
        <v>460</v>
      </c>
      <c r="J1536" s="2" t="n">
        <v>460</v>
      </c>
      <c r="L1536" s="3" t="n"/>
      <c r="M1536" s="3" t="n"/>
      <c r="N1536" s="3" t="n">
        <v>40.4</v>
      </c>
      <c r="O1536" s="3" t="n"/>
      <c r="P1536" s="3">
        <f>IF(L1536&lt;&gt;"",L1536/1.4,"")</f>
        <v/>
      </c>
      <c r="Q1536" s="3">
        <f>IF(L1536&lt;&gt;"",L1536/1.56,"")</f>
        <v/>
      </c>
      <c r="R1536" s="3">
        <f>IF(M1536&lt;&gt;"",M1536/1.4,"")</f>
        <v/>
      </c>
      <c r="S1536" s="3">
        <f>IF(M1536&lt;&gt;"",M1536/1.56,"")</f>
        <v/>
      </c>
      <c r="T1536" s="3">
        <f>IF(N1536&lt;&gt;"",N1536,IF(O1536&lt;&gt;"",O1536,IF(L1536&lt;&gt;"",L1536/1.56,IF(M1536&lt;&gt;"",M1536/1.56,""))))</f>
        <v/>
      </c>
      <c r="U1536" s="3" t="n">
        <v>225</v>
      </c>
      <c r="V1536" s="3" t="n"/>
      <c r="W1536" s="3" t="n"/>
      <c r="X1536" s="4" t="n"/>
      <c r="Y1536" s="5" t="n">
        <v>0.456</v>
      </c>
      <c r="Z1536" s="4">
        <f>IF(L1536&lt;&gt;"",SQRT(3)*G1536*L1536/1000,"")</f>
        <v/>
      </c>
      <c r="AA1536" t="inlineStr">
        <is>
          <t>Source=Copeland 2D/3D/4D/4R/6D/8D/9R compressors (pdf) p76</t>
        </is>
      </c>
      <c r="AB1536" t="inlineStr">
        <is>
          <t>Copeland_RLA_230_460_3ph_60Hz.xlsx</t>
        </is>
      </c>
      <c r="AC1536" t="inlineStr">
        <is>
          <t>Recip_2D-9R</t>
        </is>
      </c>
    </row>
    <row r="1537">
      <c r="A1537" t="inlineStr">
        <is>
          <t>COPELAND</t>
        </is>
      </c>
      <c r="B1537" t="inlineStr">
        <is>
          <t>6DL3A270E-FSD</t>
        </is>
      </c>
      <c r="D1537" t="inlineStr">
        <is>
          <t>Reciprocating Semi-hermetic</t>
        </is>
      </c>
      <c r="E1537" s="2" t="n">
        <v>3</v>
      </c>
      <c r="F1537" s="2" t="n">
        <v>60</v>
      </c>
      <c r="G1537" s="2" t="n">
        <v>460</v>
      </c>
      <c r="H1537" t="inlineStr">
        <is>
          <t>460</t>
        </is>
      </c>
      <c r="I1537" s="2" t="n">
        <v>460</v>
      </c>
      <c r="J1537" s="2" t="n">
        <v>460</v>
      </c>
      <c r="L1537" s="3" t="n"/>
      <c r="M1537" s="3" t="n"/>
      <c r="N1537" s="3" t="n">
        <v>41.6</v>
      </c>
      <c r="O1537" s="3" t="n"/>
      <c r="P1537" s="3">
        <f>IF(L1537&lt;&gt;"",L1537/1.4,"")</f>
        <v/>
      </c>
      <c r="Q1537" s="3">
        <f>IF(L1537&lt;&gt;"",L1537/1.56,"")</f>
        <v/>
      </c>
      <c r="R1537" s="3">
        <f>IF(M1537&lt;&gt;"",M1537/1.4,"")</f>
        <v/>
      </c>
      <c r="S1537" s="3">
        <f>IF(M1537&lt;&gt;"",M1537/1.56,"")</f>
        <v/>
      </c>
      <c r="T1537" s="3">
        <f>IF(N1537&lt;&gt;"",N1537,IF(O1537&lt;&gt;"",O1537,IF(L1537&lt;&gt;"",L1537/1.56,IF(M1537&lt;&gt;"",M1537/1.56,""))))</f>
        <v/>
      </c>
      <c r="U1537" s="3" t="n">
        <v>218</v>
      </c>
      <c r="V1537" s="3" t="n">
        <v>131</v>
      </c>
      <c r="W1537" s="3" t="n"/>
      <c r="X1537" s="4" t="n"/>
      <c r="Y1537" s="5" t="n">
        <v>0.457</v>
      </c>
      <c r="Z1537" s="4">
        <f>IF(L1537&lt;&gt;"",SQRT(3)*G1537*L1537/1000,"")</f>
        <v/>
      </c>
      <c r="AA1537" t="inlineStr">
        <is>
          <t>Source=Copeland 2D/3D/4D/4R/6D/8D/9R compressors (pdf) p76; PWS_RLA=20.8</t>
        </is>
      </c>
      <c r="AB1537" t="inlineStr">
        <is>
          <t>Copeland_RLA_230_460_3ph_60Hz.xlsx</t>
        </is>
      </c>
      <c r="AC1537" t="inlineStr">
        <is>
          <t>Recip_2D-9R</t>
        </is>
      </c>
    </row>
    <row r="1538">
      <c r="A1538" t="inlineStr">
        <is>
          <t>COPELAND</t>
        </is>
      </c>
      <c r="B1538" t="inlineStr">
        <is>
          <t>6DL3A270E-TSK</t>
        </is>
      </c>
      <c r="D1538" t="inlineStr">
        <is>
          <t>Reciprocating Semi-hermetic</t>
        </is>
      </c>
      <c r="E1538" s="2" t="n">
        <v>3</v>
      </c>
      <c r="F1538" s="2" t="n">
        <v>60</v>
      </c>
      <c r="G1538" s="2" t="n">
        <v>230</v>
      </c>
      <c r="H1538" t="inlineStr">
        <is>
          <t>208/230</t>
        </is>
      </c>
      <c r="I1538" s="2" t="n">
        <v>208</v>
      </c>
      <c r="J1538" s="2" t="n">
        <v>230</v>
      </c>
      <c r="L1538" s="3" t="n"/>
      <c r="M1538" s="3" t="n"/>
      <c r="N1538" s="3" t="n">
        <v>80.7</v>
      </c>
      <c r="O1538" s="3" t="n"/>
      <c r="P1538" s="3">
        <f>IF(L1538&lt;&gt;"",L1538/1.4,"")</f>
        <v/>
      </c>
      <c r="Q1538" s="3">
        <f>IF(L1538&lt;&gt;"",L1538/1.56,"")</f>
        <v/>
      </c>
      <c r="R1538" s="3">
        <f>IF(M1538&lt;&gt;"",M1538/1.4,"")</f>
        <v/>
      </c>
      <c r="S1538" s="3">
        <f>IF(M1538&lt;&gt;"",M1538/1.56,"")</f>
        <v/>
      </c>
      <c r="T1538" s="3">
        <f>IF(N1538&lt;&gt;"",N1538,IF(O1538&lt;&gt;"",O1538,IF(L1538&lt;&gt;"",L1538/1.56,IF(M1538&lt;&gt;"",M1538/1.56,""))))</f>
        <v/>
      </c>
      <c r="U1538" s="3" t="n">
        <v>450</v>
      </c>
      <c r="V1538" s="3" t="n">
        <v>263</v>
      </c>
      <c r="W1538" s="3" t="n"/>
      <c r="X1538" s="4" t="n"/>
      <c r="Y1538" s="5" t="n">
        <v>0.114</v>
      </c>
      <c r="Z1538" s="4">
        <f>IF(L1538&lt;&gt;"",SQRT(3)*G1538*L1538/1000,"")</f>
        <v/>
      </c>
      <c r="AA1538" t="inlineStr">
        <is>
          <t>Source=Copeland 2D/3D/4D/4R/6D/8D/9R compressors (pdf) p76; PWS_RLA=40.4</t>
        </is>
      </c>
      <c r="AB1538" t="inlineStr">
        <is>
          <t>Copeland_RLA_230_460_3ph_60Hz.xlsx</t>
        </is>
      </c>
      <c r="AC1538" t="inlineStr">
        <is>
          <t>Recip_2D-9R</t>
        </is>
      </c>
    </row>
    <row r="1539">
      <c r="A1539" t="inlineStr">
        <is>
          <t>COPELAND</t>
        </is>
      </c>
      <c r="B1539" t="inlineStr">
        <is>
          <t>6DL3A270E-TSK</t>
        </is>
      </c>
      <c r="D1539" t="inlineStr">
        <is>
          <t>Reciprocating Semi-hermetic</t>
        </is>
      </c>
      <c r="E1539" s="2" t="n">
        <v>3</v>
      </c>
      <c r="F1539" s="2" t="n">
        <v>60</v>
      </c>
      <c r="G1539" s="2" t="n">
        <v>460</v>
      </c>
      <c r="H1539" t="inlineStr">
        <is>
          <t>460</t>
        </is>
      </c>
      <c r="I1539" s="2" t="n">
        <v>460</v>
      </c>
      <c r="J1539" s="2" t="n">
        <v>460</v>
      </c>
      <c r="L1539" s="3" t="n"/>
      <c r="M1539" s="3" t="n"/>
      <c r="N1539" s="3" t="n">
        <v>40.4</v>
      </c>
      <c r="O1539" s="3" t="n"/>
      <c r="P1539" s="3">
        <f>IF(L1539&lt;&gt;"",L1539/1.4,"")</f>
        <v/>
      </c>
      <c r="Q1539" s="3">
        <f>IF(L1539&lt;&gt;"",L1539/1.56,"")</f>
        <v/>
      </c>
      <c r="R1539" s="3">
        <f>IF(M1539&lt;&gt;"",M1539/1.4,"")</f>
        <v/>
      </c>
      <c r="S1539" s="3">
        <f>IF(M1539&lt;&gt;"",M1539/1.56,"")</f>
        <v/>
      </c>
      <c r="T1539" s="3">
        <f>IF(N1539&lt;&gt;"",N1539,IF(O1539&lt;&gt;"",O1539,IF(L1539&lt;&gt;"",L1539/1.56,IF(M1539&lt;&gt;"",M1539/1.56,""))))</f>
        <v/>
      </c>
      <c r="U1539" s="3" t="n">
        <v>225</v>
      </c>
      <c r="V1539" s="3" t="n"/>
      <c r="W1539" s="3" t="n"/>
      <c r="X1539" s="4" t="n"/>
      <c r="Y1539" s="5" t="n">
        <v>0.456</v>
      </c>
      <c r="Z1539" s="4">
        <f>IF(L1539&lt;&gt;"",SQRT(3)*G1539*L1539/1000,"")</f>
        <v/>
      </c>
      <c r="AA1539" t="inlineStr">
        <is>
          <t>Source=Copeland 2D/3D/4D/4R/6D/8D/9R compressors (pdf) p76</t>
        </is>
      </c>
      <c r="AB1539" t="inlineStr">
        <is>
          <t>Copeland_RLA_230_460_3ph_60Hz.xlsx</t>
        </is>
      </c>
      <c r="AC1539" t="inlineStr">
        <is>
          <t>Recip_2D-9R</t>
        </is>
      </c>
    </row>
    <row r="1540">
      <c r="A1540" t="inlineStr">
        <is>
          <t>COPELAND</t>
        </is>
      </c>
      <c r="B1540" t="inlineStr">
        <is>
          <t>6DL3A270L-FSD</t>
        </is>
      </c>
      <c r="D1540" t="inlineStr">
        <is>
          <t>Reciprocating Semi-hermetic</t>
        </is>
      </c>
      <c r="E1540" s="2" t="n">
        <v>3</v>
      </c>
      <c r="F1540" s="2" t="n">
        <v>60</v>
      </c>
      <c r="G1540" s="2" t="n">
        <v>460</v>
      </c>
      <c r="H1540" t="inlineStr">
        <is>
          <t>460</t>
        </is>
      </c>
      <c r="I1540" s="2" t="n">
        <v>460</v>
      </c>
      <c r="J1540" s="2" t="n">
        <v>460</v>
      </c>
      <c r="L1540" s="3" t="n"/>
      <c r="M1540" s="3" t="n"/>
      <c r="N1540" s="3" t="n">
        <v>41.6</v>
      </c>
      <c r="O1540" s="3" t="n"/>
      <c r="P1540" s="3">
        <f>IF(L1540&lt;&gt;"",L1540/1.4,"")</f>
        <v/>
      </c>
      <c r="Q1540" s="3">
        <f>IF(L1540&lt;&gt;"",L1540/1.56,"")</f>
        <v/>
      </c>
      <c r="R1540" s="3">
        <f>IF(M1540&lt;&gt;"",M1540/1.4,"")</f>
        <v/>
      </c>
      <c r="S1540" s="3">
        <f>IF(M1540&lt;&gt;"",M1540/1.56,"")</f>
        <v/>
      </c>
      <c r="T1540" s="3">
        <f>IF(N1540&lt;&gt;"",N1540,IF(O1540&lt;&gt;"",O1540,IF(L1540&lt;&gt;"",L1540/1.56,IF(M1540&lt;&gt;"",M1540/1.56,""))))</f>
        <v/>
      </c>
      <c r="U1540" s="3" t="n">
        <v>218</v>
      </c>
      <c r="V1540" s="3" t="n">
        <v>131</v>
      </c>
      <c r="W1540" s="3" t="n"/>
      <c r="X1540" s="4" t="n"/>
      <c r="Y1540" s="5" t="n">
        <v>0.457</v>
      </c>
      <c r="Z1540" s="4">
        <f>IF(L1540&lt;&gt;"",SQRT(3)*G1540*L1540/1000,"")</f>
        <v/>
      </c>
      <c r="AA1540" t="inlineStr">
        <is>
          <t>Source=Copeland 2D/3D/4D/4R/6D/8D/9R compressors (pdf) p76; PWS_RLA=20.8</t>
        </is>
      </c>
      <c r="AB1540" t="inlineStr">
        <is>
          <t>Copeland_RLA_230_460_3ph_60Hz.xlsx</t>
        </is>
      </c>
      <c r="AC1540" t="inlineStr">
        <is>
          <t>Recip_2D-9R</t>
        </is>
      </c>
    </row>
    <row r="1541">
      <c r="A1541" t="inlineStr">
        <is>
          <t>COPELAND</t>
        </is>
      </c>
      <c r="B1541" t="inlineStr">
        <is>
          <t>6DL3A270L-TSK</t>
        </is>
      </c>
      <c r="D1541" t="inlineStr">
        <is>
          <t>Reciprocating Semi-hermetic</t>
        </is>
      </c>
      <c r="E1541" s="2" t="n">
        <v>3</v>
      </c>
      <c r="F1541" s="2" t="n">
        <v>60</v>
      </c>
      <c r="G1541" s="2" t="n">
        <v>230</v>
      </c>
      <c r="H1541" t="inlineStr">
        <is>
          <t>208/230</t>
        </is>
      </c>
      <c r="I1541" s="2" t="n">
        <v>208</v>
      </c>
      <c r="J1541" s="2" t="n">
        <v>230</v>
      </c>
      <c r="L1541" s="3" t="n"/>
      <c r="M1541" s="3" t="n"/>
      <c r="N1541" s="3" t="n">
        <v>80.7</v>
      </c>
      <c r="O1541" s="3" t="n"/>
      <c r="P1541" s="3">
        <f>IF(L1541&lt;&gt;"",L1541/1.4,"")</f>
        <v/>
      </c>
      <c r="Q1541" s="3">
        <f>IF(L1541&lt;&gt;"",L1541/1.56,"")</f>
        <v/>
      </c>
      <c r="R1541" s="3">
        <f>IF(M1541&lt;&gt;"",M1541/1.4,"")</f>
        <v/>
      </c>
      <c r="S1541" s="3">
        <f>IF(M1541&lt;&gt;"",M1541/1.56,"")</f>
        <v/>
      </c>
      <c r="T1541" s="3">
        <f>IF(N1541&lt;&gt;"",N1541,IF(O1541&lt;&gt;"",O1541,IF(L1541&lt;&gt;"",L1541/1.56,IF(M1541&lt;&gt;"",M1541/1.56,""))))</f>
        <v/>
      </c>
      <c r="U1541" s="3" t="n">
        <v>450</v>
      </c>
      <c r="V1541" s="3" t="n">
        <v>263</v>
      </c>
      <c r="W1541" s="3" t="n"/>
      <c r="X1541" s="4" t="n"/>
      <c r="Y1541" s="5" t="n">
        <v>0.114</v>
      </c>
      <c r="Z1541" s="4">
        <f>IF(L1541&lt;&gt;"",SQRT(3)*G1541*L1541/1000,"")</f>
        <v/>
      </c>
      <c r="AA1541" t="inlineStr">
        <is>
          <t>Source=Copeland 2D/3D/4D/4R/6D/8D/9R compressors (pdf) p77; PWS_RLA=40.4</t>
        </is>
      </c>
      <c r="AB1541" t="inlineStr">
        <is>
          <t>Copeland_RLA_230_460_3ph_60Hz.xlsx</t>
        </is>
      </c>
      <c r="AC1541" t="inlineStr">
        <is>
          <t>Recip_2D-9R</t>
        </is>
      </c>
    </row>
    <row r="1542">
      <c r="A1542" t="inlineStr">
        <is>
          <t>COPELAND</t>
        </is>
      </c>
      <c r="B1542" t="inlineStr">
        <is>
          <t>6DL3A270L-TSK</t>
        </is>
      </c>
      <c r="D1542" t="inlineStr">
        <is>
          <t>Reciprocating Semi-hermetic</t>
        </is>
      </c>
      <c r="E1542" s="2" t="n">
        <v>3</v>
      </c>
      <c r="F1542" s="2" t="n">
        <v>60</v>
      </c>
      <c r="G1542" s="2" t="n">
        <v>460</v>
      </c>
      <c r="H1542" t="inlineStr">
        <is>
          <t>460</t>
        </is>
      </c>
      <c r="I1542" s="2" t="n">
        <v>460</v>
      </c>
      <c r="J1542" s="2" t="n">
        <v>460</v>
      </c>
      <c r="L1542" s="3" t="n"/>
      <c r="M1542" s="3" t="n"/>
      <c r="N1542" s="3" t="n">
        <v>40.4</v>
      </c>
      <c r="O1542" s="3" t="n"/>
      <c r="P1542" s="3">
        <f>IF(L1542&lt;&gt;"",L1542/1.4,"")</f>
        <v/>
      </c>
      <c r="Q1542" s="3">
        <f>IF(L1542&lt;&gt;"",L1542/1.56,"")</f>
        <v/>
      </c>
      <c r="R1542" s="3">
        <f>IF(M1542&lt;&gt;"",M1542/1.4,"")</f>
        <v/>
      </c>
      <c r="S1542" s="3">
        <f>IF(M1542&lt;&gt;"",M1542/1.56,"")</f>
        <v/>
      </c>
      <c r="T1542" s="3">
        <f>IF(N1542&lt;&gt;"",N1542,IF(O1542&lt;&gt;"",O1542,IF(L1542&lt;&gt;"",L1542/1.56,IF(M1542&lt;&gt;"",M1542/1.56,""))))</f>
        <v/>
      </c>
      <c r="U1542" s="3" t="n">
        <v>225</v>
      </c>
      <c r="V1542" s="3" t="n"/>
      <c r="W1542" s="3" t="n"/>
      <c r="X1542" s="4" t="n"/>
      <c r="Y1542" s="5" t="n">
        <v>0.456</v>
      </c>
      <c r="Z1542" s="4">
        <f>IF(L1542&lt;&gt;"",SQRT(3)*G1542*L1542/1000,"")</f>
        <v/>
      </c>
      <c r="AA1542" t="inlineStr">
        <is>
          <t>Source=Copeland 2D/3D/4D/4R/6D/8D/9R compressors (pdf) p77</t>
        </is>
      </c>
      <c r="AB1542" t="inlineStr">
        <is>
          <t>Copeland_RLA_230_460_3ph_60Hz.xlsx</t>
        </is>
      </c>
      <c r="AC1542" t="inlineStr">
        <is>
          <t>Recip_2D-9R</t>
        </is>
      </c>
    </row>
    <row r="1543">
      <c r="A1543" t="inlineStr">
        <is>
          <t>COPELAND</t>
        </is>
      </c>
      <c r="B1543" t="inlineStr">
        <is>
          <t>6DL3F93K0-FSD</t>
        </is>
      </c>
      <c r="D1543" t="inlineStr">
        <is>
          <t>Reciprocating Semi-hermetic</t>
        </is>
      </c>
      <c r="E1543" s="2" t="n">
        <v>3</v>
      </c>
      <c r="F1543" s="2" t="n">
        <v>60</v>
      </c>
      <c r="G1543" s="2" t="n">
        <v>460</v>
      </c>
      <c r="H1543" t="inlineStr">
        <is>
          <t>460</t>
        </is>
      </c>
      <c r="I1543" s="2" t="n">
        <v>460</v>
      </c>
      <c r="J1543" s="2" t="n">
        <v>460</v>
      </c>
      <c r="L1543" s="3" t="n"/>
      <c r="M1543" s="3" t="n"/>
      <c r="N1543" s="3" t="n">
        <v>41.6</v>
      </c>
      <c r="O1543" s="3" t="n"/>
      <c r="P1543" s="3">
        <f>IF(L1543&lt;&gt;"",L1543/1.4,"")</f>
        <v/>
      </c>
      <c r="Q1543" s="3">
        <f>IF(L1543&lt;&gt;"",L1543/1.56,"")</f>
        <v/>
      </c>
      <c r="R1543" s="3">
        <f>IF(M1543&lt;&gt;"",M1543/1.4,"")</f>
        <v/>
      </c>
      <c r="S1543" s="3">
        <f>IF(M1543&lt;&gt;"",M1543/1.56,"")</f>
        <v/>
      </c>
      <c r="T1543" s="3">
        <f>IF(N1543&lt;&gt;"",N1543,IF(O1543&lt;&gt;"",O1543,IF(L1543&lt;&gt;"",L1543/1.56,IF(M1543&lt;&gt;"",M1543/1.56,""))))</f>
        <v/>
      </c>
      <c r="U1543" s="3" t="n">
        <v>218</v>
      </c>
      <c r="V1543" s="3" t="n">
        <v>131</v>
      </c>
      <c r="W1543" s="3" t="n"/>
      <c r="X1543" s="4" t="n"/>
      <c r="Y1543" s="5" t="n">
        <v>0.457</v>
      </c>
      <c r="Z1543" s="4">
        <f>IF(L1543&lt;&gt;"",SQRT(3)*G1543*L1543/1000,"")</f>
        <v/>
      </c>
      <c r="AA1543" t="inlineStr">
        <is>
          <t>Source=Copeland 2D/3D/4D/4R/6D/8D/9R compressors (pdf) p77; PWS_RLA=20.8</t>
        </is>
      </c>
      <c r="AB1543" t="inlineStr">
        <is>
          <t>Copeland_RLA_230_460_3ph_60Hz.xlsx</t>
        </is>
      </c>
      <c r="AC1543" t="inlineStr">
        <is>
          <t>Recip_2D-9R</t>
        </is>
      </c>
    </row>
    <row r="1544">
      <c r="A1544" t="inlineStr">
        <is>
          <t>COPELAND</t>
        </is>
      </c>
      <c r="B1544" t="inlineStr">
        <is>
          <t>6DL3F93K0-TSK</t>
        </is>
      </c>
      <c r="D1544" t="inlineStr">
        <is>
          <t>Reciprocating Semi-hermetic</t>
        </is>
      </c>
      <c r="E1544" s="2" t="n">
        <v>3</v>
      </c>
      <c r="F1544" s="2" t="n">
        <v>60</v>
      </c>
      <c r="G1544" s="2" t="n">
        <v>230</v>
      </c>
      <c r="H1544" t="inlineStr">
        <is>
          <t>208/230</t>
        </is>
      </c>
      <c r="I1544" s="2" t="n">
        <v>208</v>
      </c>
      <c r="J1544" s="2" t="n">
        <v>230</v>
      </c>
      <c r="L1544" s="3" t="n"/>
      <c r="M1544" s="3" t="n"/>
      <c r="N1544" s="3" t="n">
        <v>80.7</v>
      </c>
      <c r="O1544" s="3" t="n"/>
      <c r="P1544" s="3">
        <f>IF(L1544&lt;&gt;"",L1544/1.4,"")</f>
        <v/>
      </c>
      <c r="Q1544" s="3">
        <f>IF(L1544&lt;&gt;"",L1544/1.56,"")</f>
        <v/>
      </c>
      <c r="R1544" s="3">
        <f>IF(M1544&lt;&gt;"",M1544/1.4,"")</f>
        <v/>
      </c>
      <c r="S1544" s="3">
        <f>IF(M1544&lt;&gt;"",M1544/1.56,"")</f>
        <v/>
      </c>
      <c r="T1544" s="3">
        <f>IF(N1544&lt;&gt;"",N1544,IF(O1544&lt;&gt;"",O1544,IF(L1544&lt;&gt;"",L1544/1.56,IF(M1544&lt;&gt;"",M1544/1.56,""))))</f>
        <v/>
      </c>
      <c r="U1544" s="3" t="n">
        <v>450</v>
      </c>
      <c r="V1544" s="3" t="n">
        <v>263</v>
      </c>
      <c r="W1544" s="3" t="n"/>
      <c r="X1544" s="4" t="n"/>
      <c r="Y1544" s="5" t="n">
        <v>0.114</v>
      </c>
      <c r="Z1544" s="4">
        <f>IF(L1544&lt;&gt;"",SQRT(3)*G1544*L1544/1000,"")</f>
        <v/>
      </c>
      <c r="AA1544" t="inlineStr">
        <is>
          <t>Source=Copeland 2D/3D/4D/4R/6D/8D/9R compressors (pdf) p77; PWS_RLA=40.4</t>
        </is>
      </c>
      <c r="AB1544" t="inlineStr">
        <is>
          <t>Copeland_RLA_230_460_3ph_60Hz.xlsx</t>
        </is>
      </c>
      <c r="AC1544" t="inlineStr">
        <is>
          <t>Recip_2D-9R</t>
        </is>
      </c>
    </row>
    <row r="1545">
      <c r="A1545" t="inlineStr">
        <is>
          <t>COPELAND</t>
        </is>
      </c>
      <c r="B1545" t="inlineStr">
        <is>
          <t>6DL3F93K0-TSK</t>
        </is>
      </c>
      <c r="D1545" t="inlineStr">
        <is>
          <t>Reciprocating Semi-hermetic</t>
        </is>
      </c>
      <c r="E1545" s="2" t="n">
        <v>3</v>
      </c>
      <c r="F1545" s="2" t="n">
        <v>60</v>
      </c>
      <c r="G1545" s="2" t="n">
        <v>460</v>
      </c>
      <c r="H1545" t="inlineStr">
        <is>
          <t>460</t>
        </is>
      </c>
      <c r="I1545" s="2" t="n">
        <v>460</v>
      </c>
      <c r="J1545" s="2" t="n">
        <v>460</v>
      </c>
      <c r="L1545" s="3" t="n"/>
      <c r="M1545" s="3" t="n"/>
      <c r="N1545" s="3" t="n">
        <v>40.4</v>
      </c>
      <c r="O1545" s="3" t="n"/>
      <c r="P1545" s="3">
        <f>IF(L1545&lt;&gt;"",L1545/1.4,"")</f>
        <v/>
      </c>
      <c r="Q1545" s="3">
        <f>IF(L1545&lt;&gt;"",L1545/1.56,"")</f>
        <v/>
      </c>
      <c r="R1545" s="3">
        <f>IF(M1545&lt;&gt;"",M1545/1.4,"")</f>
        <v/>
      </c>
      <c r="S1545" s="3">
        <f>IF(M1545&lt;&gt;"",M1545/1.56,"")</f>
        <v/>
      </c>
      <c r="T1545" s="3">
        <f>IF(N1545&lt;&gt;"",N1545,IF(O1545&lt;&gt;"",O1545,IF(L1545&lt;&gt;"",L1545/1.56,IF(M1545&lt;&gt;"",M1545/1.56,""))))</f>
        <v/>
      </c>
      <c r="U1545" s="3" t="n">
        <v>225</v>
      </c>
      <c r="V1545" s="3" t="n"/>
      <c r="W1545" s="3" t="n"/>
      <c r="X1545" s="4" t="n"/>
      <c r="Y1545" s="5" t="n">
        <v>0.456</v>
      </c>
      <c r="Z1545" s="4">
        <f>IF(L1545&lt;&gt;"",SQRT(3)*G1545*L1545/1000,"")</f>
        <v/>
      </c>
      <c r="AA1545" t="inlineStr">
        <is>
          <t>Source=Copeland 2D/3D/4D/4R/6D/8D/9R compressors (pdf) p77</t>
        </is>
      </c>
      <c r="AB1545" t="inlineStr">
        <is>
          <t>Copeland_RLA_230_460_3ph_60Hz.xlsx</t>
        </is>
      </c>
      <c r="AC1545" t="inlineStr">
        <is>
          <t>Recip_2D-9R</t>
        </is>
      </c>
    </row>
    <row r="1546">
      <c r="A1546" t="inlineStr">
        <is>
          <t>COPELAND</t>
        </is>
      </c>
      <c r="B1546" t="inlineStr">
        <is>
          <t>6DL3F93KE-FSD</t>
        </is>
      </c>
      <c r="D1546" t="inlineStr">
        <is>
          <t>Reciprocating Semi-hermetic</t>
        </is>
      </c>
      <c r="E1546" s="2" t="n">
        <v>3</v>
      </c>
      <c r="F1546" s="2" t="n">
        <v>60</v>
      </c>
      <c r="G1546" s="2" t="n">
        <v>460</v>
      </c>
      <c r="H1546" t="inlineStr">
        <is>
          <t>460</t>
        </is>
      </c>
      <c r="I1546" s="2" t="n">
        <v>460</v>
      </c>
      <c r="J1546" s="2" t="n">
        <v>460</v>
      </c>
      <c r="L1546" s="3" t="n"/>
      <c r="M1546" s="3" t="n"/>
      <c r="N1546" s="3" t="n">
        <v>44.6</v>
      </c>
      <c r="O1546" s="3" t="n"/>
      <c r="P1546" s="3">
        <f>IF(L1546&lt;&gt;"",L1546/1.4,"")</f>
        <v/>
      </c>
      <c r="Q1546" s="3">
        <f>IF(L1546&lt;&gt;"",L1546/1.56,"")</f>
        <v/>
      </c>
      <c r="R1546" s="3">
        <f>IF(M1546&lt;&gt;"",M1546/1.4,"")</f>
        <v/>
      </c>
      <c r="S1546" s="3">
        <f>IF(M1546&lt;&gt;"",M1546/1.56,"")</f>
        <v/>
      </c>
      <c r="T1546" s="3">
        <f>IF(N1546&lt;&gt;"",N1546,IF(O1546&lt;&gt;"",O1546,IF(L1546&lt;&gt;"",L1546/1.56,IF(M1546&lt;&gt;"",M1546/1.56,""))))</f>
        <v/>
      </c>
      <c r="U1546" s="3" t="n">
        <v>218</v>
      </c>
      <c r="V1546" s="3" t="n">
        <v>131</v>
      </c>
      <c r="W1546" s="3" t="n"/>
      <c r="X1546" s="4" t="n"/>
      <c r="Y1546" s="5" t="n">
        <v>0.457</v>
      </c>
      <c r="Z1546" s="4">
        <f>IF(L1546&lt;&gt;"",SQRT(3)*G1546*L1546/1000,"")</f>
        <v/>
      </c>
      <c r="AA1546" t="inlineStr">
        <is>
          <t>Source=Copeland 2D/3D/4D/4R/6D/8D/9R compressors (pdf) p77; PWS_RLA=22.3</t>
        </is>
      </c>
      <c r="AB1546" t="inlineStr">
        <is>
          <t>Copeland_RLA_230_460_3ph_60Hz.xlsx</t>
        </is>
      </c>
      <c r="AC1546" t="inlineStr">
        <is>
          <t>Recip_2D-9R</t>
        </is>
      </c>
    </row>
    <row r="1547">
      <c r="A1547" t="inlineStr">
        <is>
          <t>COPELAND</t>
        </is>
      </c>
      <c r="B1547" t="inlineStr">
        <is>
          <t>6DL3F93KE-TSK</t>
        </is>
      </c>
      <c r="D1547" t="inlineStr">
        <is>
          <t>Reciprocating Semi-hermetic</t>
        </is>
      </c>
      <c r="E1547" s="2" t="n">
        <v>3</v>
      </c>
      <c r="F1547" s="2" t="n">
        <v>60</v>
      </c>
      <c r="G1547" s="2" t="n">
        <v>230</v>
      </c>
      <c r="H1547" t="inlineStr">
        <is>
          <t>208/230</t>
        </is>
      </c>
      <c r="I1547" s="2" t="n">
        <v>208</v>
      </c>
      <c r="J1547" s="2" t="n">
        <v>230</v>
      </c>
      <c r="L1547" s="3" t="n"/>
      <c r="M1547" s="3" t="n"/>
      <c r="N1547" s="3" t="n">
        <v>80.7</v>
      </c>
      <c r="O1547" s="3" t="n"/>
      <c r="P1547" s="3">
        <f>IF(L1547&lt;&gt;"",L1547/1.4,"")</f>
        <v/>
      </c>
      <c r="Q1547" s="3">
        <f>IF(L1547&lt;&gt;"",L1547/1.56,"")</f>
        <v/>
      </c>
      <c r="R1547" s="3">
        <f>IF(M1547&lt;&gt;"",M1547/1.4,"")</f>
        <v/>
      </c>
      <c r="S1547" s="3">
        <f>IF(M1547&lt;&gt;"",M1547/1.56,"")</f>
        <v/>
      </c>
      <c r="T1547" s="3">
        <f>IF(N1547&lt;&gt;"",N1547,IF(O1547&lt;&gt;"",O1547,IF(L1547&lt;&gt;"",L1547/1.56,IF(M1547&lt;&gt;"",M1547/1.56,""))))</f>
        <v/>
      </c>
      <c r="U1547" s="3" t="n">
        <v>450</v>
      </c>
      <c r="V1547" s="3" t="n">
        <v>263</v>
      </c>
      <c r="W1547" s="3" t="n"/>
      <c r="X1547" s="4" t="n"/>
      <c r="Y1547" s="5" t="n">
        <v>0.114</v>
      </c>
      <c r="Z1547" s="4">
        <f>IF(L1547&lt;&gt;"",SQRT(3)*G1547*L1547/1000,"")</f>
        <v/>
      </c>
      <c r="AA1547" t="inlineStr">
        <is>
          <t>Source=Copeland 2D/3D/4D/4R/6D/8D/9R compressors (pdf) p77; PWS_RLA=40.4</t>
        </is>
      </c>
      <c r="AB1547" t="inlineStr">
        <is>
          <t>Copeland_RLA_230_460_3ph_60Hz.xlsx</t>
        </is>
      </c>
      <c r="AC1547" t="inlineStr">
        <is>
          <t>Recip_2D-9R</t>
        </is>
      </c>
    </row>
    <row r="1548">
      <c r="A1548" t="inlineStr">
        <is>
          <t>COPELAND</t>
        </is>
      </c>
      <c r="B1548" t="inlineStr">
        <is>
          <t>6DL3F93KE-TSK</t>
        </is>
      </c>
      <c r="D1548" t="inlineStr">
        <is>
          <t>Reciprocating Semi-hermetic</t>
        </is>
      </c>
      <c r="E1548" s="2" t="n">
        <v>3</v>
      </c>
      <c r="F1548" s="2" t="n">
        <v>60</v>
      </c>
      <c r="G1548" s="2" t="n">
        <v>460</v>
      </c>
      <c r="H1548" t="inlineStr">
        <is>
          <t>460</t>
        </is>
      </c>
      <c r="I1548" s="2" t="n">
        <v>460</v>
      </c>
      <c r="J1548" s="2" t="n">
        <v>460</v>
      </c>
      <c r="L1548" s="3" t="n"/>
      <c r="M1548" s="3" t="n"/>
      <c r="N1548" s="3" t="n">
        <v>40.4</v>
      </c>
      <c r="O1548" s="3" t="n"/>
      <c r="P1548" s="3">
        <f>IF(L1548&lt;&gt;"",L1548/1.4,"")</f>
        <v/>
      </c>
      <c r="Q1548" s="3">
        <f>IF(L1548&lt;&gt;"",L1548/1.56,"")</f>
        <v/>
      </c>
      <c r="R1548" s="3">
        <f>IF(M1548&lt;&gt;"",M1548/1.4,"")</f>
        <v/>
      </c>
      <c r="S1548" s="3">
        <f>IF(M1548&lt;&gt;"",M1548/1.56,"")</f>
        <v/>
      </c>
      <c r="T1548" s="3">
        <f>IF(N1548&lt;&gt;"",N1548,IF(O1548&lt;&gt;"",O1548,IF(L1548&lt;&gt;"",L1548/1.56,IF(M1548&lt;&gt;"",M1548/1.56,""))))</f>
        <v/>
      </c>
      <c r="U1548" s="3" t="n">
        <v>225</v>
      </c>
      <c r="V1548" s="3" t="n"/>
      <c r="W1548" s="3" t="n"/>
      <c r="X1548" s="4" t="n"/>
      <c r="Y1548" s="5" t="n">
        <v>0.456</v>
      </c>
      <c r="Z1548" s="4">
        <f>IF(L1548&lt;&gt;"",SQRT(3)*G1548*L1548/1000,"")</f>
        <v/>
      </c>
      <c r="AA1548" t="inlineStr">
        <is>
          <t>Source=Copeland 2D/3D/4D/4R/6D/8D/9R compressors (pdf) p77</t>
        </is>
      </c>
      <c r="AB1548" t="inlineStr">
        <is>
          <t>Copeland_RLA_230_460_3ph_60Hz.xlsx</t>
        </is>
      </c>
      <c r="AC1548" t="inlineStr">
        <is>
          <t>Recip_2D-9R</t>
        </is>
      </c>
    </row>
    <row r="1549">
      <c r="A1549" t="inlineStr">
        <is>
          <t>COPELAND</t>
        </is>
      </c>
      <c r="B1549" t="inlineStr">
        <is>
          <t>6DL3F93KL-FSD</t>
        </is>
      </c>
      <c r="D1549" t="inlineStr">
        <is>
          <t>Reciprocating Semi-hermetic</t>
        </is>
      </c>
      <c r="E1549" s="2" t="n">
        <v>3</v>
      </c>
      <c r="F1549" s="2" t="n">
        <v>60</v>
      </c>
      <c r="G1549" s="2" t="n">
        <v>460</v>
      </c>
      <c r="H1549" t="inlineStr">
        <is>
          <t>460</t>
        </is>
      </c>
      <c r="I1549" s="2" t="n">
        <v>460</v>
      </c>
      <c r="J1549" s="2" t="n">
        <v>460</v>
      </c>
      <c r="L1549" s="3" t="n"/>
      <c r="M1549" s="3" t="n"/>
      <c r="N1549" s="3" t="n">
        <v>44.6</v>
      </c>
      <c r="O1549" s="3" t="n"/>
      <c r="P1549" s="3">
        <f>IF(L1549&lt;&gt;"",L1549/1.4,"")</f>
        <v/>
      </c>
      <c r="Q1549" s="3">
        <f>IF(L1549&lt;&gt;"",L1549/1.56,"")</f>
        <v/>
      </c>
      <c r="R1549" s="3">
        <f>IF(M1549&lt;&gt;"",M1549/1.4,"")</f>
        <v/>
      </c>
      <c r="S1549" s="3">
        <f>IF(M1549&lt;&gt;"",M1549/1.56,"")</f>
        <v/>
      </c>
      <c r="T1549" s="3">
        <f>IF(N1549&lt;&gt;"",N1549,IF(O1549&lt;&gt;"",O1549,IF(L1549&lt;&gt;"",L1549/1.56,IF(M1549&lt;&gt;"",M1549/1.56,""))))</f>
        <v/>
      </c>
      <c r="U1549" s="3" t="n">
        <v>218</v>
      </c>
      <c r="V1549" s="3" t="n">
        <v>131</v>
      </c>
      <c r="W1549" s="3" t="n"/>
      <c r="X1549" s="4" t="n"/>
      <c r="Y1549" s="5" t="n">
        <v>0.457</v>
      </c>
      <c r="Z1549" s="4">
        <f>IF(L1549&lt;&gt;"",SQRT(3)*G1549*L1549/1000,"")</f>
        <v/>
      </c>
      <c r="AA1549" t="inlineStr">
        <is>
          <t>Source=Copeland 2D/3D/4D/4R/6D/8D/9R compressors (pdf) p77; PWS_RLA=22.3</t>
        </is>
      </c>
      <c r="AB1549" t="inlineStr">
        <is>
          <t>Copeland_RLA_230_460_3ph_60Hz.xlsx</t>
        </is>
      </c>
      <c r="AC1549" t="inlineStr">
        <is>
          <t>Recip_2D-9R</t>
        </is>
      </c>
    </row>
    <row r="1550">
      <c r="A1550" t="inlineStr">
        <is>
          <t>COPELAND</t>
        </is>
      </c>
      <c r="B1550" t="inlineStr">
        <is>
          <t>6DL3F93KL-TSK</t>
        </is>
      </c>
      <c r="D1550" t="inlineStr">
        <is>
          <t>Reciprocating Semi-hermetic</t>
        </is>
      </c>
      <c r="E1550" s="2" t="n">
        <v>3</v>
      </c>
      <c r="F1550" s="2" t="n">
        <v>60</v>
      </c>
      <c r="G1550" s="2" t="n">
        <v>230</v>
      </c>
      <c r="H1550" t="inlineStr">
        <is>
          <t>208/230</t>
        </is>
      </c>
      <c r="I1550" s="2" t="n">
        <v>208</v>
      </c>
      <c r="J1550" s="2" t="n">
        <v>230</v>
      </c>
      <c r="L1550" s="3" t="n"/>
      <c r="M1550" s="3" t="n"/>
      <c r="N1550" s="3" t="n">
        <v>80.7</v>
      </c>
      <c r="O1550" s="3" t="n"/>
      <c r="P1550" s="3">
        <f>IF(L1550&lt;&gt;"",L1550/1.4,"")</f>
        <v/>
      </c>
      <c r="Q1550" s="3">
        <f>IF(L1550&lt;&gt;"",L1550/1.56,"")</f>
        <v/>
      </c>
      <c r="R1550" s="3">
        <f>IF(M1550&lt;&gt;"",M1550/1.4,"")</f>
        <v/>
      </c>
      <c r="S1550" s="3">
        <f>IF(M1550&lt;&gt;"",M1550/1.56,"")</f>
        <v/>
      </c>
      <c r="T1550" s="3">
        <f>IF(N1550&lt;&gt;"",N1550,IF(O1550&lt;&gt;"",O1550,IF(L1550&lt;&gt;"",L1550/1.56,IF(M1550&lt;&gt;"",M1550/1.56,""))))</f>
        <v/>
      </c>
      <c r="U1550" s="3" t="n">
        <v>450</v>
      </c>
      <c r="V1550" s="3" t="n">
        <v>263</v>
      </c>
      <c r="W1550" s="3" t="n"/>
      <c r="X1550" s="4" t="n"/>
      <c r="Y1550" s="5" t="n">
        <v>0.114</v>
      </c>
      <c r="Z1550" s="4">
        <f>IF(L1550&lt;&gt;"",SQRT(3)*G1550*L1550/1000,"")</f>
        <v/>
      </c>
      <c r="AA1550" t="inlineStr">
        <is>
          <t>Source=Copeland 2D/3D/4D/4R/6D/8D/9R compressors (pdf) p77; PWS_RLA=40.4</t>
        </is>
      </c>
      <c r="AB1550" t="inlineStr">
        <is>
          <t>Copeland_RLA_230_460_3ph_60Hz.xlsx</t>
        </is>
      </c>
      <c r="AC1550" t="inlineStr">
        <is>
          <t>Recip_2D-9R</t>
        </is>
      </c>
    </row>
    <row r="1551">
      <c r="A1551" t="inlineStr">
        <is>
          <t>COPELAND</t>
        </is>
      </c>
      <c r="B1551" t="inlineStr">
        <is>
          <t>6DL3F93KL-TSK</t>
        </is>
      </c>
      <c r="D1551" t="inlineStr">
        <is>
          <t>Reciprocating Semi-hermetic</t>
        </is>
      </c>
      <c r="E1551" s="2" t="n">
        <v>3</v>
      </c>
      <c r="F1551" s="2" t="n">
        <v>60</v>
      </c>
      <c r="G1551" s="2" t="n">
        <v>460</v>
      </c>
      <c r="H1551" t="inlineStr">
        <is>
          <t>460</t>
        </is>
      </c>
      <c r="I1551" s="2" t="n">
        <v>460</v>
      </c>
      <c r="J1551" s="2" t="n">
        <v>460</v>
      </c>
      <c r="L1551" s="3" t="n"/>
      <c r="M1551" s="3" t="n"/>
      <c r="N1551" s="3" t="n">
        <v>40.4</v>
      </c>
      <c r="O1551" s="3" t="n"/>
      <c r="P1551" s="3">
        <f>IF(L1551&lt;&gt;"",L1551/1.4,"")</f>
        <v/>
      </c>
      <c r="Q1551" s="3">
        <f>IF(L1551&lt;&gt;"",L1551/1.56,"")</f>
        <v/>
      </c>
      <c r="R1551" s="3">
        <f>IF(M1551&lt;&gt;"",M1551/1.4,"")</f>
        <v/>
      </c>
      <c r="S1551" s="3">
        <f>IF(M1551&lt;&gt;"",M1551/1.56,"")</f>
        <v/>
      </c>
      <c r="T1551" s="3">
        <f>IF(N1551&lt;&gt;"",N1551,IF(O1551&lt;&gt;"",O1551,IF(L1551&lt;&gt;"",L1551/1.56,IF(M1551&lt;&gt;"",M1551/1.56,""))))</f>
        <v/>
      </c>
      <c r="U1551" s="3" t="n">
        <v>225</v>
      </c>
      <c r="V1551" s="3" t="n"/>
      <c r="W1551" s="3" t="n"/>
      <c r="X1551" s="4" t="n"/>
      <c r="Y1551" s="5" t="n">
        <v>0.456</v>
      </c>
      <c r="Z1551" s="4">
        <f>IF(L1551&lt;&gt;"",SQRT(3)*G1551*L1551/1000,"")</f>
        <v/>
      </c>
      <c r="AA1551" t="inlineStr">
        <is>
          <t>Source=Copeland 2D/3D/4D/4R/6D/8D/9R compressors (pdf) p77</t>
        </is>
      </c>
      <c r="AB1551" t="inlineStr">
        <is>
          <t>Copeland_RLA_230_460_3ph_60Hz.xlsx</t>
        </is>
      </c>
      <c r="AC1551" t="inlineStr">
        <is>
          <t>Recip_2D-9R</t>
        </is>
      </c>
    </row>
    <row r="1552">
      <c r="A1552" t="inlineStr">
        <is>
          <t>COPELAND</t>
        </is>
      </c>
      <c r="B1552" t="inlineStr">
        <is>
          <t>6DL8-2700-TSK</t>
        </is>
      </c>
      <c r="D1552" t="inlineStr">
        <is>
          <t>Reciprocating Semi-hermetic</t>
        </is>
      </c>
      <c r="E1552" s="2" t="n">
        <v>3</v>
      </c>
      <c r="F1552" s="2" t="n">
        <v>60</v>
      </c>
      <c r="G1552" s="2" t="n">
        <v>230</v>
      </c>
      <c r="H1552" t="inlineStr">
        <is>
          <t>208/230</t>
        </is>
      </c>
      <c r="I1552" s="2" t="n">
        <v>208</v>
      </c>
      <c r="J1552" s="2" t="n">
        <v>230</v>
      </c>
      <c r="L1552" s="3" t="n"/>
      <c r="M1552" s="3" t="n"/>
      <c r="N1552" s="3" t="n">
        <v>80.7</v>
      </c>
      <c r="O1552" s="3" t="n"/>
      <c r="P1552" s="3">
        <f>IF(L1552&lt;&gt;"",L1552/1.4,"")</f>
        <v/>
      </c>
      <c r="Q1552" s="3">
        <f>IF(L1552&lt;&gt;"",L1552/1.56,"")</f>
        <v/>
      </c>
      <c r="R1552" s="3">
        <f>IF(M1552&lt;&gt;"",M1552/1.4,"")</f>
        <v/>
      </c>
      <c r="S1552" s="3">
        <f>IF(M1552&lt;&gt;"",M1552/1.56,"")</f>
        <v/>
      </c>
      <c r="T1552" s="3">
        <f>IF(N1552&lt;&gt;"",N1552,IF(O1552&lt;&gt;"",O1552,IF(L1552&lt;&gt;"",L1552/1.56,IF(M1552&lt;&gt;"",M1552/1.56,""))))</f>
        <v/>
      </c>
      <c r="U1552" s="3" t="n">
        <v>450</v>
      </c>
      <c r="V1552" s="3" t="n">
        <v>263</v>
      </c>
      <c r="W1552" s="3" t="n"/>
      <c r="X1552" s="4" t="n"/>
      <c r="Y1552" s="5" t="n">
        <v>0.114</v>
      </c>
      <c r="Z1552" s="4">
        <f>IF(L1552&lt;&gt;"",SQRT(3)*G1552*L1552/1000,"")</f>
        <v/>
      </c>
      <c r="AA1552" t="inlineStr">
        <is>
          <t>Source=Copeland 2D/3D/4D/4R/6D/8D/9R compressors (pdf) p77; PWS_RLA=40.4</t>
        </is>
      </c>
      <c r="AB1552" t="inlineStr">
        <is>
          <t>Copeland_RLA_230_460_3ph_60Hz.xlsx</t>
        </is>
      </c>
      <c r="AC1552" t="inlineStr">
        <is>
          <t>Recip_2D-9R</t>
        </is>
      </c>
    </row>
    <row r="1553">
      <c r="A1553" t="inlineStr">
        <is>
          <t>COPELAND</t>
        </is>
      </c>
      <c r="B1553" t="inlineStr">
        <is>
          <t>6DL8-2700-TSK</t>
        </is>
      </c>
      <c r="D1553" t="inlineStr">
        <is>
          <t>Reciprocating Semi-hermetic</t>
        </is>
      </c>
      <c r="E1553" s="2" t="n">
        <v>3</v>
      </c>
      <c r="F1553" s="2" t="n">
        <v>60</v>
      </c>
      <c r="G1553" s="2" t="n">
        <v>460</v>
      </c>
      <c r="H1553" t="inlineStr">
        <is>
          <t>460</t>
        </is>
      </c>
      <c r="I1553" s="2" t="n">
        <v>460</v>
      </c>
      <c r="J1553" s="2" t="n">
        <v>460</v>
      </c>
      <c r="L1553" s="3" t="n"/>
      <c r="M1553" s="3" t="n"/>
      <c r="N1553" s="3" t="n">
        <v>40.4</v>
      </c>
      <c r="O1553" s="3" t="n"/>
      <c r="P1553" s="3">
        <f>IF(L1553&lt;&gt;"",L1553/1.4,"")</f>
        <v/>
      </c>
      <c r="Q1553" s="3">
        <f>IF(L1553&lt;&gt;"",L1553/1.56,"")</f>
        <v/>
      </c>
      <c r="R1553" s="3">
        <f>IF(M1553&lt;&gt;"",M1553/1.4,"")</f>
        <v/>
      </c>
      <c r="S1553" s="3">
        <f>IF(M1553&lt;&gt;"",M1553/1.56,"")</f>
        <v/>
      </c>
      <c r="T1553" s="3">
        <f>IF(N1553&lt;&gt;"",N1553,IF(O1553&lt;&gt;"",O1553,IF(L1553&lt;&gt;"",L1553/1.56,IF(M1553&lt;&gt;"",M1553/1.56,""))))</f>
        <v/>
      </c>
      <c r="U1553" s="3" t="n">
        <v>225</v>
      </c>
      <c r="V1553" s="3" t="n"/>
      <c r="W1553" s="3" t="n"/>
      <c r="X1553" s="4" t="n"/>
      <c r="Y1553" s="5" t="n">
        <v>0.456</v>
      </c>
      <c r="Z1553" s="4">
        <f>IF(L1553&lt;&gt;"",SQRT(3)*G1553*L1553/1000,"")</f>
        <v/>
      </c>
      <c r="AA1553" t="inlineStr">
        <is>
          <t>Source=Copeland 2D/3D/4D/4R/6D/8D/9R compressors (pdf) p77</t>
        </is>
      </c>
      <c r="AB1553" t="inlineStr">
        <is>
          <t>Copeland_RLA_230_460_3ph_60Hz.xlsx</t>
        </is>
      </c>
      <c r="AC1553" t="inlineStr">
        <is>
          <t>Recip_2D-9R</t>
        </is>
      </c>
    </row>
    <row r="1554">
      <c r="A1554" t="inlineStr">
        <is>
          <t>COPELAND</t>
        </is>
      </c>
      <c r="B1554" t="inlineStr">
        <is>
          <t>6DL8A2700-TSK</t>
        </is>
      </c>
      <c r="D1554" t="inlineStr">
        <is>
          <t>Reciprocating Semi-hermetic</t>
        </is>
      </c>
      <c r="E1554" s="2" t="n">
        <v>3</v>
      </c>
      <c r="F1554" s="2" t="n">
        <v>60</v>
      </c>
      <c r="G1554" s="2" t="n">
        <v>230</v>
      </c>
      <c r="H1554" t="inlineStr">
        <is>
          <t>208/230</t>
        </is>
      </c>
      <c r="I1554" s="2" t="n">
        <v>208</v>
      </c>
      <c r="J1554" s="2" t="n">
        <v>230</v>
      </c>
      <c r="L1554" s="3" t="n"/>
      <c r="M1554" s="3" t="n"/>
      <c r="N1554" s="3" t="n">
        <v>80.7</v>
      </c>
      <c r="O1554" s="3" t="n"/>
      <c r="P1554" s="3">
        <f>IF(L1554&lt;&gt;"",L1554/1.4,"")</f>
        <v/>
      </c>
      <c r="Q1554" s="3">
        <f>IF(L1554&lt;&gt;"",L1554/1.56,"")</f>
        <v/>
      </c>
      <c r="R1554" s="3">
        <f>IF(M1554&lt;&gt;"",M1554/1.4,"")</f>
        <v/>
      </c>
      <c r="S1554" s="3">
        <f>IF(M1554&lt;&gt;"",M1554/1.56,"")</f>
        <v/>
      </c>
      <c r="T1554" s="3">
        <f>IF(N1554&lt;&gt;"",N1554,IF(O1554&lt;&gt;"",O1554,IF(L1554&lt;&gt;"",L1554/1.56,IF(M1554&lt;&gt;"",M1554/1.56,""))))</f>
        <v/>
      </c>
      <c r="U1554" s="3" t="n">
        <v>450</v>
      </c>
      <c r="V1554" s="3" t="n">
        <v>263</v>
      </c>
      <c r="W1554" s="3" t="n"/>
      <c r="X1554" s="4" t="n"/>
      <c r="Y1554" s="5" t="n">
        <v>0.114</v>
      </c>
      <c r="Z1554" s="4">
        <f>IF(L1554&lt;&gt;"",SQRT(3)*G1554*L1554/1000,"")</f>
        <v/>
      </c>
      <c r="AA1554" t="inlineStr">
        <is>
          <t>Source=Copeland 2D/3D/4D/4R/6D/8D/9R compressors (pdf) p77; PWS_RLA=40.4</t>
        </is>
      </c>
      <c r="AB1554" t="inlineStr">
        <is>
          <t>Copeland_RLA_230_460_3ph_60Hz.xlsx</t>
        </is>
      </c>
      <c r="AC1554" t="inlineStr">
        <is>
          <t>Recip_2D-9R</t>
        </is>
      </c>
    </row>
    <row r="1555">
      <c r="A1555" t="inlineStr">
        <is>
          <t>COPELAND</t>
        </is>
      </c>
      <c r="B1555" t="inlineStr">
        <is>
          <t>6DL8A2700-TSK</t>
        </is>
      </c>
      <c r="D1555" t="inlineStr">
        <is>
          <t>Reciprocating Semi-hermetic</t>
        </is>
      </c>
      <c r="E1555" s="2" t="n">
        <v>3</v>
      </c>
      <c r="F1555" s="2" t="n">
        <v>60</v>
      </c>
      <c r="G1555" s="2" t="n">
        <v>460</v>
      </c>
      <c r="H1555" t="inlineStr">
        <is>
          <t>460</t>
        </is>
      </c>
      <c r="I1555" s="2" t="n">
        <v>460</v>
      </c>
      <c r="J1555" s="2" t="n">
        <v>460</v>
      </c>
      <c r="L1555" s="3" t="n"/>
      <c r="M1555" s="3" t="n"/>
      <c r="N1555" s="3" t="n">
        <v>40.4</v>
      </c>
      <c r="O1555" s="3" t="n"/>
      <c r="P1555" s="3">
        <f>IF(L1555&lt;&gt;"",L1555/1.4,"")</f>
        <v/>
      </c>
      <c r="Q1555" s="3">
        <f>IF(L1555&lt;&gt;"",L1555/1.56,"")</f>
        <v/>
      </c>
      <c r="R1555" s="3">
        <f>IF(M1555&lt;&gt;"",M1555/1.4,"")</f>
        <v/>
      </c>
      <c r="S1555" s="3">
        <f>IF(M1555&lt;&gt;"",M1555/1.56,"")</f>
        <v/>
      </c>
      <c r="T1555" s="3">
        <f>IF(N1555&lt;&gt;"",N1555,IF(O1555&lt;&gt;"",O1555,IF(L1555&lt;&gt;"",L1555/1.56,IF(M1555&lt;&gt;"",M1555/1.56,""))))</f>
        <v/>
      </c>
      <c r="U1555" s="3" t="n">
        <v>225</v>
      </c>
      <c r="V1555" s="3" t="n"/>
      <c r="W1555" s="3" t="n"/>
      <c r="X1555" s="4" t="n"/>
      <c r="Y1555" s="5" t="n">
        <v>0.456</v>
      </c>
      <c r="Z1555" s="4">
        <f>IF(L1555&lt;&gt;"",SQRT(3)*G1555*L1555/1000,"")</f>
        <v/>
      </c>
      <c r="AA1555" t="inlineStr">
        <is>
          <t>Source=Copeland 2D/3D/4D/4R/6D/8D/9R compressors (pdf) p77</t>
        </is>
      </c>
      <c r="AB1555" t="inlineStr">
        <is>
          <t>Copeland_RLA_230_460_3ph_60Hz.xlsx</t>
        </is>
      </c>
      <c r="AC1555" t="inlineStr">
        <is>
          <t>Recip_2D-9R</t>
        </is>
      </c>
    </row>
    <row r="1556">
      <c r="A1556" t="inlineStr">
        <is>
          <t>COPELAND</t>
        </is>
      </c>
      <c r="B1556" t="inlineStr">
        <is>
          <t>6DLG-2700-FSD</t>
        </is>
      </c>
      <c r="D1556" t="inlineStr">
        <is>
          <t>Reciprocating Semi-hermetic</t>
        </is>
      </c>
      <c r="E1556" s="2" t="n">
        <v>3</v>
      </c>
      <c r="F1556" s="2" t="n">
        <v>60</v>
      </c>
      <c r="G1556" s="2" t="n">
        <v>460</v>
      </c>
      <c r="H1556" t="inlineStr">
        <is>
          <t>460</t>
        </is>
      </c>
      <c r="I1556" s="2" t="n">
        <v>460</v>
      </c>
      <c r="J1556" s="2" t="n">
        <v>460</v>
      </c>
      <c r="L1556" s="3" t="n"/>
      <c r="M1556" s="3" t="n"/>
      <c r="N1556" s="3" t="n">
        <v>41.6</v>
      </c>
      <c r="O1556" s="3" t="n"/>
      <c r="P1556" s="3">
        <f>IF(L1556&lt;&gt;"",L1556/1.4,"")</f>
        <v/>
      </c>
      <c r="Q1556" s="3">
        <f>IF(L1556&lt;&gt;"",L1556/1.56,"")</f>
        <v/>
      </c>
      <c r="R1556" s="3">
        <f>IF(M1556&lt;&gt;"",M1556/1.4,"")</f>
        <v/>
      </c>
      <c r="S1556" s="3">
        <f>IF(M1556&lt;&gt;"",M1556/1.56,"")</f>
        <v/>
      </c>
      <c r="T1556" s="3">
        <f>IF(N1556&lt;&gt;"",N1556,IF(O1556&lt;&gt;"",O1556,IF(L1556&lt;&gt;"",L1556/1.56,IF(M1556&lt;&gt;"",M1556/1.56,""))))</f>
        <v/>
      </c>
      <c r="U1556" s="3" t="n">
        <v>218</v>
      </c>
      <c r="V1556" s="3" t="n">
        <v>131</v>
      </c>
      <c r="W1556" s="3" t="n"/>
      <c r="X1556" s="4" t="n"/>
      <c r="Y1556" s="5" t="n">
        <v>0.457</v>
      </c>
      <c r="Z1556" s="4">
        <f>IF(L1556&lt;&gt;"",SQRT(3)*G1556*L1556/1000,"")</f>
        <v/>
      </c>
      <c r="AA1556" t="inlineStr">
        <is>
          <t>Source=Copeland 2D/3D/4D/4R/6D/8D/9R compressors (pdf) p77; PWS_RLA=20.8</t>
        </is>
      </c>
      <c r="AB1556" t="inlineStr">
        <is>
          <t>Copeland_RLA_230_460_3ph_60Hz.xlsx</t>
        </is>
      </c>
      <c r="AC1556" t="inlineStr">
        <is>
          <t>Recip_2D-9R</t>
        </is>
      </c>
    </row>
    <row r="1557">
      <c r="A1557" t="inlineStr">
        <is>
          <t>COPELAND</t>
        </is>
      </c>
      <c r="B1557" t="inlineStr">
        <is>
          <t>6DLG-2700-TSK</t>
        </is>
      </c>
      <c r="D1557" t="inlineStr">
        <is>
          <t>Reciprocating Semi-hermetic</t>
        </is>
      </c>
      <c r="E1557" s="2" t="n">
        <v>3</v>
      </c>
      <c r="F1557" s="2" t="n">
        <v>60</v>
      </c>
      <c r="G1557" s="2" t="n">
        <v>230</v>
      </c>
      <c r="H1557" t="inlineStr">
        <is>
          <t>208/230</t>
        </is>
      </c>
      <c r="I1557" s="2" t="n">
        <v>208</v>
      </c>
      <c r="J1557" s="2" t="n">
        <v>230</v>
      </c>
      <c r="L1557" s="3" t="n"/>
      <c r="M1557" s="3" t="n"/>
      <c r="N1557" s="3" t="n">
        <v>80.7</v>
      </c>
      <c r="O1557" s="3" t="n"/>
      <c r="P1557" s="3">
        <f>IF(L1557&lt;&gt;"",L1557/1.4,"")</f>
        <v/>
      </c>
      <c r="Q1557" s="3">
        <f>IF(L1557&lt;&gt;"",L1557/1.56,"")</f>
        <v/>
      </c>
      <c r="R1557" s="3">
        <f>IF(M1557&lt;&gt;"",M1557/1.4,"")</f>
        <v/>
      </c>
      <c r="S1557" s="3">
        <f>IF(M1557&lt;&gt;"",M1557/1.56,"")</f>
        <v/>
      </c>
      <c r="T1557" s="3">
        <f>IF(N1557&lt;&gt;"",N1557,IF(O1557&lt;&gt;"",O1557,IF(L1557&lt;&gt;"",L1557/1.56,IF(M1557&lt;&gt;"",M1557/1.56,""))))</f>
        <v/>
      </c>
      <c r="U1557" s="3" t="n">
        <v>450</v>
      </c>
      <c r="V1557" s="3" t="n">
        <v>263</v>
      </c>
      <c r="W1557" s="3" t="n"/>
      <c r="X1557" s="4" t="n"/>
      <c r="Y1557" s="5" t="n">
        <v>0.114</v>
      </c>
      <c r="Z1557" s="4">
        <f>IF(L1557&lt;&gt;"",SQRT(3)*G1557*L1557/1000,"")</f>
        <v/>
      </c>
      <c r="AA1557" t="inlineStr">
        <is>
          <t>Source=Copeland 2D/3D/4D/4R/6D/8D/9R compressors (pdf) p77; PWS_RLA=40.4</t>
        </is>
      </c>
      <c r="AB1557" t="inlineStr">
        <is>
          <t>Copeland_RLA_230_460_3ph_60Hz.xlsx</t>
        </is>
      </c>
      <c r="AC1557" t="inlineStr">
        <is>
          <t>Recip_2D-9R</t>
        </is>
      </c>
    </row>
    <row r="1558">
      <c r="A1558" t="inlineStr">
        <is>
          <t>COPELAND</t>
        </is>
      </c>
      <c r="B1558" t="inlineStr">
        <is>
          <t>6DLG-2700-TSK</t>
        </is>
      </c>
      <c r="D1558" t="inlineStr">
        <is>
          <t>Reciprocating Semi-hermetic</t>
        </is>
      </c>
      <c r="E1558" s="2" t="n">
        <v>3</v>
      </c>
      <c r="F1558" s="2" t="n">
        <v>60</v>
      </c>
      <c r="G1558" s="2" t="n">
        <v>460</v>
      </c>
      <c r="H1558" t="inlineStr">
        <is>
          <t>460</t>
        </is>
      </c>
      <c r="I1558" s="2" t="n">
        <v>460</v>
      </c>
      <c r="J1558" s="2" t="n">
        <v>460</v>
      </c>
      <c r="L1558" s="3" t="n"/>
      <c r="M1558" s="3" t="n"/>
      <c r="N1558" s="3" t="n">
        <v>40.4</v>
      </c>
      <c r="O1558" s="3" t="n"/>
      <c r="P1558" s="3">
        <f>IF(L1558&lt;&gt;"",L1558/1.4,"")</f>
        <v/>
      </c>
      <c r="Q1558" s="3">
        <f>IF(L1558&lt;&gt;"",L1558/1.56,"")</f>
        <v/>
      </c>
      <c r="R1558" s="3">
        <f>IF(M1558&lt;&gt;"",M1558/1.4,"")</f>
        <v/>
      </c>
      <c r="S1558" s="3">
        <f>IF(M1558&lt;&gt;"",M1558/1.56,"")</f>
        <v/>
      </c>
      <c r="T1558" s="3">
        <f>IF(N1558&lt;&gt;"",N1558,IF(O1558&lt;&gt;"",O1558,IF(L1558&lt;&gt;"",L1558/1.56,IF(M1558&lt;&gt;"",M1558/1.56,""))))</f>
        <v/>
      </c>
      <c r="U1558" s="3" t="n">
        <v>225</v>
      </c>
      <c r="V1558" s="3" t="n"/>
      <c r="W1558" s="3" t="n"/>
      <c r="X1558" s="4" t="n"/>
      <c r="Y1558" s="5" t="n">
        <v>0.456</v>
      </c>
      <c r="Z1558" s="4">
        <f>IF(L1558&lt;&gt;"",SQRT(3)*G1558*L1558/1000,"")</f>
        <v/>
      </c>
      <c r="AA1558" t="inlineStr">
        <is>
          <t>Source=Copeland 2D/3D/4D/4R/6D/8D/9R compressors (pdf) p78</t>
        </is>
      </c>
      <c r="AB1558" t="inlineStr">
        <is>
          <t>Copeland_RLA_230_460_3ph_60Hz.xlsx</t>
        </is>
      </c>
      <c r="AC1558" t="inlineStr">
        <is>
          <t>Recip_2D-9R</t>
        </is>
      </c>
    </row>
    <row r="1559">
      <c r="A1559" t="inlineStr">
        <is>
          <t>COPELAND</t>
        </is>
      </c>
      <c r="B1559" t="inlineStr">
        <is>
          <t>6DLG-270E-FSD</t>
        </is>
      </c>
      <c r="D1559" t="inlineStr">
        <is>
          <t>Reciprocating Semi-hermetic</t>
        </is>
      </c>
      <c r="E1559" s="2" t="n">
        <v>3</v>
      </c>
      <c r="F1559" s="2" t="n">
        <v>60</v>
      </c>
      <c r="G1559" s="2" t="n">
        <v>460</v>
      </c>
      <c r="H1559" t="inlineStr">
        <is>
          <t>460</t>
        </is>
      </c>
      <c r="I1559" s="2" t="n">
        <v>460</v>
      </c>
      <c r="J1559" s="2" t="n">
        <v>460</v>
      </c>
      <c r="L1559" s="3" t="n"/>
      <c r="M1559" s="3" t="n"/>
      <c r="N1559" s="3" t="n">
        <v>41.6</v>
      </c>
      <c r="O1559" s="3" t="n"/>
      <c r="P1559" s="3">
        <f>IF(L1559&lt;&gt;"",L1559/1.4,"")</f>
        <v/>
      </c>
      <c r="Q1559" s="3">
        <f>IF(L1559&lt;&gt;"",L1559/1.56,"")</f>
        <v/>
      </c>
      <c r="R1559" s="3">
        <f>IF(M1559&lt;&gt;"",M1559/1.4,"")</f>
        <v/>
      </c>
      <c r="S1559" s="3">
        <f>IF(M1559&lt;&gt;"",M1559/1.56,"")</f>
        <v/>
      </c>
      <c r="T1559" s="3">
        <f>IF(N1559&lt;&gt;"",N1559,IF(O1559&lt;&gt;"",O1559,IF(L1559&lt;&gt;"",L1559/1.56,IF(M1559&lt;&gt;"",M1559/1.56,""))))</f>
        <v/>
      </c>
      <c r="U1559" s="3" t="n">
        <v>218</v>
      </c>
      <c r="V1559" s="3" t="n">
        <v>131</v>
      </c>
      <c r="W1559" s="3" t="n"/>
      <c r="X1559" s="4" t="n"/>
      <c r="Y1559" s="5" t="n">
        <v>0.457</v>
      </c>
      <c r="Z1559" s="4">
        <f>IF(L1559&lt;&gt;"",SQRT(3)*G1559*L1559/1000,"")</f>
        <v/>
      </c>
      <c r="AA1559" t="inlineStr">
        <is>
          <t>Source=Copeland 2D/3D/4D/4R/6D/8D/9R compressors (pdf) p78; PWS_RLA=20.8</t>
        </is>
      </c>
      <c r="AB1559" t="inlineStr">
        <is>
          <t>Copeland_RLA_230_460_3ph_60Hz.xlsx</t>
        </is>
      </c>
      <c r="AC1559" t="inlineStr">
        <is>
          <t>Recip_2D-9R</t>
        </is>
      </c>
    </row>
    <row r="1560">
      <c r="A1560" t="inlineStr">
        <is>
          <t>COPELAND</t>
        </is>
      </c>
      <c r="B1560" t="inlineStr">
        <is>
          <t>6DLG-270E-TSK</t>
        </is>
      </c>
      <c r="D1560" t="inlineStr">
        <is>
          <t>Reciprocating Semi-hermetic</t>
        </is>
      </c>
      <c r="E1560" s="2" t="n">
        <v>3</v>
      </c>
      <c r="F1560" s="2" t="n">
        <v>60</v>
      </c>
      <c r="G1560" s="2" t="n">
        <v>230</v>
      </c>
      <c r="H1560" t="inlineStr">
        <is>
          <t>208/230</t>
        </is>
      </c>
      <c r="I1560" s="2" t="n">
        <v>208</v>
      </c>
      <c r="J1560" s="2" t="n">
        <v>230</v>
      </c>
      <c r="L1560" s="3" t="n"/>
      <c r="M1560" s="3" t="n"/>
      <c r="N1560" s="3" t="n">
        <v>80.7</v>
      </c>
      <c r="O1560" s="3" t="n"/>
      <c r="P1560" s="3">
        <f>IF(L1560&lt;&gt;"",L1560/1.4,"")</f>
        <v/>
      </c>
      <c r="Q1560" s="3">
        <f>IF(L1560&lt;&gt;"",L1560/1.56,"")</f>
        <v/>
      </c>
      <c r="R1560" s="3">
        <f>IF(M1560&lt;&gt;"",M1560/1.4,"")</f>
        <v/>
      </c>
      <c r="S1560" s="3">
        <f>IF(M1560&lt;&gt;"",M1560/1.56,"")</f>
        <v/>
      </c>
      <c r="T1560" s="3">
        <f>IF(N1560&lt;&gt;"",N1560,IF(O1560&lt;&gt;"",O1560,IF(L1560&lt;&gt;"",L1560/1.56,IF(M1560&lt;&gt;"",M1560/1.56,""))))</f>
        <v/>
      </c>
      <c r="U1560" s="3" t="n">
        <v>450</v>
      </c>
      <c r="V1560" s="3" t="n">
        <v>263</v>
      </c>
      <c r="W1560" s="3" t="n"/>
      <c r="X1560" s="4" t="n"/>
      <c r="Y1560" s="5" t="n">
        <v>0.114</v>
      </c>
      <c r="Z1560" s="4">
        <f>IF(L1560&lt;&gt;"",SQRT(3)*G1560*L1560/1000,"")</f>
        <v/>
      </c>
      <c r="AA1560" t="inlineStr">
        <is>
          <t>Source=Copeland 2D/3D/4D/4R/6D/8D/9R compressors (pdf) p78; PWS_RLA=40.4</t>
        </is>
      </c>
      <c r="AB1560" t="inlineStr">
        <is>
          <t>Copeland_RLA_230_460_3ph_60Hz.xlsx</t>
        </is>
      </c>
      <c r="AC1560" t="inlineStr">
        <is>
          <t>Recip_2D-9R</t>
        </is>
      </c>
    </row>
    <row r="1561">
      <c r="A1561" t="inlineStr">
        <is>
          <t>COPELAND</t>
        </is>
      </c>
      <c r="B1561" t="inlineStr">
        <is>
          <t>6DLG-270E-TSK</t>
        </is>
      </c>
      <c r="D1561" t="inlineStr">
        <is>
          <t>Reciprocating Semi-hermetic</t>
        </is>
      </c>
      <c r="E1561" s="2" t="n">
        <v>3</v>
      </c>
      <c r="F1561" s="2" t="n">
        <v>60</v>
      </c>
      <c r="G1561" s="2" t="n">
        <v>460</v>
      </c>
      <c r="H1561" t="inlineStr">
        <is>
          <t>460</t>
        </is>
      </c>
      <c r="I1561" s="2" t="n">
        <v>460</v>
      </c>
      <c r="J1561" s="2" t="n">
        <v>460</v>
      </c>
      <c r="L1561" s="3" t="n"/>
      <c r="M1561" s="3" t="n"/>
      <c r="N1561" s="3" t="n">
        <v>40.4</v>
      </c>
      <c r="O1561" s="3" t="n"/>
      <c r="P1561" s="3">
        <f>IF(L1561&lt;&gt;"",L1561/1.4,"")</f>
        <v/>
      </c>
      <c r="Q1561" s="3">
        <f>IF(L1561&lt;&gt;"",L1561/1.56,"")</f>
        <v/>
      </c>
      <c r="R1561" s="3">
        <f>IF(M1561&lt;&gt;"",M1561/1.4,"")</f>
        <v/>
      </c>
      <c r="S1561" s="3">
        <f>IF(M1561&lt;&gt;"",M1561/1.56,"")</f>
        <v/>
      </c>
      <c r="T1561" s="3">
        <f>IF(N1561&lt;&gt;"",N1561,IF(O1561&lt;&gt;"",O1561,IF(L1561&lt;&gt;"",L1561/1.56,IF(M1561&lt;&gt;"",M1561/1.56,""))))</f>
        <v/>
      </c>
      <c r="U1561" s="3" t="n">
        <v>225</v>
      </c>
      <c r="V1561" s="3" t="n"/>
      <c r="W1561" s="3" t="n"/>
      <c r="X1561" s="4" t="n"/>
      <c r="Y1561" s="5" t="n">
        <v>0.456</v>
      </c>
      <c r="Z1561" s="4">
        <f>IF(L1561&lt;&gt;"",SQRT(3)*G1561*L1561/1000,"")</f>
        <v/>
      </c>
      <c r="AA1561" t="inlineStr">
        <is>
          <t>Source=Copeland 2D/3D/4D/4R/6D/8D/9R compressors (pdf) p78</t>
        </is>
      </c>
      <c r="AB1561" t="inlineStr">
        <is>
          <t>Copeland_RLA_230_460_3ph_60Hz.xlsx</t>
        </is>
      </c>
      <c r="AC1561" t="inlineStr">
        <is>
          <t>Recip_2D-9R</t>
        </is>
      </c>
    </row>
    <row r="1562">
      <c r="A1562" t="inlineStr">
        <is>
          <t>COPELAND</t>
        </is>
      </c>
      <c r="B1562" t="inlineStr">
        <is>
          <t>6DM3-3500-FSD</t>
        </is>
      </c>
      <c r="D1562" t="inlineStr">
        <is>
          <t>Reciprocating Semi-hermetic</t>
        </is>
      </c>
      <c r="E1562" s="2" t="n">
        <v>3</v>
      </c>
      <c r="F1562" s="2" t="n">
        <v>60</v>
      </c>
      <c r="G1562" s="2" t="n">
        <v>460</v>
      </c>
      <c r="H1562" t="inlineStr">
        <is>
          <t>460</t>
        </is>
      </c>
      <c r="I1562" s="2" t="n">
        <v>460</v>
      </c>
      <c r="J1562" s="2" t="n">
        <v>460</v>
      </c>
      <c r="L1562" s="3" t="n"/>
      <c r="M1562" s="3" t="n"/>
      <c r="N1562" s="3" t="n">
        <v>66</v>
      </c>
      <c r="O1562" s="3" t="n"/>
      <c r="P1562" s="3">
        <f>IF(L1562&lt;&gt;"",L1562/1.4,"")</f>
        <v/>
      </c>
      <c r="Q1562" s="3">
        <f>IF(L1562&lt;&gt;"",L1562/1.56,"")</f>
        <v/>
      </c>
      <c r="R1562" s="3">
        <f>IF(M1562&lt;&gt;"",M1562/1.4,"")</f>
        <v/>
      </c>
      <c r="S1562" s="3">
        <f>IF(M1562&lt;&gt;"",M1562/1.56,"")</f>
        <v/>
      </c>
      <c r="T1562" s="3">
        <f>IF(N1562&lt;&gt;"",N1562,IF(O1562&lt;&gt;"",O1562,IF(L1562&lt;&gt;"",L1562/1.56,IF(M1562&lt;&gt;"",M1562/1.56,""))))</f>
        <v/>
      </c>
      <c r="U1562" s="3" t="n">
        <v>315</v>
      </c>
      <c r="V1562" s="3" t="n">
        <v>195</v>
      </c>
      <c r="W1562" s="3" t="n"/>
      <c r="X1562" s="4" t="n"/>
      <c r="Y1562" s="5" t="n">
        <v>0.32</v>
      </c>
      <c r="Z1562" s="4">
        <f>IF(L1562&lt;&gt;"",SQRT(3)*G1562*L1562/1000,"")</f>
        <v/>
      </c>
      <c r="AA1562" t="inlineStr">
        <is>
          <t>Source=Copeland 2D/3D/4D/4R/6D/8D/9R compressors (pdf) p78; PWS_RLA=33.0</t>
        </is>
      </c>
      <c r="AB1562" t="inlineStr">
        <is>
          <t>Copeland_RLA_230_460_3ph_60Hz.xlsx</t>
        </is>
      </c>
      <c r="AC1562" t="inlineStr">
        <is>
          <t>Recip_2D-9R</t>
        </is>
      </c>
    </row>
    <row r="1563">
      <c r="A1563" t="inlineStr">
        <is>
          <t>COPELAND</t>
        </is>
      </c>
      <c r="B1563" t="inlineStr">
        <is>
          <t>6DM3-3500-FXD</t>
        </is>
      </c>
      <c r="D1563" t="inlineStr">
        <is>
          <t>Reciprocating Semi-hermetic</t>
        </is>
      </c>
      <c r="E1563" s="2" t="n">
        <v>3</v>
      </c>
      <c r="F1563" s="2" t="n">
        <v>60</v>
      </c>
      <c r="G1563" s="2" t="n">
        <v>460</v>
      </c>
      <c r="H1563" t="inlineStr">
        <is>
          <t>460</t>
        </is>
      </c>
      <c r="I1563" s="2" t="n">
        <v>460</v>
      </c>
      <c r="J1563" s="2" t="n">
        <v>460</v>
      </c>
      <c r="L1563" s="3" t="n"/>
      <c r="M1563" s="3" t="n"/>
      <c r="N1563" s="3" t="n"/>
      <c r="O1563" s="3" t="n"/>
      <c r="P1563" s="3">
        <f>IF(L1563&lt;&gt;"",L1563/1.4,"")</f>
        <v/>
      </c>
      <c r="Q1563" s="3">
        <f>IF(L1563&lt;&gt;"",L1563/1.56,"")</f>
        <v/>
      </c>
      <c r="R1563" s="3">
        <f>IF(M1563&lt;&gt;"",M1563/1.4,"")</f>
        <v/>
      </c>
      <c r="S1563" s="3">
        <f>IF(M1563&lt;&gt;"",M1563/1.56,"")</f>
        <v/>
      </c>
      <c r="T1563" s="3">
        <f>IF(N1563&lt;&gt;"",N1563,IF(O1563&lt;&gt;"",O1563,IF(L1563&lt;&gt;"",L1563/1.56,IF(M1563&lt;&gt;"",M1563/1.56,""))))</f>
        <v/>
      </c>
      <c r="U1563" s="3" t="n">
        <v>315</v>
      </c>
      <c r="V1563" s="3" t="n">
        <v>195</v>
      </c>
      <c r="W1563" s="3" t="n"/>
      <c r="X1563" s="4" t="n"/>
      <c r="Y1563" s="5" t="n">
        <v>0.32</v>
      </c>
      <c r="Z1563" s="4">
        <f>IF(L1563&lt;&gt;"",SQRT(3)*G1563*L1563/1000,"")</f>
        <v/>
      </c>
      <c r="AA1563" t="inlineStr">
        <is>
          <t>Source=Copeland 2D/3D/4D/4R/6D/8D/9R compressors (pdf) p78</t>
        </is>
      </c>
      <c r="AB1563" t="inlineStr">
        <is>
          <t>Copeland_RLA_230_460_3ph_60Hz.xlsx</t>
        </is>
      </c>
      <c r="AC1563" t="inlineStr">
        <is>
          <t>Recip_2D-9R</t>
        </is>
      </c>
    </row>
    <row r="1564">
      <c r="A1564" t="inlineStr">
        <is>
          <t>COPELAND</t>
        </is>
      </c>
      <c r="B1564" t="inlineStr">
        <is>
          <t>6DM3-3500-TSN</t>
        </is>
      </c>
      <c r="D1564" t="inlineStr">
        <is>
          <t>Reciprocating Semi-hermetic</t>
        </is>
      </c>
      <c r="E1564" s="2" t="n">
        <v>3</v>
      </c>
      <c r="F1564" s="2" t="n">
        <v>60</v>
      </c>
      <c r="G1564" s="2" t="n">
        <v>230</v>
      </c>
      <c r="H1564" t="inlineStr">
        <is>
          <t>230</t>
        </is>
      </c>
      <c r="I1564" s="2" t="n">
        <v>230</v>
      </c>
      <c r="J1564" s="2" t="n">
        <v>230</v>
      </c>
      <c r="L1564" s="3" t="n"/>
      <c r="M1564" s="3" t="n"/>
      <c r="N1564" s="3" t="n">
        <v>125</v>
      </c>
      <c r="O1564" s="3" t="n"/>
      <c r="P1564" s="3">
        <f>IF(L1564&lt;&gt;"",L1564/1.4,"")</f>
        <v/>
      </c>
      <c r="Q1564" s="3">
        <f>IF(L1564&lt;&gt;"",L1564/1.56,"")</f>
        <v/>
      </c>
      <c r="R1564" s="3">
        <f>IF(M1564&lt;&gt;"",M1564/1.4,"")</f>
        <v/>
      </c>
      <c r="S1564" s="3">
        <f>IF(M1564&lt;&gt;"",M1564/1.56,"")</f>
        <v/>
      </c>
      <c r="T1564" s="3">
        <f>IF(N1564&lt;&gt;"",N1564,IF(O1564&lt;&gt;"",O1564,IF(L1564&lt;&gt;"",L1564/1.56,IF(M1564&lt;&gt;"",M1564/1.56,""))))</f>
        <v/>
      </c>
      <c r="U1564" s="3" t="n">
        <v>594</v>
      </c>
      <c r="V1564" s="3" t="n">
        <v>340</v>
      </c>
      <c r="W1564" s="3" t="n"/>
      <c r="X1564" s="4" t="n"/>
      <c r="Y1564" s="5" t="n">
        <v>0.08500000000000001</v>
      </c>
      <c r="Z1564" s="4">
        <f>IF(L1564&lt;&gt;"",SQRT(3)*G1564*L1564/1000,"")</f>
        <v/>
      </c>
      <c r="AA1564" t="inlineStr">
        <is>
          <t>Source=Copeland 2D/3D/4D/4R/6D/8D/9R compressors (pdf) p78; PWS_RLA=62.5</t>
        </is>
      </c>
      <c r="AB1564" t="inlineStr">
        <is>
          <t>Copeland_RLA_230_460_3ph_60Hz.xlsx</t>
        </is>
      </c>
      <c r="AC1564" t="inlineStr">
        <is>
          <t>Recip_2D-9R</t>
        </is>
      </c>
    </row>
    <row r="1565">
      <c r="A1565" t="inlineStr">
        <is>
          <t>COPELAND</t>
        </is>
      </c>
      <c r="B1565" t="inlineStr">
        <is>
          <t>6DM3-3500-TSN</t>
        </is>
      </c>
      <c r="D1565" t="inlineStr">
        <is>
          <t>Reciprocating Semi-hermetic</t>
        </is>
      </c>
      <c r="E1565" s="2" t="n">
        <v>3</v>
      </c>
      <c r="F1565" s="2" t="n">
        <v>60</v>
      </c>
      <c r="G1565" s="2" t="n">
        <v>460</v>
      </c>
      <c r="H1565" t="inlineStr">
        <is>
          <t>460</t>
        </is>
      </c>
      <c r="I1565" s="2" t="n">
        <v>460</v>
      </c>
      <c r="J1565" s="2" t="n">
        <v>460</v>
      </c>
      <c r="L1565" s="3" t="n"/>
      <c r="M1565" s="3" t="n"/>
      <c r="N1565" s="3" t="n">
        <v>62.5</v>
      </c>
      <c r="O1565" s="3" t="n"/>
      <c r="P1565" s="3">
        <f>IF(L1565&lt;&gt;"",L1565/1.4,"")</f>
        <v/>
      </c>
      <c r="Q1565" s="3">
        <f>IF(L1565&lt;&gt;"",L1565/1.56,"")</f>
        <v/>
      </c>
      <c r="R1565" s="3">
        <f>IF(M1565&lt;&gt;"",M1565/1.4,"")</f>
        <v/>
      </c>
      <c r="S1565" s="3">
        <f>IF(M1565&lt;&gt;"",M1565/1.56,"")</f>
        <v/>
      </c>
      <c r="T1565" s="3">
        <f>IF(N1565&lt;&gt;"",N1565,IF(O1565&lt;&gt;"",O1565,IF(L1565&lt;&gt;"",L1565/1.56,IF(M1565&lt;&gt;"",M1565/1.56,""))))</f>
        <v/>
      </c>
      <c r="U1565" s="3" t="n">
        <v>297</v>
      </c>
      <c r="V1565" s="3" t="n"/>
      <c r="W1565" s="3" t="n"/>
      <c r="X1565" s="4" t="n"/>
      <c r="Y1565" s="5" t="n">
        <v>0.34</v>
      </c>
      <c r="Z1565" s="4">
        <f>IF(L1565&lt;&gt;"",SQRT(3)*G1565*L1565/1000,"")</f>
        <v/>
      </c>
      <c r="AA1565" t="inlineStr">
        <is>
          <t>Source=Copeland 2D/3D/4D/4R/6D/8D/9R compressors (pdf) p78</t>
        </is>
      </c>
      <c r="AB1565" t="inlineStr">
        <is>
          <t>Copeland_RLA_230_460_3ph_60Hz.xlsx</t>
        </is>
      </c>
      <c r="AC1565" t="inlineStr">
        <is>
          <t>Recip_2D-9R</t>
        </is>
      </c>
    </row>
    <row r="1566">
      <c r="A1566" t="inlineStr">
        <is>
          <t>COPELAND</t>
        </is>
      </c>
      <c r="B1566" t="inlineStr">
        <is>
          <t>6DM3-3500-TXN</t>
        </is>
      </c>
      <c r="D1566" t="inlineStr">
        <is>
          <t>Reciprocating Semi-hermetic</t>
        </is>
      </c>
      <c r="E1566" s="2" t="n">
        <v>3</v>
      </c>
      <c r="F1566" s="2" t="n">
        <v>60</v>
      </c>
      <c r="G1566" s="2" t="n">
        <v>230</v>
      </c>
      <c r="H1566" t="inlineStr">
        <is>
          <t>230</t>
        </is>
      </c>
      <c r="I1566" s="2" t="n">
        <v>230</v>
      </c>
      <c r="J1566" s="2" t="n">
        <v>230</v>
      </c>
      <c r="L1566" s="3" t="n"/>
      <c r="M1566" s="3" t="n"/>
      <c r="N1566" s="3" t="n"/>
      <c r="O1566" s="3" t="n"/>
      <c r="P1566" s="3">
        <f>IF(L1566&lt;&gt;"",L1566/1.4,"")</f>
        <v/>
      </c>
      <c r="Q1566" s="3">
        <f>IF(L1566&lt;&gt;"",L1566/1.56,"")</f>
        <v/>
      </c>
      <c r="R1566" s="3">
        <f>IF(M1566&lt;&gt;"",M1566/1.4,"")</f>
        <v/>
      </c>
      <c r="S1566" s="3">
        <f>IF(M1566&lt;&gt;"",M1566/1.56,"")</f>
        <v/>
      </c>
      <c r="T1566" s="3">
        <f>IF(N1566&lt;&gt;"",N1566,IF(O1566&lt;&gt;"",O1566,IF(L1566&lt;&gt;"",L1566/1.56,IF(M1566&lt;&gt;"",M1566/1.56,""))))</f>
        <v/>
      </c>
      <c r="U1566" s="3" t="n">
        <v>594</v>
      </c>
      <c r="V1566" s="3" t="n">
        <v>340</v>
      </c>
      <c r="W1566" s="3" t="n"/>
      <c r="X1566" s="4" t="n"/>
      <c r="Y1566" s="5" t="n">
        <v>0.08500000000000001</v>
      </c>
      <c r="Z1566" s="4">
        <f>IF(L1566&lt;&gt;"",SQRT(3)*G1566*L1566/1000,"")</f>
        <v/>
      </c>
      <c r="AA1566" t="inlineStr">
        <is>
          <t>Source=Copeland 2D/3D/4D/4R/6D/8D/9R compressors (pdf) p78</t>
        </is>
      </c>
      <c r="AB1566" t="inlineStr">
        <is>
          <t>Copeland_RLA_230_460_3ph_60Hz.xlsx</t>
        </is>
      </c>
      <c r="AC1566" t="inlineStr">
        <is>
          <t>Recip_2D-9R</t>
        </is>
      </c>
    </row>
    <row r="1567">
      <c r="A1567" t="inlineStr">
        <is>
          <t>COPELAND</t>
        </is>
      </c>
      <c r="B1567" t="inlineStr">
        <is>
          <t>6DM3-3500-TXN</t>
        </is>
      </c>
      <c r="D1567" t="inlineStr">
        <is>
          <t>Reciprocating Semi-hermetic</t>
        </is>
      </c>
      <c r="E1567" s="2" t="n">
        <v>3</v>
      </c>
      <c r="F1567" s="2" t="n">
        <v>60</v>
      </c>
      <c r="G1567" s="2" t="n">
        <v>460</v>
      </c>
      <c r="H1567" t="inlineStr">
        <is>
          <t>460</t>
        </is>
      </c>
      <c r="I1567" s="2" t="n">
        <v>460</v>
      </c>
      <c r="J1567" s="2" t="n">
        <v>460</v>
      </c>
      <c r="L1567" s="3" t="n"/>
      <c r="M1567" s="3" t="n"/>
      <c r="N1567" s="3" t="n"/>
      <c r="O1567" s="3" t="n"/>
      <c r="P1567" s="3">
        <f>IF(L1567&lt;&gt;"",L1567/1.4,"")</f>
        <v/>
      </c>
      <c r="Q1567" s="3">
        <f>IF(L1567&lt;&gt;"",L1567/1.56,"")</f>
        <v/>
      </c>
      <c r="R1567" s="3">
        <f>IF(M1567&lt;&gt;"",M1567/1.4,"")</f>
        <v/>
      </c>
      <c r="S1567" s="3">
        <f>IF(M1567&lt;&gt;"",M1567/1.56,"")</f>
        <v/>
      </c>
      <c r="T1567" s="3">
        <f>IF(N1567&lt;&gt;"",N1567,IF(O1567&lt;&gt;"",O1567,IF(L1567&lt;&gt;"",L1567/1.56,IF(M1567&lt;&gt;"",M1567/1.56,""))))</f>
        <v/>
      </c>
      <c r="U1567" s="3" t="n">
        <v>297</v>
      </c>
      <c r="V1567" s="3" t="n"/>
      <c r="W1567" s="3" t="n"/>
      <c r="X1567" s="4" t="n"/>
      <c r="Y1567" s="5" t="n">
        <v>0.34</v>
      </c>
      <c r="Z1567" s="4">
        <f>IF(L1567&lt;&gt;"",SQRT(3)*G1567*L1567/1000,"")</f>
        <v/>
      </c>
      <c r="AA1567" t="inlineStr">
        <is>
          <t>Source=Copeland 2D/3D/4D/4R/6D/8D/9R compressors (pdf) p78</t>
        </is>
      </c>
      <c r="AB1567" t="inlineStr">
        <is>
          <t>Copeland_RLA_230_460_3ph_60Hz.xlsx</t>
        </is>
      </c>
      <c r="AC1567" t="inlineStr">
        <is>
          <t>Recip_2D-9R</t>
        </is>
      </c>
    </row>
    <row r="1568">
      <c r="A1568" t="inlineStr">
        <is>
          <t>COPELAND</t>
        </is>
      </c>
      <c r="B1568" t="inlineStr">
        <is>
          <t>6DM3-350E-FSD</t>
        </is>
      </c>
      <c r="D1568" t="inlineStr">
        <is>
          <t>Reciprocating Semi-hermetic</t>
        </is>
      </c>
      <c r="E1568" s="2" t="n">
        <v>3</v>
      </c>
      <c r="F1568" s="2" t="n">
        <v>60</v>
      </c>
      <c r="G1568" s="2" t="n">
        <v>460</v>
      </c>
      <c r="H1568" t="inlineStr">
        <is>
          <t>460</t>
        </is>
      </c>
      <c r="I1568" s="2" t="n">
        <v>460</v>
      </c>
      <c r="J1568" s="2" t="n">
        <v>460</v>
      </c>
      <c r="L1568" s="3" t="n"/>
      <c r="M1568" s="3" t="n"/>
      <c r="N1568" s="3" t="n">
        <v>66</v>
      </c>
      <c r="O1568" s="3" t="n"/>
      <c r="P1568" s="3">
        <f>IF(L1568&lt;&gt;"",L1568/1.4,"")</f>
        <v/>
      </c>
      <c r="Q1568" s="3">
        <f>IF(L1568&lt;&gt;"",L1568/1.56,"")</f>
        <v/>
      </c>
      <c r="R1568" s="3">
        <f>IF(M1568&lt;&gt;"",M1568/1.4,"")</f>
        <v/>
      </c>
      <c r="S1568" s="3">
        <f>IF(M1568&lt;&gt;"",M1568/1.56,"")</f>
        <v/>
      </c>
      <c r="T1568" s="3">
        <f>IF(N1568&lt;&gt;"",N1568,IF(O1568&lt;&gt;"",O1568,IF(L1568&lt;&gt;"",L1568/1.56,IF(M1568&lt;&gt;"",M1568/1.56,""))))</f>
        <v/>
      </c>
      <c r="U1568" s="3" t="n">
        <v>315</v>
      </c>
      <c r="V1568" s="3" t="n">
        <v>195</v>
      </c>
      <c r="W1568" s="3" t="n"/>
      <c r="X1568" s="4" t="n"/>
      <c r="Y1568" s="5" t="n">
        <v>0.32</v>
      </c>
      <c r="Z1568" s="4">
        <f>IF(L1568&lt;&gt;"",SQRT(3)*G1568*L1568/1000,"")</f>
        <v/>
      </c>
      <c r="AA1568" t="inlineStr">
        <is>
          <t>Source=Copeland 2D/3D/4D/4R/6D/8D/9R compressors (pdf) p78; PWS_RLA=33.0</t>
        </is>
      </c>
      <c r="AB1568" t="inlineStr">
        <is>
          <t>Copeland_RLA_230_460_3ph_60Hz.xlsx</t>
        </is>
      </c>
      <c r="AC1568" t="inlineStr">
        <is>
          <t>Recip_2D-9R</t>
        </is>
      </c>
    </row>
    <row r="1569">
      <c r="A1569" t="inlineStr">
        <is>
          <t>COPELAND</t>
        </is>
      </c>
      <c r="B1569" t="inlineStr">
        <is>
          <t>6DM3-350E-TSN</t>
        </is>
      </c>
      <c r="D1569" t="inlineStr">
        <is>
          <t>Reciprocating Semi-hermetic</t>
        </is>
      </c>
      <c r="E1569" s="2" t="n">
        <v>3</v>
      </c>
      <c r="F1569" s="2" t="n">
        <v>60</v>
      </c>
      <c r="G1569" s="2" t="n">
        <v>230</v>
      </c>
      <c r="H1569" t="inlineStr">
        <is>
          <t>230</t>
        </is>
      </c>
      <c r="I1569" s="2" t="n">
        <v>230</v>
      </c>
      <c r="J1569" s="2" t="n">
        <v>230</v>
      </c>
      <c r="L1569" s="3" t="n"/>
      <c r="M1569" s="3" t="n"/>
      <c r="N1569" s="3" t="n">
        <v>125</v>
      </c>
      <c r="O1569" s="3" t="n"/>
      <c r="P1569" s="3">
        <f>IF(L1569&lt;&gt;"",L1569/1.4,"")</f>
        <v/>
      </c>
      <c r="Q1569" s="3">
        <f>IF(L1569&lt;&gt;"",L1569/1.56,"")</f>
        <v/>
      </c>
      <c r="R1569" s="3">
        <f>IF(M1569&lt;&gt;"",M1569/1.4,"")</f>
        <v/>
      </c>
      <c r="S1569" s="3">
        <f>IF(M1569&lt;&gt;"",M1569/1.56,"")</f>
        <v/>
      </c>
      <c r="T1569" s="3">
        <f>IF(N1569&lt;&gt;"",N1569,IF(O1569&lt;&gt;"",O1569,IF(L1569&lt;&gt;"",L1569/1.56,IF(M1569&lt;&gt;"",M1569/1.56,""))))</f>
        <v/>
      </c>
      <c r="U1569" s="3" t="n">
        <v>594</v>
      </c>
      <c r="V1569" s="3" t="n">
        <v>340</v>
      </c>
      <c r="W1569" s="3" t="n"/>
      <c r="X1569" s="4" t="n"/>
      <c r="Y1569" s="5" t="n">
        <v>0.08500000000000001</v>
      </c>
      <c r="Z1569" s="4">
        <f>IF(L1569&lt;&gt;"",SQRT(3)*G1569*L1569/1000,"")</f>
        <v/>
      </c>
      <c r="AA1569" t="inlineStr">
        <is>
          <t>Source=Copeland 2D/3D/4D/4R/6D/8D/9R compressors (pdf) p78; PWS_RLA=62.5</t>
        </is>
      </c>
      <c r="AB1569" t="inlineStr">
        <is>
          <t>Copeland_RLA_230_460_3ph_60Hz.xlsx</t>
        </is>
      </c>
      <c r="AC1569" t="inlineStr">
        <is>
          <t>Recip_2D-9R</t>
        </is>
      </c>
    </row>
    <row r="1570">
      <c r="A1570" t="inlineStr">
        <is>
          <t>COPELAND</t>
        </is>
      </c>
      <c r="B1570" t="inlineStr">
        <is>
          <t>6DM3-350E-TSN</t>
        </is>
      </c>
      <c r="D1570" t="inlineStr">
        <is>
          <t>Reciprocating Semi-hermetic</t>
        </is>
      </c>
      <c r="E1570" s="2" t="n">
        <v>3</v>
      </c>
      <c r="F1570" s="2" t="n">
        <v>60</v>
      </c>
      <c r="G1570" s="2" t="n">
        <v>460</v>
      </c>
      <c r="H1570" t="inlineStr">
        <is>
          <t>460</t>
        </is>
      </c>
      <c r="I1570" s="2" t="n">
        <v>460</v>
      </c>
      <c r="J1570" s="2" t="n">
        <v>460</v>
      </c>
      <c r="L1570" s="3" t="n"/>
      <c r="M1570" s="3" t="n"/>
      <c r="N1570" s="3" t="n">
        <v>62.5</v>
      </c>
      <c r="O1570" s="3" t="n"/>
      <c r="P1570" s="3">
        <f>IF(L1570&lt;&gt;"",L1570/1.4,"")</f>
        <v/>
      </c>
      <c r="Q1570" s="3">
        <f>IF(L1570&lt;&gt;"",L1570/1.56,"")</f>
        <v/>
      </c>
      <c r="R1570" s="3">
        <f>IF(M1570&lt;&gt;"",M1570/1.4,"")</f>
        <v/>
      </c>
      <c r="S1570" s="3">
        <f>IF(M1570&lt;&gt;"",M1570/1.56,"")</f>
        <v/>
      </c>
      <c r="T1570" s="3">
        <f>IF(N1570&lt;&gt;"",N1570,IF(O1570&lt;&gt;"",O1570,IF(L1570&lt;&gt;"",L1570/1.56,IF(M1570&lt;&gt;"",M1570/1.56,""))))</f>
        <v/>
      </c>
      <c r="U1570" s="3" t="n">
        <v>297</v>
      </c>
      <c r="V1570" s="3" t="n"/>
      <c r="W1570" s="3" t="n"/>
      <c r="X1570" s="4" t="n"/>
      <c r="Y1570" s="5" t="n">
        <v>0.34</v>
      </c>
      <c r="Z1570" s="4">
        <f>IF(L1570&lt;&gt;"",SQRT(3)*G1570*L1570/1000,"")</f>
        <v/>
      </c>
      <c r="AA1570" t="inlineStr">
        <is>
          <t>Source=Copeland 2D/3D/4D/4R/6D/8D/9R compressors (pdf) p78</t>
        </is>
      </c>
      <c r="AB1570" t="inlineStr">
        <is>
          <t>Copeland_RLA_230_460_3ph_60Hz.xlsx</t>
        </is>
      </c>
      <c r="AC1570" t="inlineStr">
        <is>
          <t>Recip_2D-9R</t>
        </is>
      </c>
    </row>
    <row r="1571">
      <c r="A1571" t="inlineStr">
        <is>
          <t>COPELAND</t>
        </is>
      </c>
      <c r="B1571" t="inlineStr">
        <is>
          <t>6DM3-350L-FSD</t>
        </is>
      </c>
      <c r="D1571" t="inlineStr">
        <is>
          <t>Reciprocating Semi-hermetic</t>
        </is>
      </c>
      <c r="E1571" s="2" t="n">
        <v>3</v>
      </c>
      <c r="F1571" s="2" t="n">
        <v>60</v>
      </c>
      <c r="G1571" s="2" t="n">
        <v>460</v>
      </c>
      <c r="H1571" t="inlineStr">
        <is>
          <t>460</t>
        </is>
      </c>
      <c r="I1571" s="2" t="n">
        <v>460</v>
      </c>
      <c r="J1571" s="2" t="n">
        <v>460</v>
      </c>
      <c r="L1571" s="3" t="n"/>
      <c r="M1571" s="3" t="n"/>
      <c r="N1571" s="3" t="n">
        <v>66</v>
      </c>
      <c r="O1571" s="3" t="n"/>
      <c r="P1571" s="3">
        <f>IF(L1571&lt;&gt;"",L1571/1.4,"")</f>
        <v/>
      </c>
      <c r="Q1571" s="3">
        <f>IF(L1571&lt;&gt;"",L1571/1.56,"")</f>
        <v/>
      </c>
      <c r="R1571" s="3">
        <f>IF(M1571&lt;&gt;"",M1571/1.4,"")</f>
        <v/>
      </c>
      <c r="S1571" s="3">
        <f>IF(M1571&lt;&gt;"",M1571/1.56,"")</f>
        <v/>
      </c>
      <c r="T1571" s="3">
        <f>IF(N1571&lt;&gt;"",N1571,IF(O1571&lt;&gt;"",O1571,IF(L1571&lt;&gt;"",L1571/1.56,IF(M1571&lt;&gt;"",M1571/1.56,""))))</f>
        <v/>
      </c>
      <c r="U1571" s="3" t="n">
        <v>315</v>
      </c>
      <c r="V1571" s="3" t="n">
        <v>195</v>
      </c>
      <c r="W1571" s="3" t="n"/>
      <c r="X1571" s="4" t="n"/>
      <c r="Y1571" s="5" t="n">
        <v>0.32</v>
      </c>
      <c r="Z1571" s="4">
        <f>IF(L1571&lt;&gt;"",SQRT(3)*G1571*L1571/1000,"")</f>
        <v/>
      </c>
      <c r="AA1571" t="inlineStr">
        <is>
          <t>Source=Copeland 2D/3D/4D/4R/6D/8D/9R compressors (pdf) p78; PWS_RLA=33.0</t>
        </is>
      </c>
      <c r="AB1571" t="inlineStr">
        <is>
          <t>Copeland_RLA_230_460_3ph_60Hz.xlsx</t>
        </is>
      </c>
      <c r="AC1571" t="inlineStr">
        <is>
          <t>Recip_2D-9R</t>
        </is>
      </c>
    </row>
    <row r="1572">
      <c r="A1572" t="inlineStr">
        <is>
          <t>COPELAND</t>
        </is>
      </c>
      <c r="B1572" t="inlineStr">
        <is>
          <t>6DM3-350L-TSN</t>
        </is>
      </c>
      <c r="D1572" t="inlineStr">
        <is>
          <t>Reciprocating Semi-hermetic</t>
        </is>
      </c>
      <c r="E1572" s="2" t="n">
        <v>3</v>
      </c>
      <c r="F1572" s="2" t="n">
        <v>60</v>
      </c>
      <c r="G1572" s="2" t="n">
        <v>230</v>
      </c>
      <c r="H1572" t="inlineStr">
        <is>
          <t>230</t>
        </is>
      </c>
      <c r="I1572" s="2" t="n">
        <v>230</v>
      </c>
      <c r="J1572" s="2" t="n">
        <v>230</v>
      </c>
      <c r="L1572" s="3" t="n"/>
      <c r="M1572" s="3" t="n"/>
      <c r="N1572" s="3" t="n">
        <v>125</v>
      </c>
      <c r="O1572" s="3" t="n"/>
      <c r="P1572" s="3">
        <f>IF(L1572&lt;&gt;"",L1572/1.4,"")</f>
        <v/>
      </c>
      <c r="Q1572" s="3">
        <f>IF(L1572&lt;&gt;"",L1572/1.56,"")</f>
        <v/>
      </c>
      <c r="R1572" s="3">
        <f>IF(M1572&lt;&gt;"",M1572/1.4,"")</f>
        <v/>
      </c>
      <c r="S1572" s="3">
        <f>IF(M1572&lt;&gt;"",M1572/1.56,"")</f>
        <v/>
      </c>
      <c r="T1572" s="3">
        <f>IF(N1572&lt;&gt;"",N1572,IF(O1572&lt;&gt;"",O1572,IF(L1572&lt;&gt;"",L1572/1.56,IF(M1572&lt;&gt;"",M1572/1.56,""))))</f>
        <v/>
      </c>
      <c r="U1572" s="3" t="n">
        <v>594</v>
      </c>
      <c r="V1572" s="3" t="n">
        <v>340</v>
      </c>
      <c r="W1572" s="3" t="n"/>
      <c r="X1572" s="4" t="n"/>
      <c r="Y1572" s="5" t="n">
        <v>0.08500000000000001</v>
      </c>
      <c r="Z1572" s="4">
        <f>IF(L1572&lt;&gt;"",SQRT(3)*G1572*L1572/1000,"")</f>
        <v/>
      </c>
      <c r="AA1572" t="inlineStr">
        <is>
          <t>Source=Copeland 2D/3D/4D/4R/6D/8D/9R compressors (pdf) p79; PWS_RLA=62.5</t>
        </is>
      </c>
      <c r="AB1572" t="inlineStr">
        <is>
          <t>Copeland_RLA_230_460_3ph_60Hz.xlsx</t>
        </is>
      </c>
      <c r="AC1572" t="inlineStr">
        <is>
          <t>Recip_2D-9R</t>
        </is>
      </c>
    </row>
    <row r="1573">
      <c r="A1573" t="inlineStr">
        <is>
          <t>COPELAND</t>
        </is>
      </c>
      <c r="B1573" t="inlineStr">
        <is>
          <t>6DM3-350L-TSN</t>
        </is>
      </c>
      <c r="D1573" t="inlineStr">
        <is>
          <t>Reciprocating Semi-hermetic</t>
        </is>
      </c>
      <c r="E1573" s="2" t="n">
        <v>3</v>
      </c>
      <c r="F1573" s="2" t="n">
        <v>60</v>
      </c>
      <c r="G1573" s="2" t="n">
        <v>460</v>
      </c>
      <c r="H1573" t="inlineStr">
        <is>
          <t>460</t>
        </is>
      </c>
      <c r="I1573" s="2" t="n">
        <v>460</v>
      </c>
      <c r="J1573" s="2" t="n">
        <v>460</v>
      </c>
      <c r="L1573" s="3" t="n"/>
      <c r="M1573" s="3" t="n"/>
      <c r="N1573" s="3" t="n">
        <v>62.5</v>
      </c>
      <c r="O1573" s="3" t="n"/>
      <c r="P1573" s="3">
        <f>IF(L1573&lt;&gt;"",L1573/1.4,"")</f>
        <v/>
      </c>
      <c r="Q1573" s="3">
        <f>IF(L1573&lt;&gt;"",L1573/1.56,"")</f>
        <v/>
      </c>
      <c r="R1573" s="3">
        <f>IF(M1573&lt;&gt;"",M1573/1.4,"")</f>
        <v/>
      </c>
      <c r="S1573" s="3">
        <f>IF(M1573&lt;&gt;"",M1573/1.56,"")</f>
        <v/>
      </c>
      <c r="T1573" s="3">
        <f>IF(N1573&lt;&gt;"",N1573,IF(O1573&lt;&gt;"",O1573,IF(L1573&lt;&gt;"",L1573/1.56,IF(M1573&lt;&gt;"",M1573/1.56,""))))</f>
        <v/>
      </c>
      <c r="U1573" s="3" t="n">
        <v>297</v>
      </c>
      <c r="V1573" s="3" t="n"/>
      <c r="W1573" s="3" t="n"/>
      <c r="X1573" s="4" t="n"/>
      <c r="Y1573" s="5" t="n">
        <v>0.34</v>
      </c>
      <c r="Z1573" s="4">
        <f>IF(L1573&lt;&gt;"",SQRT(3)*G1573*L1573/1000,"")</f>
        <v/>
      </c>
      <c r="AA1573" t="inlineStr">
        <is>
          <t>Source=Copeland 2D/3D/4D/4R/6D/8D/9R compressors (pdf) p79</t>
        </is>
      </c>
      <c r="AB1573" t="inlineStr">
        <is>
          <t>Copeland_RLA_230_460_3ph_60Hz.xlsx</t>
        </is>
      </c>
      <c r="AC1573" t="inlineStr">
        <is>
          <t>Recip_2D-9R</t>
        </is>
      </c>
    </row>
    <row r="1574">
      <c r="A1574" t="inlineStr">
        <is>
          <t>COPELAND</t>
        </is>
      </c>
      <c r="B1574" t="inlineStr">
        <is>
          <t>6DM3A3500-FSD</t>
        </is>
      </c>
      <c r="D1574" t="inlineStr">
        <is>
          <t>Reciprocating Semi-hermetic</t>
        </is>
      </c>
      <c r="E1574" s="2" t="n">
        <v>3</v>
      </c>
      <c r="F1574" s="2" t="n">
        <v>60</v>
      </c>
      <c r="G1574" s="2" t="n">
        <v>460</v>
      </c>
      <c r="H1574" t="inlineStr">
        <is>
          <t>460</t>
        </is>
      </c>
      <c r="I1574" s="2" t="n">
        <v>460</v>
      </c>
      <c r="J1574" s="2" t="n">
        <v>460</v>
      </c>
      <c r="L1574" s="3" t="n"/>
      <c r="M1574" s="3" t="n"/>
      <c r="N1574" s="3" t="n">
        <v>66</v>
      </c>
      <c r="O1574" s="3" t="n"/>
      <c r="P1574" s="3">
        <f>IF(L1574&lt;&gt;"",L1574/1.4,"")</f>
        <v/>
      </c>
      <c r="Q1574" s="3">
        <f>IF(L1574&lt;&gt;"",L1574/1.56,"")</f>
        <v/>
      </c>
      <c r="R1574" s="3">
        <f>IF(M1574&lt;&gt;"",M1574/1.4,"")</f>
        <v/>
      </c>
      <c r="S1574" s="3">
        <f>IF(M1574&lt;&gt;"",M1574/1.56,"")</f>
        <v/>
      </c>
      <c r="T1574" s="3">
        <f>IF(N1574&lt;&gt;"",N1574,IF(O1574&lt;&gt;"",O1574,IF(L1574&lt;&gt;"",L1574/1.56,IF(M1574&lt;&gt;"",M1574/1.56,""))))</f>
        <v/>
      </c>
      <c r="U1574" s="3" t="n">
        <v>315</v>
      </c>
      <c r="V1574" s="3" t="n">
        <v>195</v>
      </c>
      <c r="W1574" s="3" t="n"/>
      <c r="X1574" s="4" t="n"/>
      <c r="Y1574" s="5" t="n">
        <v>0.32</v>
      </c>
      <c r="Z1574" s="4">
        <f>IF(L1574&lt;&gt;"",SQRT(3)*G1574*L1574/1000,"")</f>
        <v/>
      </c>
      <c r="AA1574" t="inlineStr">
        <is>
          <t>Source=Copeland 2D/3D/4D/4R/6D/8D/9R compressors (pdf) p79; PWS_RLA=33.0</t>
        </is>
      </c>
      <c r="AB1574" t="inlineStr">
        <is>
          <t>Copeland_RLA_230_460_3ph_60Hz.xlsx</t>
        </is>
      </c>
      <c r="AC1574" t="inlineStr">
        <is>
          <t>Recip_2D-9R</t>
        </is>
      </c>
    </row>
    <row r="1575">
      <c r="A1575" t="inlineStr">
        <is>
          <t>COPELAND</t>
        </is>
      </c>
      <c r="B1575" t="inlineStr">
        <is>
          <t>6DM3A3500-FXD</t>
        </is>
      </c>
      <c r="D1575" t="inlineStr">
        <is>
          <t>Reciprocating Semi-hermetic</t>
        </is>
      </c>
      <c r="E1575" s="2" t="n">
        <v>3</v>
      </c>
      <c r="F1575" s="2" t="n">
        <v>60</v>
      </c>
      <c r="G1575" s="2" t="n">
        <v>460</v>
      </c>
      <c r="H1575" t="inlineStr">
        <is>
          <t>460</t>
        </is>
      </c>
      <c r="I1575" s="2" t="n">
        <v>460</v>
      </c>
      <c r="J1575" s="2" t="n">
        <v>460</v>
      </c>
      <c r="L1575" s="3" t="n"/>
      <c r="M1575" s="3" t="n"/>
      <c r="N1575" s="3" t="n"/>
      <c r="O1575" s="3" t="n"/>
      <c r="P1575" s="3">
        <f>IF(L1575&lt;&gt;"",L1575/1.4,"")</f>
        <v/>
      </c>
      <c r="Q1575" s="3">
        <f>IF(L1575&lt;&gt;"",L1575/1.56,"")</f>
        <v/>
      </c>
      <c r="R1575" s="3">
        <f>IF(M1575&lt;&gt;"",M1575/1.4,"")</f>
        <v/>
      </c>
      <c r="S1575" s="3">
        <f>IF(M1575&lt;&gt;"",M1575/1.56,"")</f>
        <v/>
      </c>
      <c r="T1575" s="3">
        <f>IF(N1575&lt;&gt;"",N1575,IF(O1575&lt;&gt;"",O1575,IF(L1575&lt;&gt;"",L1575/1.56,IF(M1575&lt;&gt;"",M1575/1.56,""))))</f>
        <v/>
      </c>
      <c r="U1575" s="3" t="n">
        <v>315</v>
      </c>
      <c r="V1575" s="3" t="n">
        <v>195</v>
      </c>
      <c r="W1575" s="3" t="n"/>
      <c r="X1575" s="4" t="n"/>
      <c r="Y1575" s="5" t="n">
        <v>0.32</v>
      </c>
      <c r="Z1575" s="4">
        <f>IF(L1575&lt;&gt;"",SQRT(3)*G1575*L1575/1000,"")</f>
        <v/>
      </c>
      <c r="AA1575" t="inlineStr">
        <is>
          <t>Source=Copeland 2D/3D/4D/4R/6D/8D/9R compressors (pdf) p79</t>
        </is>
      </c>
      <c r="AB1575" t="inlineStr">
        <is>
          <t>Copeland_RLA_230_460_3ph_60Hz.xlsx</t>
        </is>
      </c>
      <c r="AC1575" t="inlineStr">
        <is>
          <t>Recip_2D-9R</t>
        </is>
      </c>
    </row>
    <row r="1576">
      <c r="A1576" t="inlineStr">
        <is>
          <t>COPELAND</t>
        </is>
      </c>
      <c r="B1576" t="inlineStr">
        <is>
          <t>6DM3A3500-TSN</t>
        </is>
      </c>
      <c r="D1576" t="inlineStr">
        <is>
          <t>Reciprocating Semi-hermetic</t>
        </is>
      </c>
      <c r="E1576" s="2" t="n">
        <v>3</v>
      </c>
      <c r="F1576" s="2" t="n">
        <v>60</v>
      </c>
      <c r="G1576" s="2" t="n">
        <v>230</v>
      </c>
      <c r="H1576" t="inlineStr">
        <is>
          <t>230</t>
        </is>
      </c>
      <c r="I1576" s="2" t="n">
        <v>230</v>
      </c>
      <c r="J1576" s="2" t="n">
        <v>230</v>
      </c>
      <c r="L1576" s="3" t="n"/>
      <c r="M1576" s="3" t="n"/>
      <c r="N1576" s="3" t="n">
        <v>125</v>
      </c>
      <c r="O1576" s="3" t="n"/>
      <c r="P1576" s="3">
        <f>IF(L1576&lt;&gt;"",L1576/1.4,"")</f>
        <v/>
      </c>
      <c r="Q1576" s="3">
        <f>IF(L1576&lt;&gt;"",L1576/1.56,"")</f>
        <v/>
      </c>
      <c r="R1576" s="3">
        <f>IF(M1576&lt;&gt;"",M1576/1.4,"")</f>
        <v/>
      </c>
      <c r="S1576" s="3">
        <f>IF(M1576&lt;&gt;"",M1576/1.56,"")</f>
        <v/>
      </c>
      <c r="T1576" s="3">
        <f>IF(N1576&lt;&gt;"",N1576,IF(O1576&lt;&gt;"",O1576,IF(L1576&lt;&gt;"",L1576/1.56,IF(M1576&lt;&gt;"",M1576/1.56,""))))</f>
        <v/>
      </c>
      <c r="U1576" s="3" t="n">
        <v>594</v>
      </c>
      <c r="V1576" s="3" t="n">
        <v>340</v>
      </c>
      <c r="W1576" s="3" t="n"/>
      <c r="X1576" s="4" t="n"/>
      <c r="Y1576" s="5" t="n">
        <v>0.08500000000000001</v>
      </c>
      <c r="Z1576" s="4">
        <f>IF(L1576&lt;&gt;"",SQRT(3)*G1576*L1576/1000,"")</f>
        <v/>
      </c>
      <c r="AA1576" t="inlineStr">
        <is>
          <t>Source=Copeland 2D/3D/4D/4R/6D/8D/9R compressors (pdf) p79; PWS_RLA=62.5</t>
        </is>
      </c>
      <c r="AB1576" t="inlineStr">
        <is>
          <t>Copeland_RLA_230_460_3ph_60Hz.xlsx</t>
        </is>
      </c>
      <c r="AC1576" t="inlineStr">
        <is>
          <t>Recip_2D-9R</t>
        </is>
      </c>
    </row>
    <row r="1577">
      <c r="A1577" t="inlineStr">
        <is>
          <t>COPELAND</t>
        </is>
      </c>
      <c r="B1577" t="inlineStr">
        <is>
          <t>6DM3A3500-TSN</t>
        </is>
      </c>
      <c r="D1577" t="inlineStr">
        <is>
          <t>Reciprocating Semi-hermetic</t>
        </is>
      </c>
      <c r="E1577" s="2" t="n">
        <v>3</v>
      </c>
      <c r="F1577" s="2" t="n">
        <v>60</v>
      </c>
      <c r="G1577" s="2" t="n">
        <v>460</v>
      </c>
      <c r="H1577" t="inlineStr">
        <is>
          <t>460</t>
        </is>
      </c>
      <c r="I1577" s="2" t="n">
        <v>460</v>
      </c>
      <c r="J1577" s="2" t="n">
        <v>460</v>
      </c>
      <c r="L1577" s="3" t="n"/>
      <c r="M1577" s="3" t="n"/>
      <c r="N1577" s="3" t="n">
        <v>62.5</v>
      </c>
      <c r="O1577" s="3" t="n"/>
      <c r="P1577" s="3">
        <f>IF(L1577&lt;&gt;"",L1577/1.4,"")</f>
        <v/>
      </c>
      <c r="Q1577" s="3">
        <f>IF(L1577&lt;&gt;"",L1577/1.56,"")</f>
        <v/>
      </c>
      <c r="R1577" s="3">
        <f>IF(M1577&lt;&gt;"",M1577/1.4,"")</f>
        <v/>
      </c>
      <c r="S1577" s="3">
        <f>IF(M1577&lt;&gt;"",M1577/1.56,"")</f>
        <v/>
      </c>
      <c r="T1577" s="3">
        <f>IF(N1577&lt;&gt;"",N1577,IF(O1577&lt;&gt;"",O1577,IF(L1577&lt;&gt;"",L1577/1.56,IF(M1577&lt;&gt;"",M1577/1.56,""))))</f>
        <v/>
      </c>
      <c r="U1577" s="3" t="n">
        <v>297</v>
      </c>
      <c r="V1577" s="3" t="n"/>
      <c r="W1577" s="3" t="n"/>
      <c r="X1577" s="4" t="n"/>
      <c r="Y1577" s="5" t="n">
        <v>0.34</v>
      </c>
      <c r="Z1577" s="4">
        <f>IF(L1577&lt;&gt;"",SQRT(3)*G1577*L1577/1000,"")</f>
        <v/>
      </c>
      <c r="AA1577" t="inlineStr">
        <is>
          <t>Source=Copeland 2D/3D/4D/4R/6D/8D/9R compressors (pdf) p79</t>
        </is>
      </c>
      <c r="AB1577" t="inlineStr">
        <is>
          <t>Copeland_RLA_230_460_3ph_60Hz.xlsx</t>
        </is>
      </c>
      <c r="AC1577" t="inlineStr">
        <is>
          <t>Recip_2D-9R</t>
        </is>
      </c>
    </row>
    <row r="1578">
      <c r="A1578" t="inlineStr">
        <is>
          <t>COPELAND</t>
        </is>
      </c>
      <c r="B1578" t="inlineStr">
        <is>
          <t>6DM3A3500-TXN</t>
        </is>
      </c>
      <c r="D1578" t="inlineStr">
        <is>
          <t>Reciprocating Semi-hermetic</t>
        </is>
      </c>
      <c r="E1578" s="2" t="n">
        <v>3</v>
      </c>
      <c r="F1578" s="2" t="n">
        <v>60</v>
      </c>
      <c r="G1578" s="2" t="n">
        <v>230</v>
      </c>
      <c r="H1578" t="inlineStr">
        <is>
          <t>230</t>
        </is>
      </c>
      <c r="I1578" s="2" t="n">
        <v>230</v>
      </c>
      <c r="J1578" s="2" t="n">
        <v>230</v>
      </c>
      <c r="L1578" s="3" t="n"/>
      <c r="M1578" s="3" t="n"/>
      <c r="N1578" s="3" t="n"/>
      <c r="O1578" s="3" t="n"/>
      <c r="P1578" s="3">
        <f>IF(L1578&lt;&gt;"",L1578/1.4,"")</f>
        <v/>
      </c>
      <c r="Q1578" s="3">
        <f>IF(L1578&lt;&gt;"",L1578/1.56,"")</f>
        <v/>
      </c>
      <c r="R1578" s="3">
        <f>IF(M1578&lt;&gt;"",M1578/1.4,"")</f>
        <v/>
      </c>
      <c r="S1578" s="3">
        <f>IF(M1578&lt;&gt;"",M1578/1.56,"")</f>
        <v/>
      </c>
      <c r="T1578" s="3">
        <f>IF(N1578&lt;&gt;"",N1578,IF(O1578&lt;&gt;"",O1578,IF(L1578&lt;&gt;"",L1578/1.56,IF(M1578&lt;&gt;"",M1578/1.56,""))))</f>
        <v/>
      </c>
      <c r="U1578" s="3" t="n">
        <v>594</v>
      </c>
      <c r="V1578" s="3" t="n">
        <v>340</v>
      </c>
      <c r="W1578" s="3" t="n"/>
      <c r="X1578" s="4" t="n"/>
      <c r="Y1578" s="5" t="n">
        <v>0.08500000000000001</v>
      </c>
      <c r="Z1578" s="4">
        <f>IF(L1578&lt;&gt;"",SQRT(3)*G1578*L1578/1000,"")</f>
        <v/>
      </c>
      <c r="AA1578" t="inlineStr">
        <is>
          <t>Source=Copeland 2D/3D/4D/4R/6D/8D/9R compressors (pdf) p79</t>
        </is>
      </c>
      <c r="AB1578" t="inlineStr">
        <is>
          <t>Copeland_RLA_230_460_3ph_60Hz.xlsx</t>
        </is>
      </c>
      <c r="AC1578" t="inlineStr">
        <is>
          <t>Recip_2D-9R</t>
        </is>
      </c>
    </row>
    <row r="1579">
      <c r="A1579" t="inlineStr">
        <is>
          <t>COPELAND</t>
        </is>
      </c>
      <c r="B1579" t="inlineStr">
        <is>
          <t>6DM3A3500-TXN</t>
        </is>
      </c>
      <c r="D1579" t="inlineStr">
        <is>
          <t>Reciprocating Semi-hermetic</t>
        </is>
      </c>
      <c r="E1579" s="2" t="n">
        <v>3</v>
      </c>
      <c r="F1579" s="2" t="n">
        <v>60</v>
      </c>
      <c r="G1579" s="2" t="n">
        <v>460</v>
      </c>
      <c r="H1579" t="inlineStr">
        <is>
          <t>460</t>
        </is>
      </c>
      <c r="I1579" s="2" t="n">
        <v>460</v>
      </c>
      <c r="J1579" s="2" t="n">
        <v>460</v>
      </c>
      <c r="L1579" s="3" t="n"/>
      <c r="M1579" s="3" t="n"/>
      <c r="N1579" s="3" t="n"/>
      <c r="O1579" s="3" t="n"/>
      <c r="P1579" s="3">
        <f>IF(L1579&lt;&gt;"",L1579/1.4,"")</f>
        <v/>
      </c>
      <c r="Q1579" s="3">
        <f>IF(L1579&lt;&gt;"",L1579/1.56,"")</f>
        <v/>
      </c>
      <c r="R1579" s="3">
        <f>IF(M1579&lt;&gt;"",M1579/1.4,"")</f>
        <v/>
      </c>
      <c r="S1579" s="3">
        <f>IF(M1579&lt;&gt;"",M1579/1.56,"")</f>
        <v/>
      </c>
      <c r="T1579" s="3">
        <f>IF(N1579&lt;&gt;"",N1579,IF(O1579&lt;&gt;"",O1579,IF(L1579&lt;&gt;"",L1579/1.56,IF(M1579&lt;&gt;"",M1579/1.56,""))))</f>
        <v/>
      </c>
      <c r="U1579" s="3" t="n">
        <v>297</v>
      </c>
      <c r="V1579" s="3" t="n"/>
      <c r="W1579" s="3" t="n"/>
      <c r="X1579" s="4" t="n"/>
      <c r="Y1579" s="5" t="n">
        <v>0.34</v>
      </c>
      <c r="Z1579" s="4">
        <f>IF(L1579&lt;&gt;"",SQRT(3)*G1579*L1579/1000,"")</f>
        <v/>
      </c>
      <c r="AA1579" t="inlineStr">
        <is>
          <t>Source=Copeland 2D/3D/4D/4R/6D/8D/9R compressors (pdf) p79</t>
        </is>
      </c>
      <c r="AB1579" t="inlineStr">
        <is>
          <t>Copeland_RLA_230_460_3ph_60Hz.xlsx</t>
        </is>
      </c>
      <c r="AC1579" t="inlineStr">
        <is>
          <t>Recip_2D-9R</t>
        </is>
      </c>
    </row>
    <row r="1580">
      <c r="A1580" t="inlineStr">
        <is>
          <t>COPELAND</t>
        </is>
      </c>
      <c r="B1580" t="inlineStr">
        <is>
          <t>6DM3A350E-FSD</t>
        </is>
      </c>
      <c r="D1580" t="inlineStr">
        <is>
          <t>Reciprocating Semi-hermetic</t>
        </is>
      </c>
      <c r="E1580" s="2" t="n">
        <v>3</v>
      </c>
      <c r="F1580" s="2" t="n">
        <v>60</v>
      </c>
      <c r="G1580" s="2" t="n">
        <v>460</v>
      </c>
      <c r="H1580" t="inlineStr">
        <is>
          <t>460</t>
        </is>
      </c>
      <c r="I1580" s="2" t="n">
        <v>460</v>
      </c>
      <c r="J1580" s="2" t="n">
        <v>460</v>
      </c>
      <c r="L1580" s="3" t="n"/>
      <c r="M1580" s="3" t="n"/>
      <c r="N1580" s="3" t="n">
        <v>66</v>
      </c>
      <c r="O1580" s="3" t="n"/>
      <c r="P1580" s="3">
        <f>IF(L1580&lt;&gt;"",L1580/1.4,"")</f>
        <v/>
      </c>
      <c r="Q1580" s="3">
        <f>IF(L1580&lt;&gt;"",L1580/1.56,"")</f>
        <v/>
      </c>
      <c r="R1580" s="3">
        <f>IF(M1580&lt;&gt;"",M1580/1.4,"")</f>
        <v/>
      </c>
      <c r="S1580" s="3">
        <f>IF(M1580&lt;&gt;"",M1580/1.56,"")</f>
        <v/>
      </c>
      <c r="T1580" s="3">
        <f>IF(N1580&lt;&gt;"",N1580,IF(O1580&lt;&gt;"",O1580,IF(L1580&lt;&gt;"",L1580/1.56,IF(M1580&lt;&gt;"",M1580/1.56,""))))</f>
        <v/>
      </c>
      <c r="U1580" s="3" t="n">
        <v>315</v>
      </c>
      <c r="V1580" s="3" t="n">
        <v>195</v>
      </c>
      <c r="W1580" s="3" t="n"/>
      <c r="X1580" s="4" t="n"/>
      <c r="Y1580" s="5" t="n">
        <v>0.32</v>
      </c>
      <c r="Z1580" s="4">
        <f>IF(L1580&lt;&gt;"",SQRT(3)*G1580*L1580/1000,"")</f>
        <v/>
      </c>
      <c r="AA1580" t="inlineStr">
        <is>
          <t>Source=Copeland 2D/3D/4D/4R/6D/8D/9R compressors (pdf) p79; PWS_RLA=33.0</t>
        </is>
      </c>
      <c r="AB1580" t="inlineStr">
        <is>
          <t>Copeland_RLA_230_460_3ph_60Hz.xlsx</t>
        </is>
      </c>
      <c r="AC1580" t="inlineStr">
        <is>
          <t>Recip_2D-9R</t>
        </is>
      </c>
    </row>
    <row r="1581">
      <c r="A1581" t="inlineStr">
        <is>
          <t>COPELAND</t>
        </is>
      </c>
      <c r="B1581" t="inlineStr">
        <is>
          <t>6DM3A350E-TSN</t>
        </is>
      </c>
      <c r="D1581" t="inlineStr">
        <is>
          <t>Reciprocating Semi-hermetic</t>
        </is>
      </c>
      <c r="E1581" s="2" t="n">
        <v>3</v>
      </c>
      <c r="F1581" s="2" t="n">
        <v>60</v>
      </c>
      <c r="G1581" s="2" t="n">
        <v>230</v>
      </c>
      <c r="H1581" t="inlineStr">
        <is>
          <t>230</t>
        </is>
      </c>
      <c r="I1581" s="2" t="n">
        <v>230</v>
      </c>
      <c r="J1581" s="2" t="n">
        <v>230</v>
      </c>
      <c r="L1581" s="3" t="n"/>
      <c r="M1581" s="3" t="n"/>
      <c r="N1581" s="3" t="n">
        <v>168.6</v>
      </c>
      <c r="O1581" s="3" t="n"/>
      <c r="P1581" s="3">
        <f>IF(L1581&lt;&gt;"",L1581/1.4,"")</f>
        <v/>
      </c>
      <c r="Q1581" s="3">
        <f>IF(L1581&lt;&gt;"",L1581/1.56,"")</f>
        <v/>
      </c>
      <c r="R1581" s="3">
        <f>IF(M1581&lt;&gt;"",M1581/1.4,"")</f>
        <v/>
      </c>
      <c r="S1581" s="3">
        <f>IF(M1581&lt;&gt;"",M1581/1.56,"")</f>
        <v/>
      </c>
      <c r="T1581" s="3">
        <f>IF(N1581&lt;&gt;"",N1581,IF(O1581&lt;&gt;"",O1581,IF(L1581&lt;&gt;"",L1581/1.56,IF(M1581&lt;&gt;"",M1581/1.56,""))))</f>
        <v/>
      </c>
      <c r="U1581" s="3" t="n">
        <v>594</v>
      </c>
      <c r="V1581" s="3" t="n">
        <v>340</v>
      </c>
      <c r="W1581" s="3" t="n"/>
      <c r="X1581" s="4" t="n"/>
      <c r="Y1581" s="5" t="n">
        <v>0.08500000000000001</v>
      </c>
      <c r="Z1581" s="4">
        <f>IF(L1581&lt;&gt;"",SQRT(3)*G1581*L1581/1000,"")</f>
        <v/>
      </c>
      <c r="AA1581" t="inlineStr">
        <is>
          <t>Source=Copeland 2D/3D/4D/4R/6D/8D/9R compressors (pdf) p79; PWS_RLA=62.5</t>
        </is>
      </c>
      <c r="AB1581" t="inlineStr">
        <is>
          <t>Copeland_RLA_230_460_3ph_60Hz.xlsx</t>
        </is>
      </c>
      <c r="AC1581" t="inlineStr">
        <is>
          <t>Recip_2D-9R</t>
        </is>
      </c>
    </row>
    <row r="1582">
      <c r="A1582" t="inlineStr">
        <is>
          <t>COPELAND</t>
        </is>
      </c>
      <c r="B1582" t="inlineStr">
        <is>
          <t>6DM3A350E-TSN</t>
        </is>
      </c>
      <c r="D1582" t="inlineStr">
        <is>
          <t>Reciprocating Semi-hermetic</t>
        </is>
      </c>
      <c r="E1582" s="2" t="n">
        <v>3</v>
      </c>
      <c r="F1582" s="2" t="n">
        <v>60</v>
      </c>
      <c r="G1582" s="2" t="n">
        <v>460</v>
      </c>
      <c r="H1582" t="inlineStr">
        <is>
          <t>460</t>
        </is>
      </c>
      <c r="I1582" s="2" t="n">
        <v>460</v>
      </c>
      <c r="J1582" s="2" t="n">
        <v>460</v>
      </c>
      <c r="L1582" s="3" t="n"/>
      <c r="M1582" s="3" t="n"/>
      <c r="N1582" s="3" t="n">
        <v>84.3</v>
      </c>
      <c r="O1582" s="3" t="n"/>
      <c r="P1582" s="3">
        <f>IF(L1582&lt;&gt;"",L1582/1.4,"")</f>
        <v/>
      </c>
      <c r="Q1582" s="3">
        <f>IF(L1582&lt;&gt;"",L1582/1.56,"")</f>
        <v/>
      </c>
      <c r="R1582" s="3">
        <f>IF(M1582&lt;&gt;"",M1582/1.4,"")</f>
        <v/>
      </c>
      <c r="S1582" s="3">
        <f>IF(M1582&lt;&gt;"",M1582/1.56,"")</f>
        <v/>
      </c>
      <c r="T1582" s="3">
        <f>IF(N1582&lt;&gt;"",N1582,IF(O1582&lt;&gt;"",O1582,IF(L1582&lt;&gt;"",L1582/1.56,IF(M1582&lt;&gt;"",M1582/1.56,""))))</f>
        <v/>
      </c>
      <c r="U1582" s="3" t="n">
        <v>297</v>
      </c>
      <c r="V1582" s="3" t="n"/>
      <c r="W1582" s="3" t="n"/>
      <c r="X1582" s="4" t="n"/>
      <c r="Y1582" s="5" t="n">
        <v>0.34</v>
      </c>
      <c r="Z1582" s="4">
        <f>IF(L1582&lt;&gt;"",SQRT(3)*G1582*L1582/1000,"")</f>
        <v/>
      </c>
      <c r="AA1582" t="inlineStr">
        <is>
          <t>Source=Copeland 2D/3D/4D/4R/6D/8D/9R compressors (pdf) p79</t>
        </is>
      </c>
      <c r="AB1582" t="inlineStr">
        <is>
          <t>Copeland_RLA_230_460_3ph_60Hz.xlsx</t>
        </is>
      </c>
      <c r="AC1582" t="inlineStr">
        <is>
          <t>Recip_2D-9R</t>
        </is>
      </c>
    </row>
    <row r="1583">
      <c r="A1583" t="inlineStr">
        <is>
          <t>COPELAND</t>
        </is>
      </c>
      <c r="B1583" t="inlineStr">
        <is>
          <t>6DM3A350L-FSD</t>
        </is>
      </c>
      <c r="D1583" t="inlineStr">
        <is>
          <t>Reciprocating Semi-hermetic</t>
        </is>
      </c>
      <c r="E1583" s="2" t="n">
        <v>3</v>
      </c>
      <c r="F1583" s="2" t="n">
        <v>60</v>
      </c>
      <c r="G1583" s="2" t="n">
        <v>460</v>
      </c>
      <c r="H1583" t="inlineStr">
        <is>
          <t>460</t>
        </is>
      </c>
      <c r="I1583" s="2" t="n">
        <v>460</v>
      </c>
      <c r="J1583" s="2" t="n">
        <v>460</v>
      </c>
      <c r="L1583" s="3" t="n"/>
      <c r="M1583" s="3" t="n"/>
      <c r="N1583" s="3" t="n">
        <v>66</v>
      </c>
      <c r="O1583" s="3" t="n"/>
      <c r="P1583" s="3">
        <f>IF(L1583&lt;&gt;"",L1583/1.4,"")</f>
        <v/>
      </c>
      <c r="Q1583" s="3">
        <f>IF(L1583&lt;&gt;"",L1583/1.56,"")</f>
        <v/>
      </c>
      <c r="R1583" s="3">
        <f>IF(M1583&lt;&gt;"",M1583/1.4,"")</f>
        <v/>
      </c>
      <c r="S1583" s="3">
        <f>IF(M1583&lt;&gt;"",M1583/1.56,"")</f>
        <v/>
      </c>
      <c r="T1583" s="3">
        <f>IF(N1583&lt;&gt;"",N1583,IF(O1583&lt;&gt;"",O1583,IF(L1583&lt;&gt;"",L1583/1.56,IF(M1583&lt;&gt;"",M1583/1.56,""))))</f>
        <v/>
      </c>
      <c r="U1583" s="3" t="n">
        <v>315</v>
      </c>
      <c r="V1583" s="3" t="n">
        <v>195</v>
      </c>
      <c r="W1583" s="3" t="n"/>
      <c r="X1583" s="4" t="n"/>
      <c r="Y1583" s="5" t="n">
        <v>0.32</v>
      </c>
      <c r="Z1583" s="4">
        <f>IF(L1583&lt;&gt;"",SQRT(3)*G1583*L1583/1000,"")</f>
        <v/>
      </c>
      <c r="AA1583" t="inlineStr">
        <is>
          <t>Source=Copeland 2D/3D/4D/4R/6D/8D/9R compressors (pdf) p79; PWS_RLA=33.0</t>
        </is>
      </c>
      <c r="AB1583" t="inlineStr">
        <is>
          <t>Copeland_RLA_230_460_3ph_60Hz.xlsx</t>
        </is>
      </c>
      <c r="AC1583" t="inlineStr">
        <is>
          <t>Recip_2D-9R</t>
        </is>
      </c>
    </row>
    <row r="1584">
      <c r="A1584" t="inlineStr">
        <is>
          <t>COPELAND</t>
        </is>
      </c>
      <c r="B1584" t="inlineStr">
        <is>
          <t>6DM3A350L-TSN</t>
        </is>
      </c>
      <c r="D1584" t="inlineStr">
        <is>
          <t>Reciprocating Semi-hermetic</t>
        </is>
      </c>
      <c r="E1584" s="2" t="n">
        <v>3</v>
      </c>
      <c r="F1584" s="2" t="n">
        <v>60</v>
      </c>
      <c r="G1584" s="2" t="n">
        <v>230</v>
      </c>
      <c r="H1584" t="inlineStr">
        <is>
          <t>230</t>
        </is>
      </c>
      <c r="I1584" s="2" t="n">
        <v>230</v>
      </c>
      <c r="J1584" s="2" t="n">
        <v>230</v>
      </c>
      <c r="L1584" s="3" t="n"/>
      <c r="M1584" s="3" t="n"/>
      <c r="N1584" s="3" t="n">
        <v>168.6</v>
      </c>
      <c r="O1584" s="3" t="n"/>
      <c r="P1584" s="3">
        <f>IF(L1584&lt;&gt;"",L1584/1.4,"")</f>
        <v/>
      </c>
      <c r="Q1584" s="3">
        <f>IF(L1584&lt;&gt;"",L1584/1.56,"")</f>
        <v/>
      </c>
      <c r="R1584" s="3">
        <f>IF(M1584&lt;&gt;"",M1584/1.4,"")</f>
        <v/>
      </c>
      <c r="S1584" s="3">
        <f>IF(M1584&lt;&gt;"",M1584/1.56,"")</f>
        <v/>
      </c>
      <c r="T1584" s="3">
        <f>IF(N1584&lt;&gt;"",N1584,IF(O1584&lt;&gt;"",O1584,IF(L1584&lt;&gt;"",L1584/1.56,IF(M1584&lt;&gt;"",M1584/1.56,""))))</f>
        <v/>
      </c>
      <c r="U1584" s="3" t="n">
        <v>594</v>
      </c>
      <c r="V1584" s="3" t="n">
        <v>340</v>
      </c>
      <c r="W1584" s="3" t="n"/>
      <c r="X1584" s="4" t="n"/>
      <c r="Y1584" s="5" t="n">
        <v>0.08500000000000001</v>
      </c>
      <c r="Z1584" s="4">
        <f>IF(L1584&lt;&gt;"",SQRT(3)*G1584*L1584/1000,"")</f>
        <v/>
      </c>
      <c r="AA1584" t="inlineStr">
        <is>
          <t>Source=Copeland 2D/3D/4D/4R/6D/8D/9R compressors (pdf) p80; PWS_RLA=62.5</t>
        </is>
      </c>
      <c r="AB1584" t="inlineStr">
        <is>
          <t>Copeland_RLA_230_460_3ph_60Hz.xlsx</t>
        </is>
      </c>
      <c r="AC1584" t="inlineStr">
        <is>
          <t>Recip_2D-9R</t>
        </is>
      </c>
    </row>
    <row r="1585">
      <c r="A1585" t="inlineStr">
        <is>
          <t>COPELAND</t>
        </is>
      </c>
      <c r="B1585" t="inlineStr">
        <is>
          <t>6DM3A350L-TSN</t>
        </is>
      </c>
      <c r="D1585" t="inlineStr">
        <is>
          <t>Reciprocating Semi-hermetic</t>
        </is>
      </c>
      <c r="E1585" s="2" t="n">
        <v>3</v>
      </c>
      <c r="F1585" s="2" t="n">
        <v>60</v>
      </c>
      <c r="G1585" s="2" t="n">
        <v>460</v>
      </c>
      <c r="H1585" t="inlineStr">
        <is>
          <t>460</t>
        </is>
      </c>
      <c r="I1585" s="2" t="n">
        <v>460</v>
      </c>
      <c r="J1585" s="2" t="n">
        <v>460</v>
      </c>
      <c r="L1585" s="3" t="n"/>
      <c r="M1585" s="3" t="n"/>
      <c r="N1585" s="3" t="n">
        <v>84.3</v>
      </c>
      <c r="O1585" s="3" t="n"/>
      <c r="P1585" s="3">
        <f>IF(L1585&lt;&gt;"",L1585/1.4,"")</f>
        <v/>
      </c>
      <c r="Q1585" s="3">
        <f>IF(L1585&lt;&gt;"",L1585/1.56,"")</f>
        <v/>
      </c>
      <c r="R1585" s="3">
        <f>IF(M1585&lt;&gt;"",M1585/1.4,"")</f>
        <v/>
      </c>
      <c r="S1585" s="3">
        <f>IF(M1585&lt;&gt;"",M1585/1.56,"")</f>
        <v/>
      </c>
      <c r="T1585" s="3">
        <f>IF(N1585&lt;&gt;"",N1585,IF(O1585&lt;&gt;"",O1585,IF(L1585&lt;&gt;"",L1585/1.56,IF(M1585&lt;&gt;"",M1585/1.56,""))))</f>
        <v/>
      </c>
      <c r="U1585" s="3" t="n">
        <v>297</v>
      </c>
      <c r="V1585" s="3" t="n"/>
      <c r="W1585" s="3" t="n"/>
      <c r="X1585" s="4" t="n"/>
      <c r="Y1585" s="5" t="n">
        <v>0.34</v>
      </c>
      <c r="Z1585" s="4">
        <f>IF(L1585&lt;&gt;"",SQRT(3)*G1585*L1585/1000,"")</f>
        <v/>
      </c>
      <c r="AA1585" t="inlineStr">
        <is>
          <t>Source=Copeland 2D/3D/4D/4R/6D/8D/9R compressors (pdf) p80</t>
        </is>
      </c>
      <c r="AB1585" t="inlineStr">
        <is>
          <t>Copeland_RLA_230_460_3ph_60Hz.xlsx</t>
        </is>
      </c>
      <c r="AC1585" t="inlineStr">
        <is>
          <t>Recip_2D-9R</t>
        </is>
      </c>
    </row>
    <row r="1586">
      <c r="A1586" t="inlineStr">
        <is>
          <t>COPELAND</t>
        </is>
      </c>
      <c r="B1586" t="inlineStr">
        <is>
          <t>6DM3R37M0-FSD</t>
        </is>
      </c>
      <c r="D1586" t="inlineStr">
        <is>
          <t>Reciprocating Semi-hermetic</t>
        </is>
      </c>
      <c r="E1586" s="2" t="n">
        <v>3</v>
      </c>
      <c r="F1586" s="2" t="n">
        <v>60</v>
      </c>
      <c r="G1586" s="2" t="n">
        <v>460</v>
      </c>
      <c r="H1586" t="inlineStr">
        <is>
          <t>460</t>
        </is>
      </c>
      <c r="I1586" s="2" t="n">
        <v>460</v>
      </c>
      <c r="J1586" s="2" t="n">
        <v>460</v>
      </c>
      <c r="L1586" s="3" t="n"/>
      <c r="M1586" s="3" t="n"/>
      <c r="N1586" s="3" t="n">
        <v>66</v>
      </c>
      <c r="O1586" s="3" t="n"/>
      <c r="P1586" s="3">
        <f>IF(L1586&lt;&gt;"",L1586/1.4,"")</f>
        <v/>
      </c>
      <c r="Q1586" s="3">
        <f>IF(L1586&lt;&gt;"",L1586/1.56,"")</f>
        <v/>
      </c>
      <c r="R1586" s="3">
        <f>IF(M1586&lt;&gt;"",M1586/1.4,"")</f>
        <v/>
      </c>
      <c r="S1586" s="3">
        <f>IF(M1586&lt;&gt;"",M1586/1.56,"")</f>
        <v/>
      </c>
      <c r="T1586" s="3">
        <f>IF(N1586&lt;&gt;"",N1586,IF(O1586&lt;&gt;"",O1586,IF(L1586&lt;&gt;"",L1586/1.56,IF(M1586&lt;&gt;"",M1586/1.56,""))))</f>
        <v/>
      </c>
      <c r="U1586" s="3" t="n">
        <v>315</v>
      </c>
      <c r="V1586" s="3" t="n">
        <v>195</v>
      </c>
      <c r="W1586" s="3" t="n"/>
      <c r="X1586" s="4" t="n"/>
      <c r="Y1586" s="5" t="n">
        <v>0.32</v>
      </c>
      <c r="Z1586" s="4">
        <f>IF(L1586&lt;&gt;"",SQRT(3)*G1586*L1586/1000,"")</f>
        <v/>
      </c>
      <c r="AA1586" t="inlineStr">
        <is>
          <t>Source=Copeland 2D/3D/4D/4R/6D/8D/9R compressors (pdf) p80; PWS_RLA=33.0</t>
        </is>
      </c>
      <c r="AB1586" t="inlineStr">
        <is>
          <t>Copeland_RLA_230_460_3ph_60Hz.xlsx</t>
        </is>
      </c>
      <c r="AC1586" t="inlineStr">
        <is>
          <t>Recip_2D-9R</t>
        </is>
      </c>
    </row>
    <row r="1587">
      <c r="A1587" t="inlineStr">
        <is>
          <t>COPELAND</t>
        </is>
      </c>
      <c r="B1587" t="inlineStr">
        <is>
          <t>6DM3R37M0-TSN</t>
        </is>
      </c>
      <c r="D1587" t="inlineStr">
        <is>
          <t>Reciprocating Semi-hermetic</t>
        </is>
      </c>
      <c r="E1587" s="2" t="n">
        <v>3</v>
      </c>
      <c r="F1587" s="2" t="n">
        <v>60</v>
      </c>
      <c r="G1587" s="2" t="n">
        <v>230</v>
      </c>
      <c r="H1587" t="inlineStr">
        <is>
          <t>230</t>
        </is>
      </c>
      <c r="I1587" s="2" t="n">
        <v>230</v>
      </c>
      <c r="J1587" s="2" t="n">
        <v>230</v>
      </c>
      <c r="L1587" s="3" t="n"/>
      <c r="M1587" s="3" t="n"/>
      <c r="N1587" s="3" t="n">
        <v>125</v>
      </c>
      <c r="O1587" s="3" t="n"/>
      <c r="P1587" s="3">
        <f>IF(L1587&lt;&gt;"",L1587/1.4,"")</f>
        <v/>
      </c>
      <c r="Q1587" s="3">
        <f>IF(L1587&lt;&gt;"",L1587/1.56,"")</f>
        <v/>
      </c>
      <c r="R1587" s="3">
        <f>IF(M1587&lt;&gt;"",M1587/1.4,"")</f>
        <v/>
      </c>
      <c r="S1587" s="3">
        <f>IF(M1587&lt;&gt;"",M1587/1.56,"")</f>
        <v/>
      </c>
      <c r="T1587" s="3">
        <f>IF(N1587&lt;&gt;"",N1587,IF(O1587&lt;&gt;"",O1587,IF(L1587&lt;&gt;"",L1587/1.56,IF(M1587&lt;&gt;"",M1587/1.56,""))))</f>
        <v/>
      </c>
      <c r="U1587" s="3" t="n">
        <v>594</v>
      </c>
      <c r="V1587" s="3" t="n">
        <v>340</v>
      </c>
      <c r="W1587" s="3" t="n"/>
      <c r="X1587" s="4" t="n"/>
      <c r="Y1587" s="5" t="n">
        <v>0.08500000000000001</v>
      </c>
      <c r="Z1587" s="4">
        <f>IF(L1587&lt;&gt;"",SQRT(3)*G1587*L1587/1000,"")</f>
        <v/>
      </c>
      <c r="AA1587" t="inlineStr">
        <is>
          <t>Source=Copeland 2D/3D/4D/4R/6D/8D/9R compressors (pdf) p80; PWS_RLA=62.5</t>
        </is>
      </c>
      <c r="AB1587" t="inlineStr">
        <is>
          <t>Copeland_RLA_230_460_3ph_60Hz.xlsx</t>
        </is>
      </c>
      <c r="AC1587" t="inlineStr">
        <is>
          <t>Recip_2D-9R</t>
        </is>
      </c>
    </row>
    <row r="1588">
      <c r="A1588" t="inlineStr">
        <is>
          <t>COPELAND</t>
        </is>
      </c>
      <c r="B1588" t="inlineStr">
        <is>
          <t>6DM3R37M0-TSN</t>
        </is>
      </c>
      <c r="D1588" t="inlineStr">
        <is>
          <t>Reciprocating Semi-hermetic</t>
        </is>
      </c>
      <c r="E1588" s="2" t="n">
        <v>3</v>
      </c>
      <c r="F1588" s="2" t="n">
        <v>60</v>
      </c>
      <c r="G1588" s="2" t="n">
        <v>460</v>
      </c>
      <c r="H1588" t="inlineStr">
        <is>
          <t>460</t>
        </is>
      </c>
      <c r="I1588" s="2" t="n">
        <v>460</v>
      </c>
      <c r="J1588" s="2" t="n">
        <v>460</v>
      </c>
      <c r="L1588" s="3" t="n"/>
      <c r="M1588" s="3" t="n"/>
      <c r="N1588" s="3" t="n">
        <v>62.5</v>
      </c>
      <c r="O1588" s="3" t="n"/>
      <c r="P1588" s="3">
        <f>IF(L1588&lt;&gt;"",L1588/1.4,"")</f>
        <v/>
      </c>
      <c r="Q1588" s="3">
        <f>IF(L1588&lt;&gt;"",L1588/1.56,"")</f>
        <v/>
      </c>
      <c r="R1588" s="3">
        <f>IF(M1588&lt;&gt;"",M1588/1.4,"")</f>
        <v/>
      </c>
      <c r="S1588" s="3">
        <f>IF(M1588&lt;&gt;"",M1588/1.56,"")</f>
        <v/>
      </c>
      <c r="T1588" s="3">
        <f>IF(N1588&lt;&gt;"",N1588,IF(O1588&lt;&gt;"",O1588,IF(L1588&lt;&gt;"",L1588/1.56,IF(M1588&lt;&gt;"",M1588/1.56,""))))</f>
        <v/>
      </c>
      <c r="U1588" s="3" t="n">
        <v>297</v>
      </c>
      <c r="V1588" s="3" t="n"/>
      <c r="W1588" s="3" t="n"/>
      <c r="X1588" s="4" t="n"/>
      <c r="Y1588" s="5" t="n">
        <v>0.34</v>
      </c>
      <c r="Z1588" s="4">
        <f>IF(L1588&lt;&gt;"",SQRT(3)*G1588*L1588/1000,"")</f>
        <v/>
      </c>
      <c r="AA1588" t="inlineStr">
        <is>
          <t>Source=Copeland 2D/3D/4D/4R/6D/8D/9R compressors (pdf) p80</t>
        </is>
      </c>
      <c r="AB1588" t="inlineStr">
        <is>
          <t>Copeland_RLA_230_460_3ph_60Hz.xlsx</t>
        </is>
      </c>
      <c r="AC1588" t="inlineStr">
        <is>
          <t>Recip_2D-9R</t>
        </is>
      </c>
    </row>
    <row r="1589">
      <c r="A1589" t="inlineStr">
        <is>
          <t>COPELAND</t>
        </is>
      </c>
      <c r="B1589" t="inlineStr">
        <is>
          <t>6DM3R37ME-FSD</t>
        </is>
      </c>
      <c r="D1589" t="inlineStr">
        <is>
          <t>Reciprocating Semi-hermetic</t>
        </is>
      </c>
      <c r="E1589" s="2" t="n">
        <v>3</v>
      </c>
      <c r="F1589" s="2" t="n">
        <v>60</v>
      </c>
      <c r="G1589" s="2" t="n">
        <v>460</v>
      </c>
      <c r="H1589" t="inlineStr">
        <is>
          <t>460</t>
        </is>
      </c>
      <c r="I1589" s="2" t="n">
        <v>460</v>
      </c>
      <c r="J1589" s="2" t="n">
        <v>460</v>
      </c>
      <c r="L1589" s="3" t="n"/>
      <c r="M1589" s="3" t="n"/>
      <c r="N1589" s="3" t="n">
        <v>82.09999999999999</v>
      </c>
      <c r="O1589" s="3" t="n"/>
      <c r="P1589" s="3">
        <f>IF(L1589&lt;&gt;"",L1589/1.4,"")</f>
        <v/>
      </c>
      <c r="Q1589" s="3">
        <f>IF(L1589&lt;&gt;"",L1589/1.56,"")</f>
        <v/>
      </c>
      <c r="R1589" s="3">
        <f>IF(M1589&lt;&gt;"",M1589/1.4,"")</f>
        <v/>
      </c>
      <c r="S1589" s="3">
        <f>IF(M1589&lt;&gt;"",M1589/1.56,"")</f>
        <v/>
      </c>
      <c r="T1589" s="3">
        <f>IF(N1589&lt;&gt;"",N1589,IF(O1589&lt;&gt;"",O1589,IF(L1589&lt;&gt;"",L1589/1.56,IF(M1589&lt;&gt;"",M1589/1.56,""))))</f>
        <v/>
      </c>
      <c r="U1589" s="3" t="n">
        <v>315</v>
      </c>
      <c r="V1589" s="3" t="n">
        <v>195</v>
      </c>
      <c r="W1589" s="3" t="n"/>
      <c r="X1589" s="4" t="n"/>
      <c r="Y1589" s="5" t="n">
        <v>0.32</v>
      </c>
      <c r="Z1589" s="4">
        <f>IF(L1589&lt;&gt;"",SQRT(3)*G1589*L1589/1000,"")</f>
        <v/>
      </c>
      <c r="AA1589" t="inlineStr">
        <is>
          <t>Source=Copeland 2D/3D/4D/4R/6D/8D/9R compressors (pdf) p80; PWS_RLA=41.1</t>
        </is>
      </c>
      <c r="AB1589" t="inlineStr">
        <is>
          <t>Copeland_RLA_230_460_3ph_60Hz.xlsx</t>
        </is>
      </c>
      <c r="AC1589" t="inlineStr">
        <is>
          <t>Recip_2D-9R</t>
        </is>
      </c>
    </row>
    <row r="1590">
      <c r="A1590" t="inlineStr">
        <is>
          <t>COPELAND</t>
        </is>
      </c>
      <c r="B1590" t="inlineStr">
        <is>
          <t>6DM3R37ME-TSN</t>
        </is>
      </c>
      <c r="D1590" t="inlineStr">
        <is>
          <t>Reciprocating Semi-hermetic</t>
        </is>
      </c>
      <c r="E1590" s="2" t="n">
        <v>3</v>
      </c>
      <c r="F1590" s="2" t="n">
        <v>60</v>
      </c>
      <c r="G1590" s="2" t="n">
        <v>230</v>
      </c>
      <c r="H1590" t="inlineStr">
        <is>
          <t>230</t>
        </is>
      </c>
      <c r="I1590" s="2" t="n">
        <v>230</v>
      </c>
      <c r="J1590" s="2" t="n">
        <v>230</v>
      </c>
      <c r="L1590" s="3" t="n"/>
      <c r="M1590" s="3" t="n"/>
      <c r="N1590" s="3" t="n">
        <v>168.6</v>
      </c>
      <c r="O1590" s="3" t="n"/>
      <c r="P1590" s="3">
        <f>IF(L1590&lt;&gt;"",L1590/1.4,"")</f>
        <v/>
      </c>
      <c r="Q1590" s="3">
        <f>IF(L1590&lt;&gt;"",L1590/1.56,"")</f>
        <v/>
      </c>
      <c r="R1590" s="3">
        <f>IF(M1590&lt;&gt;"",M1590/1.4,"")</f>
        <v/>
      </c>
      <c r="S1590" s="3">
        <f>IF(M1590&lt;&gt;"",M1590/1.56,"")</f>
        <v/>
      </c>
      <c r="T1590" s="3">
        <f>IF(N1590&lt;&gt;"",N1590,IF(O1590&lt;&gt;"",O1590,IF(L1590&lt;&gt;"",L1590/1.56,IF(M1590&lt;&gt;"",M1590/1.56,""))))</f>
        <v/>
      </c>
      <c r="U1590" s="3" t="n">
        <v>594</v>
      </c>
      <c r="V1590" s="3" t="n">
        <v>340</v>
      </c>
      <c r="W1590" s="3" t="n"/>
      <c r="X1590" s="4" t="n"/>
      <c r="Y1590" s="5" t="n">
        <v>0.08500000000000001</v>
      </c>
      <c r="Z1590" s="4">
        <f>IF(L1590&lt;&gt;"",SQRT(3)*G1590*L1590/1000,"")</f>
        <v/>
      </c>
      <c r="AA1590" t="inlineStr">
        <is>
          <t>Source=Copeland 2D/3D/4D/4R/6D/8D/9R compressors (pdf) p80; PWS_RLA=84.3</t>
        </is>
      </c>
      <c r="AB1590" t="inlineStr">
        <is>
          <t>Copeland_RLA_230_460_3ph_60Hz.xlsx</t>
        </is>
      </c>
      <c r="AC1590" t="inlineStr">
        <is>
          <t>Recip_2D-9R</t>
        </is>
      </c>
    </row>
    <row r="1591">
      <c r="A1591" t="inlineStr">
        <is>
          <t>COPELAND</t>
        </is>
      </c>
      <c r="B1591" t="inlineStr">
        <is>
          <t>6DM3R37ME-TSN</t>
        </is>
      </c>
      <c r="D1591" t="inlineStr">
        <is>
          <t>Reciprocating Semi-hermetic</t>
        </is>
      </c>
      <c r="E1591" s="2" t="n">
        <v>3</v>
      </c>
      <c r="F1591" s="2" t="n">
        <v>60</v>
      </c>
      <c r="G1591" s="2" t="n">
        <v>460</v>
      </c>
      <c r="H1591" t="inlineStr">
        <is>
          <t>460</t>
        </is>
      </c>
      <c r="I1591" s="2" t="n">
        <v>460</v>
      </c>
      <c r="J1591" s="2" t="n">
        <v>460</v>
      </c>
      <c r="L1591" s="3" t="n"/>
      <c r="M1591" s="3" t="n"/>
      <c r="N1591" s="3" t="n">
        <v>84.3</v>
      </c>
      <c r="O1591" s="3" t="n"/>
      <c r="P1591" s="3">
        <f>IF(L1591&lt;&gt;"",L1591/1.4,"")</f>
        <v/>
      </c>
      <c r="Q1591" s="3">
        <f>IF(L1591&lt;&gt;"",L1591/1.56,"")</f>
        <v/>
      </c>
      <c r="R1591" s="3">
        <f>IF(M1591&lt;&gt;"",M1591/1.4,"")</f>
        <v/>
      </c>
      <c r="S1591" s="3">
        <f>IF(M1591&lt;&gt;"",M1591/1.56,"")</f>
        <v/>
      </c>
      <c r="T1591" s="3">
        <f>IF(N1591&lt;&gt;"",N1591,IF(O1591&lt;&gt;"",O1591,IF(L1591&lt;&gt;"",L1591/1.56,IF(M1591&lt;&gt;"",M1591/1.56,""))))</f>
        <v/>
      </c>
      <c r="U1591" s="3" t="n">
        <v>297</v>
      </c>
      <c r="V1591" s="3" t="n"/>
      <c r="W1591" s="3" t="n"/>
      <c r="X1591" s="4" t="n"/>
      <c r="Y1591" s="5" t="n">
        <v>0.34</v>
      </c>
      <c r="Z1591" s="4">
        <f>IF(L1591&lt;&gt;"",SQRT(3)*G1591*L1591/1000,"")</f>
        <v/>
      </c>
      <c r="AA1591" t="inlineStr">
        <is>
          <t>Source=Copeland 2D/3D/4D/4R/6D/8D/9R compressors (pdf) p80</t>
        </is>
      </c>
      <c r="AB1591" t="inlineStr">
        <is>
          <t>Copeland_RLA_230_460_3ph_60Hz.xlsx</t>
        </is>
      </c>
      <c r="AC1591" t="inlineStr">
        <is>
          <t>Recip_2D-9R</t>
        </is>
      </c>
    </row>
    <row r="1592">
      <c r="A1592" t="inlineStr">
        <is>
          <t>COPELAND</t>
        </is>
      </c>
      <c r="B1592" t="inlineStr">
        <is>
          <t>6DM3R37ML-FSD</t>
        </is>
      </c>
      <c r="D1592" t="inlineStr">
        <is>
          <t>Reciprocating Semi-hermetic</t>
        </is>
      </c>
      <c r="E1592" s="2" t="n">
        <v>3</v>
      </c>
      <c r="F1592" s="2" t="n">
        <v>60</v>
      </c>
      <c r="G1592" s="2" t="n">
        <v>460</v>
      </c>
      <c r="H1592" t="inlineStr">
        <is>
          <t>460</t>
        </is>
      </c>
      <c r="I1592" s="2" t="n">
        <v>460</v>
      </c>
      <c r="J1592" s="2" t="n">
        <v>460</v>
      </c>
      <c r="L1592" s="3" t="n"/>
      <c r="M1592" s="3" t="n"/>
      <c r="N1592" s="3" t="n">
        <v>82.09999999999999</v>
      </c>
      <c r="O1592" s="3" t="n"/>
      <c r="P1592" s="3">
        <f>IF(L1592&lt;&gt;"",L1592/1.4,"")</f>
        <v/>
      </c>
      <c r="Q1592" s="3">
        <f>IF(L1592&lt;&gt;"",L1592/1.56,"")</f>
        <v/>
      </c>
      <c r="R1592" s="3">
        <f>IF(M1592&lt;&gt;"",M1592/1.4,"")</f>
        <v/>
      </c>
      <c r="S1592" s="3">
        <f>IF(M1592&lt;&gt;"",M1592/1.56,"")</f>
        <v/>
      </c>
      <c r="T1592" s="3">
        <f>IF(N1592&lt;&gt;"",N1592,IF(O1592&lt;&gt;"",O1592,IF(L1592&lt;&gt;"",L1592/1.56,IF(M1592&lt;&gt;"",M1592/1.56,""))))</f>
        <v/>
      </c>
      <c r="U1592" s="3" t="n">
        <v>315</v>
      </c>
      <c r="V1592" s="3" t="n">
        <v>195</v>
      </c>
      <c r="W1592" s="3" t="n"/>
      <c r="X1592" s="4" t="n"/>
      <c r="Y1592" s="5" t="n">
        <v>0.32</v>
      </c>
      <c r="Z1592" s="4">
        <f>IF(L1592&lt;&gt;"",SQRT(3)*G1592*L1592/1000,"")</f>
        <v/>
      </c>
      <c r="AA1592" t="inlineStr">
        <is>
          <t>Source=Copeland 2D/3D/4D/4R/6D/8D/9R compressors (pdf) p80; PWS_RLA=41.1</t>
        </is>
      </c>
      <c r="AB1592" t="inlineStr">
        <is>
          <t>Copeland_RLA_230_460_3ph_60Hz.xlsx</t>
        </is>
      </c>
      <c r="AC1592" t="inlineStr">
        <is>
          <t>Recip_2D-9R</t>
        </is>
      </c>
    </row>
    <row r="1593">
      <c r="A1593" t="inlineStr">
        <is>
          <t>COPELAND</t>
        </is>
      </c>
      <c r="B1593" t="inlineStr">
        <is>
          <t>6DM3R37ML-TSN</t>
        </is>
      </c>
      <c r="D1593" t="inlineStr">
        <is>
          <t>Reciprocating Semi-hermetic</t>
        </is>
      </c>
      <c r="E1593" s="2" t="n">
        <v>3</v>
      </c>
      <c r="F1593" s="2" t="n">
        <v>60</v>
      </c>
      <c r="G1593" s="2" t="n">
        <v>230</v>
      </c>
      <c r="H1593" t="inlineStr">
        <is>
          <t>230</t>
        </is>
      </c>
      <c r="I1593" s="2" t="n">
        <v>230</v>
      </c>
      <c r="J1593" s="2" t="n">
        <v>230</v>
      </c>
      <c r="L1593" s="3" t="n"/>
      <c r="M1593" s="3" t="n"/>
      <c r="N1593" s="3" t="n">
        <v>168.6</v>
      </c>
      <c r="O1593" s="3" t="n"/>
      <c r="P1593" s="3">
        <f>IF(L1593&lt;&gt;"",L1593/1.4,"")</f>
        <v/>
      </c>
      <c r="Q1593" s="3">
        <f>IF(L1593&lt;&gt;"",L1593/1.56,"")</f>
        <v/>
      </c>
      <c r="R1593" s="3">
        <f>IF(M1593&lt;&gt;"",M1593/1.4,"")</f>
        <v/>
      </c>
      <c r="S1593" s="3">
        <f>IF(M1593&lt;&gt;"",M1593/1.56,"")</f>
        <v/>
      </c>
      <c r="T1593" s="3">
        <f>IF(N1593&lt;&gt;"",N1593,IF(O1593&lt;&gt;"",O1593,IF(L1593&lt;&gt;"",L1593/1.56,IF(M1593&lt;&gt;"",M1593/1.56,""))))</f>
        <v/>
      </c>
      <c r="U1593" s="3" t="n">
        <v>594</v>
      </c>
      <c r="V1593" s="3" t="n">
        <v>340</v>
      </c>
      <c r="W1593" s="3" t="n"/>
      <c r="X1593" s="4" t="n"/>
      <c r="Y1593" s="5" t="n">
        <v>0.08500000000000001</v>
      </c>
      <c r="Z1593" s="4">
        <f>IF(L1593&lt;&gt;"",SQRT(3)*G1593*L1593/1000,"")</f>
        <v/>
      </c>
      <c r="AA1593" t="inlineStr">
        <is>
          <t>Source=Copeland 2D/3D/4D/4R/6D/8D/9R compressors (pdf) p80; PWS_RLA=84.3</t>
        </is>
      </c>
      <c r="AB1593" t="inlineStr">
        <is>
          <t>Copeland_RLA_230_460_3ph_60Hz.xlsx</t>
        </is>
      </c>
      <c r="AC1593" t="inlineStr">
        <is>
          <t>Recip_2D-9R</t>
        </is>
      </c>
    </row>
    <row r="1594">
      <c r="A1594" t="inlineStr">
        <is>
          <t>COPELAND</t>
        </is>
      </c>
      <c r="B1594" t="inlineStr">
        <is>
          <t>6DM3R37ML-TSN</t>
        </is>
      </c>
      <c r="D1594" t="inlineStr">
        <is>
          <t>Reciprocating Semi-hermetic</t>
        </is>
      </c>
      <c r="E1594" s="2" t="n">
        <v>3</v>
      </c>
      <c r="F1594" s="2" t="n">
        <v>60</v>
      </c>
      <c r="G1594" s="2" t="n">
        <v>460</v>
      </c>
      <c r="H1594" t="inlineStr">
        <is>
          <t>460</t>
        </is>
      </c>
      <c r="I1594" s="2" t="n">
        <v>460</v>
      </c>
      <c r="J1594" s="2" t="n">
        <v>460</v>
      </c>
      <c r="L1594" s="3" t="n"/>
      <c r="M1594" s="3" t="n"/>
      <c r="N1594" s="3" t="n">
        <v>84.3</v>
      </c>
      <c r="O1594" s="3" t="n"/>
      <c r="P1594" s="3">
        <f>IF(L1594&lt;&gt;"",L1594/1.4,"")</f>
        <v/>
      </c>
      <c r="Q1594" s="3">
        <f>IF(L1594&lt;&gt;"",L1594/1.56,"")</f>
        <v/>
      </c>
      <c r="R1594" s="3">
        <f>IF(M1594&lt;&gt;"",M1594/1.4,"")</f>
        <v/>
      </c>
      <c r="S1594" s="3">
        <f>IF(M1594&lt;&gt;"",M1594/1.56,"")</f>
        <v/>
      </c>
      <c r="T1594" s="3">
        <f>IF(N1594&lt;&gt;"",N1594,IF(O1594&lt;&gt;"",O1594,IF(L1594&lt;&gt;"",L1594/1.56,IF(M1594&lt;&gt;"",M1594/1.56,""))))</f>
        <v/>
      </c>
      <c r="U1594" s="3" t="n">
        <v>297</v>
      </c>
      <c r="V1594" s="3" t="n"/>
      <c r="W1594" s="3" t="n"/>
      <c r="X1594" s="4" t="n"/>
      <c r="Y1594" s="5" t="n">
        <v>0.34</v>
      </c>
      <c r="Z1594" s="4">
        <f>IF(L1594&lt;&gt;"",SQRT(3)*G1594*L1594/1000,"")</f>
        <v/>
      </c>
      <c r="AA1594" t="inlineStr">
        <is>
          <t>Source=Copeland 2D/3D/4D/4R/6D/8D/9R compressors (pdf) p80</t>
        </is>
      </c>
      <c r="AB1594" t="inlineStr">
        <is>
          <t>Copeland_RLA_230_460_3ph_60Hz.xlsx</t>
        </is>
      </c>
      <c r="AC1594" t="inlineStr">
        <is>
          <t>Recip_2D-9R</t>
        </is>
      </c>
    </row>
    <row r="1595">
      <c r="A1595" t="inlineStr">
        <is>
          <t>COPELAND</t>
        </is>
      </c>
      <c r="B1595" t="inlineStr">
        <is>
          <t>6DMG-3500-FSD</t>
        </is>
      </c>
      <c r="D1595" t="inlineStr">
        <is>
          <t>Reciprocating Semi-hermetic</t>
        </is>
      </c>
      <c r="E1595" s="2" t="n">
        <v>3</v>
      </c>
      <c r="F1595" s="2" t="n">
        <v>60</v>
      </c>
      <c r="G1595" s="2" t="n">
        <v>460</v>
      </c>
      <c r="H1595" t="inlineStr">
        <is>
          <t>460</t>
        </is>
      </c>
      <c r="I1595" s="2" t="n">
        <v>460</v>
      </c>
      <c r="J1595" s="2" t="n">
        <v>460</v>
      </c>
      <c r="L1595" s="3" t="n"/>
      <c r="M1595" s="3" t="n"/>
      <c r="N1595" s="3" t="n">
        <v>66</v>
      </c>
      <c r="O1595" s="3" t="n"/>
      <c r="P1595" s="3">
        <f>IF(L1595&lt;&gt;"",L1595/1.4,"")</f>
        <v/>
      </c>
      <c r="Q1595" s="3">
        <f>IF(L1595&lt;&gt;"",L1595/1.56,"")</f>
        <v/>
      </c>
      <c r="R1595" s="3">
        <f>IF(M1595&lt;&gt;"",M1595/1.4,"")</f>
        <v/>
      </c>
      <c r="S1595" s="3">
        <f>IF(M1595&lt;&gt;"",M1595/1.56,"")</f>
        <v/>
      </c>
      <c r="T1595" s="3">
        <f>IF(N1595&lt;&gt;"",N1595,IF(O1595&lt;&gt;"",O1595,IF(L1595&lt;&gt;"",L1595/1.56,IF(M1595&lt;&gt;"",M1595/1.56,""))))</f>
        <v/>
      </c>
      <c r="U1595" s="3" t="n">
        <v>315</v>
      </c>
      <c r="V1595" s="3" t="n">
        <v>195</v>
      </c>
      <c r="W1595" s="3" t="n"/>
      <c r="X1595" s="4" t="n"/>
      <c r="Y1595" s="5" t="n">
        <v>0.32</v>
      </c>
      <c r="Z1595" s="4">
        <f>IF(L1595&lt;&gt;"",SQRT(3)*G1595*L1595/1000,"")</f>
        <v/>
      </c>
      <c r="AA1595" t="inlineStr">
        <is>
          <t>Source=Copeland 2D/3D/4D/4R/6D/8D/9R compressors (pdf) p80; PWS_RLA=33.0</t>
        </is>
      </c>
      <c r="AB1595" t="inlineStr">
        <is>
          <t>Copeland_RLA_230_460_3ph_60Hz.xlsx</t>
        </is>
      </c>
      <c r="AC1595" t="inlineStr">
        <is>
          <t>Recip_2D-9R</t>
        </is>
      </c>
    </row>
    <row r="1596">
      <c r="A1596" t="inlineStr">
        <is>
          <t>COPELAND</t>
        </is>
      </c>
      <c r="B1596" t="inlineStr">
        <is>
          <t>6DN3-3500-FSD</t>
        </is>
      </c>
      <c r="D1596" t="inlineStr">
        <is>
          <t>Reciprocating Semi-hermetic</t>
        </is>
      </c>
      <c r="E1596" s="2" t="n">
        <v>3</v>
      </c>
      <c r="F1596" s="2" t="n">
        <v>60</v>
      </c>
      <c r="G1596" s="2" t="n">
        <v>460</v>
      </c>
      <c r="H1596" t="inlineStr">
        <is>
          <t>460</t>
        </is>
      </c>
      <c r="I1596" s="2" t="n">
        <v>460</v>
      </c>
      <c r="J1596" s="2" t="n">
        <v>460</v>
      </c>
      <c r="L1596" s="3" t="n"/>
      <c r="M1596" s="3" t="n"/>
      <c r="N1596" s="3" t="n">
        <v>66</v>
      </c>
      <c r="O1596" s="3" t="n"/>
      <c r="P1596" s="3">
        <f>IF(L1596&lt;&gt;"",L1596/1.4,"")</f>
        <v/>
      </c>
      <c r="Q1596" s="3">
        <f>IF(L1596&lt;&gt;"",L1596/1.56,"")</f>
        <v/>
      </c>
      <c r="R1596" s="3">
        <f>IF(M1596&lt;&gt;"",M1596/1.4,"")</f>
        <v/>
      </c>
      <c r="S1596" s="3">
        <f>IF(M1596&lt;&gt;"",M1596/1.56,"")</f>
        <v/>
      </c>
      <c r="T1596" s="3">
        <f>IF(N1596&lt;&gt;"",N1596,IF(O1596&lt;&gt;"",O1596,IF(L1596&lt;&gt;"",L1596/1.56,IF(M1596&lt;&gt;"",M1596/1.56,""))))</f>
        <v/>
      </c>
      <c r="U1596" s="3" t="n">
        <v>315</v>
      </c>
      <c r="V1596" s="3" t="n">
        <v>195</v>
      </c>
      <c r="W1596" s="3" t="n"/>
      <c r="X1596" s="4" t="n"/>
      <c r="Y1596" s="5" t="n">
        <v>0.32</v>
      </c>
      <c r="Z1596" s="4">
        <f>IF(L1596&lt;&gt;"",SQRT(3)*G1596*L1596/1000,"")</f>
        <v/>
      </c>
      <c r="AA1596" t="inlineStr">
        <is>
          <t>Source=Copeland 2D/3D/4D/4R/6D/8D/9R compressors (pdf) p80; PWS_RLA=33.0</t>
        </is>
      </c>
      <c r="AB1596" t="inlineStr">
        <is>
          <t>Copeland_RLA_230_460_3ph_60Hz.xlsx</t>
        </is>
      </c>
      <c r="AC1596" t="inlineStr">
        <is>
          <t>Recip_2D-9R</t>
        </is>
      </c>
    </row>
    <row r="1597">
      <c r="A1597" t="inlineStr">
        <is>
          <t>COPELAND</t>
        </is>
      </c>
      <c r="B1597" t="inlineStr">
        <is>
          <t>6DN3-3500-FXD</t>
        </is>
      </c>
      <c r="D1597" t="inlineStr">
        <is>
          <t>Reciprocating Semi-hermetic</t>
        </is>
      </c>
      <c r="E1597" s="2" t="n">
        <v>3</v>
      </c>
      <c r="F1597" s="2" t="n">
        <v>60</v>
      </c>
      <c r="G1597" s="2" t="n">
        <v>460</v>
      </c>
      <c r="H1597" t="inlineStr">
        <is>
          <t>460</t>
        </is>
      </c>
      <c r="I1597" s="2" t="n">
        <v>460</v>
      </c>
      <c r="J1597" s="2" t="n">
        <v>460</v>
      </c>
      <c r="L1597" s="3" t="n"/>
      <c r="M1597" s="3" t="n"/>
      <c r="N1597" s="3" t="n"/>
      <c r="O1597" s="3" t="n"/>
      <c r="P1597" s="3">
        <f>IF(L1597&lt;&gt;"",L1597/1.4,"")</f>
        <v/>
      </c>
      <c r="Q1597" s="3">
        <f>IF(L1597&lt;&gt;"",L1597/1.56,"")</f>
        <v/>
      </c>
      <c r="R1597" s="3">
        <f>IF(M1597&lt;&gt;"",M1597/1.4,"")</f>
        <v/>
      </c>
      <c r="S1597" s="3">
        <f>IF(M1597&lt;&gt;"",M1597/1.56,"")</f>
        <v/>
      </c>
      <c r="T1597" s="3">
        <f>IF(N1597&lt;&gt;"",N1597,IF(O1597&lt;&gt;"",O1597,IF(L1597&lt;&gt;"",L1597/1.56,IF(M1597&lt;&gt;"",M1597/1.56,""))))</f>
        <v/>
      </c>
      <c r="U1597" s="3" t="n">
        <v>315</v>
      </c>
      <c r="V1597" s="3" t="n">
        <v>195</v>
      </c>
      <c r="W1597" s="3" t="n"/>
      <c r="X1597" s="4" t="n"/>
      <c r="Y1597" s="5" t="n">
        <v>0.32</v>
      </c>
      <c r="Z1597" s="4">
        <f>IF(L1597&lt;&gt;"",SQRT(3)*G1597*L1597/1000,"")</f>
        <v/>
      </c>
      <c r="AA1597" t="inlineStr">
        <is>
          <t>Source=Copeland 2D/3D/4D/4R/6D/8D/9R compressors (pdf) p81</t>
        </is>
      </c>
      <c r="AB1597" t="inlineStr">
        <is>
          <t>Copeland_RLA_230_460_3ph_60Hz.xlsx</t>
        </is>
      </c>
      <c r="AC1597" t="inlineStr">
        <is>
          <t>Recip_2D-9R</t>
        </is>
      </c>
    </row>
    <row r="1598">
      <c r="A1598" t="inlineStr">
        <is>
          <t>COPELAND</t>
        </is>
      </c>
      <c r="B1598" t="inlineStr">
        <is>
          <t>6DN3-3500-TSN</t>
        </is>
      </c>
      <c r="D1598" t="inlineStr">
        <is>
          <t>Reciprocating Semi-hermetic</t>
        </is>
      </c>
      <c r="E1598" s="2" t="n">
        <v>3</v>
      </c>
      <c r="F1598" s="2" t="n">
        <v>60</v>
      </c>
      <c r="G1598" s="2" t="n">
        <v>230</v>
      </c>
      <c r="H1598" t="inlineStr">
        <is>
          <t>230</t>
        </is>
      </c>
      <c r="I1598" s="2" t="n">
        <v>230</v>
      </c>
      <c r="J1598" s="2" t="n">
        <v>230</v>
      </c>
      <c r="L1598" s="3" t="n"/>
      <c r="M1598" s="3" t="n"/>
      <c r="N1598" s="3" t="n">
        <v>125</v>
      </c>
      <c r="O1598" s="3" t="n"/>
      <c r="P1598" s="3">
        <f>IF(L1598&lt;&gt;"",L1598/1.4,"")</f>
        <v/>
      </c>
      <c r="Q1598" s="3">
        <f>IF(L1598&lt;&gt;"",L1598/1.56,"")</f>
        <v/>
      </c>
      <c r="R1598" s="3">
        <f>IF(M1598&lt;&gt;"",M1598/1.4,"")</f>
        <v/>
      </c>
      <c r="S1598" s="3">
        <f>IF(M1598&lt;&gt;"",M1598/1.56,"")</f>
        <v/>
      </c>
      <c r="T1598" s="3">
        <f>IF(N1598&lt;&gt;"",N1598,IF(O1598&lt;&gt;"",O1598,IF(L1598&lt;&gt;"",L1598/1.56,IF(M1598&lt;&gt;"",M1598/1.56,""))))</f>
        <v/>
      </c>
      <c r="U1598" s="3" t="n">
        <v>594</v>
      </c>
      <c r="V1598" s="3" t="n">
        <v>340</v>
      </c>
      <c r="W1598" s="3" t="n"/>
      <c r="X1598" s="4" t="n"/>
      <c r="Y1598" s="5" t="n">
        <v>0.08500000000000001</v>
      </c>
      <c r="Z1598" s="4">
        <f>IF(L1598&lt;&gt;"",SQRT(3)*G1598*L1598/1000,"")</f>
        <v/>
      </c>
      <c r="AA1598" t="inlineStr">
        <is>
          <t>Source=Copeland 2D/3D/4D/4R/6D/8D/9R compressors (pdf) p81; PWS_RLA=62.5</t>
        </is>
      </c>
      <c r="AB1598" t="inlineStr">
        <is>
          <t>Copeland_RLA_230_460_3ph_60Hz.xlsx</t>
        </is>
      </c>
      <c r="AC1598" t="inlineStr">
        <is>
          <t>Recip_2D-9R</t>
        </is>
      </c>
    </row>
    <row r="1599">
      <c r="A1599" t="inlineStr">
        <is>
          <t>COPELAND</t>
        </is>
      </c>
      <c r="B1599" t="inlineStr">
        <is>
          <t>6DN3-3500-TSN</t>
        </is>
      </c>
      <c r="D1599" t="inlineStr">
        <is>
          <t>Reciprocating Semi-hermetic</t>
        </is>
      </c>
      <c r="E1599" s="2" t="n">
        <v>3</v>
      </c>
      <c r="F1599" s="2" t="n">
        <v>60</v>
      </c>
      <c r="G1599" s="2" t="n">
        <v>460</v>
      </c>
      <c r="H1599" t="inlineStr">
        <is>
          <t>460</t>
        </is>
      </c>
      <c r="I1599" s="2" t="n">
        <v>460</v>
      </c>
      <c r="J1599" s="2" t="n">
        <v>460</v>
      </c>
      <c r="L1599" s="3" t="n"/>
      <c r="M1599" s="3" t="n"/>
      <c r="N1599" s="3" t="n">
        <v>62.5</v>
      </c>
      <c r="O1599" s="3" t="n"/>
      <c r="P1599" s="3">
        <f>IF(L1599&lt;&gt;"",L1599/1.4,"")</f>
        <v/>
      </c>
      <c r="Q1599" s="3">
        <f>IF(L1599&lt;&gt;"",L1599/1.56,"")</f>
        <v/>
      </c>
      <c r="R1599" s="3">
        <f>IF(M1599&lt;&gt;"",M1599/1.4,"")</f>
        <v/>
      </c>
      <c r="S1599" s="3">
        <f>IF(M1599&lt;&gt;"",M1599/1.56,"")</f>
        <v/>
      </c>
      <c r="T1599" s="3">
        <f>IF(N1599&lt;&gt;"",N1599,IF(O1599&lt;&gt;"",O1599,IF(L1599&lt;&gt;"",L1599/1.56,IF(M1599&lt;&gt;"",M1599/1.56,""))))</f>
        <v/>
      </c>
      <c r="U1599" s="3" t="n">
        <v>297</v>
      </c>
      <c r="V1599" s="3" t="n"/>
      <c r="W1599" s="3" t="n"/>
      <c r="X1599" s="4" t="n"/>
      <c r="Y1599" s="5" t="n">
        <v>0.34</v>
      </c>
      <c r="Z1599" s="4">
        <f>IF(L1599&lt;&gt;"",SQRT(3)*G1599*L1599/1000,"")</f>
        <v/>
      </c>
      <c r="AA1599" t="inlineStr">
        <is>
          <t>Source=Copeland 2D/3D/4D/4R/6D/8D/9R compressors (pdf) p81</t>
        </is>
      </c>
      <c r="AB1599" t="inlineStr">
        <is>
          <t>Copeland_RLA_230_460_3ph_60Hz.xlsx</t>
        </is>
      </c>
      <c r="AC1599" t="inlineStr">
        <is>
          <t>Recip_2D-9R</t>
        </is>
      </c>
    </row>
    <row r="1600">
      <c r="A1600" t="inlineStr">
        <is>
          <t>COPELAND</t>
        </is>
      </c>
      <c r="B1600" t="inlineStr">
        <is>
          <t>6DN3-3500-TXN</t>
        </is>
      </c>
      <c r="D1600" t="inlineStr">
        <is>
          <t>Reciprocating Semi-hermetic</t>
        </is>
      </c>
      <c r="E1600" s="2" t="n">
        <v>3</v>
      </c>
      <c r="F1600" s="2" t="n">
        <v>60</v>
      </c>
      <c r="G1600" s="2" t="n">
        <v>230</v>
      </c>
      <c r="H1600" t="inlineStr">
        <is>
          <t>230</t>
        </is>
      </c>
      <c r="I1600" s="2" t="n">
        <v>230</v>
      </c>
      <c r="J1600" s="2" t="n">
        <v>230</v>
      </c>
      <c r="L1600" s="3" t="n"/>
      <c r="M1600" s="3" t="n"/>
      <c r="N1600" s="3" t="n"/>
      <c r="O1600" s="3" t="n"/>
      <c r="P1600" s="3">
        <f>IF(L1600&lt;&gt;"",L1600/1.4,"")</f>
        <v/>
      </c>
      <c r="Q1600" s="3">
        <f>IF(L1600&lt;&gt;"",L1600/1.56,"")</f>
        <v/>
      </c>
      <c r="R1600" s="3">
        <f>IF(M1600&lt;&gt;"",M1600/1.4,"")</f>
        <v/>
      </c>
      <c r="S1600" s="3">
        <f>IF(M1600&lt;&gt;"",M1600/1.56,"")</f>
        <v/>
      </c>
      <c r="T1600" s="3">
        <f>IF(N1600&lt;&gt;"",N1600,IF(O1600&lt;&gt;"",O1600,IF(L1600&lt;&gt;"",L1600/1.56,IF(M1600&lt;&gt;"",M1600/1.56,""))))</f>
        <v/>
      </c>
      <c r="U1600" s="3" t="n">
        <v>594</v>
      </c>
      <c r="V1600" s="3" t="n">
        <v>340</v>
      </c>
      <c r="W1600" s="3" t="n"/>
      <c r="X1600" s="4" t="n"/>
      <c r="Y1600" s="5" t="n">
        <v>0.08500000000000001</v>
      </c>
      <c r="Z1600" s="4">
        <f>IF(L1600&lt;&gt;"",SQRT(3)*G1600*L1600/1000,"")</f>
        <v/>
      </c>
      <c r="AA1600" t="inlineStr">
        <is>
          <t>Source=Copeland 2D/3D/4D/4R/6D/8D/9R compressors (pdf) p81</t>
        </is>
      </c>
      <c r="AB1600" t="inlineStr">
        <is>
          <t>Copeland_RLA_230_460_3ph_60Hz.xlsx</t>
        </is>
      </c>
      <c r="AC1600" t="inlineStr">
        <is>
          <t>Recip_2D-9R</t>
        </is>
      </c>
    </row>
    <row r="1601">
      <c r="A1601" t="inlineStr">
        <is>
          <t>COPELAND</t>
        </is>
      </c>
      <c r="B1601" t="inlineStr">
        <is>
          <t>6DN3-3500-TXN</t>
        </is>
      </c>
      <c r="D1601" t="inlineStr">
        <is>
          <t>Reciprocating Semi-hermetic</t>
        </is>
      </c>
      <c r="E1601" s="2" t="n">
        <v>3</v>
      </c>
      <c r="F1601" s="2" t="n">
        <v>60</v>
      </c>
      <c r="G1601" s="2" t="n">
        <v>460</v>
      </c>
      <c r="H1601" t="inlineStr">
        <is>
          <t>460</t>
        </is>
      </c>
      <c r="I1601" s="2" t="n">
        <v>460</v>
      </c>
      <c r="J1601" s="2" t="n">
        <v>460</v>
      </c>
      <c r="L1601" s="3" t="n"/>
      <c r="M1601" s="3" t="n"/>
      <c r="N1601" s="3" t="n"/>
      <c r="O1601" s="3" t="n"/>
      <c r="P1601" s="3">
        <f>IF(L1601&lt;&gt;"",L1601/1.4,"")</f>
        <v/>
      </c>
      <c r="Q1601" s="3">
        <f>IF(L1601&lt;&gt;"",L1601/1.56,"")</f>
        <v/>
      </c>
      <c r="R1601" s="3">
        <f>IF(M1601&lt;&gt;"",M1601/1.4,"")</f>
        <v/>
      </c>
      <c r="S1601" s="3">
        <f>IF(M1601&lt;&gt;"",M1601/1.56,"")</f>
        <v/>
      </c>
      <c r="T1601" s="3">
        <f>IF(N1601&lt;&gt;"",N1601,IF(O1601&lt;&gt;"",O1601,IF(L1601&lt;&gt;"",L1601/1.56,IF(M1601&lt;&gt;"",M1601/1.56,""))))</f>
        <v/>
      </c>
      <c r="U1601" s="3" t="n">
        <v>297</v>
      </c>
      <c r="V1601" s="3" t="n"/>
      <c r="W1601" s="3" t="n"/>
      <c r="X1601" s="4" t="n"/>
      <c r="Y1601" s="5" t="n">
        <v>0.34</v>
      </c>
      <c r="Z1601" s="4">
        <f>IF(L1601&lt;&gt;"",SQRT(3)*G1601*L1601/1000,"")</f>
        <v/>
      </c>
      <c r="AA1601" t="inlineStr">
        <is>
          <t>Source=Copeland 2D/3D/4D/4R/6D/8D/9R compressors (pdf) p81</t>
        </is>
      </c>
      <c r="AB1601" t="inlineStr">
        <is>
          <t>Copeland_RLA_230_460_3ph_60Hz.xlsx</t>
        </is>
      </c>
      <c r="AC1601" t="inlineStr">
        <is>
          <t>Recip_2D-9R</t>
        </is>
      </c>
    </row>
    <row r="1602">
      <c r="A1602" t="inlineStr">
        <is>
          <t>COPELAND</t>
        </is>
      </c>
      <c r="B1602" t="inlineStr">
        <is>
          <t>6DN3-350E-FSD</t>
        </is>
      </c>
      <c r="D1602" t="inlineStr">
        <is>
          <t>Reciprocating Semi-hermetic</t>
        </is>
      </c>
      <c r="E1602" s="2" t="n">
        <v>3</v>
      </c>
      <c r="F1602" s="2" t="n">
        <v>60</v>
      </c>
      <c r="G1602" s="2" t="n">
        <v>460</v>
      </c>
      <c r="H1602" t="inlineStr">
        <is>
          <t>460</t>
        </is>
      </c>
      <c r="I1602" s="2" t="n">
        <v>460</v>
      </c>
      <c r="J1602" s="2" t="n">
        <v>460</v>
      </c>
      <c r="L1602" s="3" t="n"/>
      <c r="M1602" s="3" t="n"/>
      <c r="N1602" s="3" t="n">
        <v>66</v>
      </c>
      <c r="O1602" s="3" t="n"/>
      <c r="P1602" s="3">
        <f>IF(L1602&lt;&gt;"",L1602/1.4,"")</f>
        <v/>
      </c>
      <c r="Q1602" s="3">
        <f>IF(L1602&lt;&gt;"",L1602/1.56,"")</f>
        <v/>
      </c>
      <c r="R1602" s="3">
        <f>IF(M1602&lt;&gt;"",M1602/1.4,"")</f>
        <v/>
      </c>
      <c r="S1602" s="3">
        <f>IF(M1602&lt;&gt;"",M1602/1.56,"")</f>
        <v/>
      </c>
      <c r="T1602" s="3">
        <f>IF(N1602&lt;&gt;"",N1602,IF(O1602&lt;&gt;"",O1602,IF(L1602&lt;&gt;"",L1602/1.56,IF(M1602&lt;&gt;"",M1602/1.56,""))))</f>
        <v/>
      </c>
      <c r="U1602" s="3" t="n">
        <v>315</v>
      </c>
      <c r="V1602" s="3" t="n">
        <v>195</v>
      </c>
      <c r="W1602" s="3" t="n"/>
      <c r="X1602" s="4" t="n"/>
      <c r="Y1602" s="5" t="n">
        <v>0.32</v>
      </c>
      <c r="Z1602" s="4">
        <f>IF(L1602&lt;&gt;"",SQRT(3)*G1602*L1602/1000,"")</f>
        <v/>
      </c>
      <c r="AA1602" t="inlineStr">
        <is>
          <t>Source=Copeland 2D/3D/4D/4R/6D/8D/9R compressors (pdf) p81; PWS_RLA=33.0</t>
        </is>
      </c>
      <c r="AB1602" t="inlineStr">
        <is>
          <t>Copeland_RLA_230_460_3ph_60Hz.xlsx</t>
        </is>
      </c>
      <c r="AC1602" t="inlineStr">
        <is>
          <t>Recip_2D-9R</t>
        </is>
      </c>
    </row>
    <row r="1603">
      <c r="A1603" t="inlineStr">
        <is>
          <t>COPELAND</t>
        </is>
      </c>
      <c r="B1603" t="inlineStr">
        <is>
          <t>6DN3-350E-TSN</t>
        </is>
      </c>
      <c r="D1603" t="inlineStr">
        <is>
          <t>Reciprocating Semi-hermetic</t>
        </is>
      </c>
      <c r="E1603" s="2" t="n">
        <v>3</v>
      </c>
      <c r="F1603" s="2" t="n">
        <v>60</v>
      </c>
      <c r="G1603" s="2" t="n">
        <v>230</v>
      </c>
      <c r="H1603" t="inlineStr">
        <is>
          <t>230</t>
        </is>
      </c>
      <c r="I1603" s="2" t="n">
        <v>230</v>
      </c>
      <c r="J1603" s="2" t="n">
        <v>230</v>
      </c>
      <c r="L1603" s="3" t="n"/>
      <c r="M1603" s="3" t="n"/>
      <c r="N1603" s="3" t="n">
        <v>125</v>
      </c>
      <c r="O1603" s="3" t="n"/>
      <c r="P1603" s="3">
        <f>IF(L1603&lt;&gt;"",L1603/1.4,"")</f>
        <v/>
      </c>
      <c r="Q1603" s="3">
        <f>IF(L1603&lt;&gt;"",L1603/1.56,"")</f>
        <v/>
      </c>
      <c r="R1603" s="3">
        <f>IF(M1603&lt;&gt;"",M1603/1.4,"")</f>
        <v/>
      </c>
      <c r="S1603" s="3">
        <f>IF(M1603&lt;&gt;"",M1603/1.56,"")</f>
        <v/>
      </c>
      <c r="T1603" s="3">
        <f>IF(N1603&lt;&gt;"",N1603,IF(O1603&lt;&gt;"",O1603,IF(L1603&lt;&gt;"",L1603/1.56,IF(M1603&lt;&gt;"",M1603/1.56,""))))</f>
        <v/>
      </c>
      <c r="U1603" s="3" t="n">
        <v>594</v>
      </c>
      <c r="V1603" s="3" t="n">
        <v>340</v>
      </c>
      <c r="W1603" s="3" t="n"/>
      <c r="X1603" s="4" t="n"/>
      <c r="Y1603" s="5" t="n">
        <v>0.08500000000000001</v>
      </c>
      <c r="Z1603" s="4">
        <f>IF(L1603&lt;&gt;"",SQRT(3)*G1603*L1603/1000,"")</f>
        <v/>
      </c>
      <c r="AA1603" t="inlineStr">
        <is>
          <t>Source=Copeland 2D/3D/4D/4R/6D/8D/9R compressors (pdf) p81; PWS_RLA=62.5</t>
        </is>
      </c>
      <c r="AB1603" t="inlineStr">
        <is>
          <t>Copeland_RLA_230_460_3ph_60Hz.xlsx</t>
        </is>
      </c>
      <c r="AC1603" t="inlineStr">
        <is>
          <t>Recip_2D-9R</t>
        </is>
      </c>
    </row>
    <row r="1604">
      <c r="A1604" t="inlineStr">
        <is>
          <t>COPELAND</t>
        </is>
      </c>
      <c r="B1604" t="inlineStr">
        <is>
          <t>6DN3-350E-TSN</t>
        </is>
      </c>
      <c r="D1604" t="inlineStr">
        <is>
          <t>Reciprocating Semi-hermetic</t>
        </is>
      </c>
      <c r="E1604" s="2" t="n">
        <v>3</v>
      </c>
      <c r="F1604" s="2" t="n">
        <v>60</v>
      </c>
      <c r="G1604" s="2" t="n">
        <v>460</v>
      </c>
      <c r="H1604" t="inlineStr">
        <is>
          <t>460</t>
        </is>
      </c>
      <c r="I1604" s="2" t="n">
        <v>460</v>
      </c>
      <c r="J1604" s="2" t="n">
        <v>460</v>
      </c>
      <c r="L1604" s="3" t="n"/>
      <c r="M1604" s="3" t="n"/>
      <c r="N1604" s="3" t="n">
        <v>62.5</v>
      </c>
      <c r="O1604" s="3" t="n"/>
      <c r="P1604" s="3">
        <f>IF(L1604&lt;&gt;"",L1604/1.4,"")</f>
        <v/>
      </c>
      <c r="Q1604" s="3">
        <f>IF(L1604&lt;&gt;"",L1604/1.56,"")</f>
        <v/>
      </c>
      <c r="R1604" s="3">
        <f>IF(M1604&lt;&gt;"",M1604/1.4,"")</f>
        <v/>
      </c>
      <c r="S1604" s="3">
        <f>IF(M1604&lt;&gt;"",M1604/1.56,"")</f>
        <v/>
      </c>
      <c r="T1604" s="3">
        <f>IF(N1604&lt;&gt;"",N1604,IF(O1604&lt;&gt;"",O1604,IF(L1604&lt;&gt;"",L1604/1.56,IF(M1604&lt;&gt;"",M1604/1.56,""))))</f>
        <v/>
      </c>
      <c r="U1604" s="3" t="n">
        <v>297</v>
      </c>
      <c r="V1604" s="3" t="n"/>
      <c r="W1604" s="3" t="n"/>
      <c r="X1604" s="4" t="n"/>
      <c r="Y1604" s="5" t="n">
        <v>0.34</v>
      </c>
      <c r="Z1604" s="4">
        <f>IF(L1604&lt;&gt;"",SQRT(3)*G1604*L1604/1000,"")</f>
        <v/>
      </c>
      <c r="AA1604" t="inlineStr">
        <is>
          <t>Source=Copeland 2D/3D/4D/4R/6D/8D/9R compressors (pdf) p81</t>
        </is>
      </c>
      <c r="AB1604" t="inlineStr">
        <is>
          <t>Copeland_RLA_230_460_3ph_60Hz.xlsx</t>
        </is>
      </c>
      <c r="AC1604" t="inlineStr">
        <is>
          <t>Recip_2D-9R</t>
        </is>
      </c>
    </row>
    <row r="1605">
      <c r="A1605" t="inlineStr">
        <is>
          <t>COPELAND</t>
        </is>
      </c>
      <c r="B1605" t="inlineStr">
        <is>
          <t>6DN3-350L-FSD</t>
        </is>
      </c>
      <c r="D1605" t="inlineStr">
        <is>
          <t>Reciprocating Semi-hermetic</t>
        </is>
      </c>
      <c r="E1605" s="2" t="n">
        <v>3</v>
      </c>
      <c r="F1605" s="2" t="n">
        <v>60</v>
      </c>
      <c r="G1605" s="2" t="n">
        <v>460</v>
      </c>
      <c r="H1605" t="inlineStr">
        <is>
          <t>460</t>
        </is>
      </c>
      <c r="I1605" s="2" t="n">
        <v>460</v>
      </c>
      <c r="J1605" s="2" t="n">
        <v>460</v>
      </c>
      <c r="L1605" s="3" t="n"/>
      <c r="M1605" s="3" t="n"/>
      <c r="N1605" s="3" t="n">
        <v>66</v>
      </c>
      <c r="O1605" s="3" t="n"/>
      <c r="P1605" s="3">
        <f>IF(L1605&lt;&gt;"",L1605/1.4,"")</f>
        <v/>
      </c>
      <c r="Q1605" s="3">
        <f>IF(L1605&lt;&gt;"",L1605/1.56,"")</f>
        <v/>
      </c>
      <c r="R1605" s="3">
        <f>IF(M1605&lt;&gt;"",M1605/1.4,"")</f>
        <v/>
      </c>
      <c r="S1605" s="3">
        <f>IF(M1605&lt;&gt;"",M1605/1.56,"")</f>
        <v/>
      </c>
      <c r="T1605" s="3">
        <f>IF(N1605&lt;&gt;"",N1605,IF(O1605&lt;&gt;"",O1605,IF(L1605&lt;&gt;"",L1605/1.56,IF(M1605&lt;&gt;"",M1605/1.56,""))))</f>
        <v/>
      </c>
      <c r="U1605" s="3" t="n">
        <v>315</v>
      </c>
      <c r="V1605" s="3" t="n">
        <v>195</v>
      </c>
      <c r="W1605" s="3" t="n"/>
      <c r="X1605" s="4" t="n"/>
      <c r="Y1605" s="5" t="n">
        <v>0.32</v>
      </c>
      <c r="Z1605" s="4">
        <f>IF(L1605&lt;&gt;"",SQRT(3)*G1605*L1605/1000,"")</f>
        <v/>
      </c>
      <c r="AA1605" t="inlineStr">
        <is>
          <t>Source=Copeland 2D/3D/4D/4R/6D/8D/9R compressors (pdf) p81; PWS_RLA=33.0</t>
        </is>
      </c>
      <c r="AB1605" t="inlineStr">
        <is>
          <t>Copeland_RLA_230_460_3ph_60Hz.xlsx</t>
        </is>
      </c>
      <c r="AC1605" t="inlineStr">
        <is>
          <t>Recip_2D-9R</t>
        </is>
      </c>
    </row>
    <row r="1606">
      <c r="A1606" t="inlineStr">
        <is>
          <t>COPELAND</t>
        </is>
      </c>
      <c r="B1606" t="inlineStr">
        <is>
          <t>6DN3-350L-TSN</t>
        </is>
      </c>
      <c r="D1606" t="inlineStr">
        <is>
          <t>Reciprocating Semi-hermetic</t>
        </is>
      </c>
      <c r="E1606" s="2" t="n">
        <v>3</v>
      </c>
      <c r="F1606" s="2" t="n">
        <v>60</v>
      </c>
      <c r="G1606" s="2" t="n">
        <v>230</v>
      </c>
      <c r="H1606" t="inlineStr">
        <is>
          <t>230</t>
        </is>
      </c>
      <c r="I1606" s="2" t="n">
        <v>230</v>
      </c>
      <c r="J1606" s="2" t="n">
        <v>230</v>
      </c>
      <c r="L1606" s="3" t="n"/>
      <c r="M1606" s="3" t="n"/>
      <c r="N1606" s="3" t="n">
        <v>125</v>
      </c>
      <c r="O1606" s="3" t="n"/>
      <c r="P1606" s="3">
        <f>IF(L1606&lt;&gt;"",L1606/1.4,"")</f>
        <v/>
      </c>
      <c r="Q1606" s="3">
        <f>IF(L1606&lt;&gt;"",L1606/1.56,"")</f>
        <v/>
      </c>
      <c r="R1606" s="3">
        <f>IF(M1606&lt;&gt;"",M1606/1.4,"")</f>
        <v/>
      </c>
      <c r="S1606" s="3">
        <f>IF(M1606&lt;&gt;"",M1606/1.56,"")</f>
        <v/>
      </c>
      <c r="T1606" s="3">
        <f>IF(N1606&lt;&gt;"",N1606,IF(O1606&lt;&gt;"",O1606,IF(L1606&lt;&gt;"",L1606/1.56,IF(M1606&lt;&gt;"",M1606/1.56,""))))</f>
        <v/>
      </c>
      <c r="U1606" s="3" t="n">
        <v>594</v>
      </c>
      <c r="V1606" s="3" t="n">
        <v>340</v>
      </c>
      <c r="W1606" s="3" t="n"/>
      <c r="X1606" s="4" t="n"/>
      <c r="Y1606" s="5" t="n">
        <v>0.08500000000000001</v>
      </c>
      <c r="Z1606" s="4">
        <f>IF(L1606&lt;&gt;"",SQRT(3)*G1606*L1606/1000,"")</f>
        <v/>
      </c>
      <c r="AA1606" t="inlineStr">
        <is>
          <t>Source=Copeland 2D/3D/4D/4R/6D/8D/9R compressors (pdf) p81; PWS_RLA=62.5</t>
        </is>
      </c>
      <c r="AB1606" t="inlineStr">
        <is>
          <t>Copeland_RLA_230_460_3ph_60Hz.xlsx</t>
        </is>
      </c>
      <c r="AC1606" t="inlineStr">
        <is>
          <t>Recip_2D-9R</t>
        </is>
      </c>
    </row>
    <row r="1607">
      <c r="A1607" t="inlineStr">
        <is>
          <t>COPELAND</t>
        </is>
      </c>
      <c r="B1607" t="inlineStr">
        <is>
          <t>6DN3-350L-TSN</t>
        </is>
      </c>
      <c r="D1607" t="inlineStr">
        <is>
          <t>Reciprocating Semi-hermetic</t>
        </is>
      </c>
      <c r="E1607" s="2" t="n">
        <v>3</v>
      </c>
      <c r="F1607" s="2" t="n">
        <v>60</v>
      </c>
      <c r="G1607" s="2" t="n">
        <v>460</v>
      </c>
      <c r="H1607" t="inlineStr">
        <is>
          <t>460</t>
        </is>
      </c>
      <c r="I1607" s="2" t="n">
        <v>460</v>
      </c>
      <c r="J1607" s="2" t="n">
        <v>460</v>
      </c>
      <c r="L1607" s="3" t="n"/>
      <c r="M1607" s="3" t="n"/>
      <c r="N1607" s="3" t="n">
        <v>62.5</v>
      </c>
      <c r="O1607" s="3" t="n"/>
      <c r="P1607" s="3">
        <f>IF(L1607&lt;&gt;"",L1607/1.4,"")</f>
        <v/>
      </c>
      <c r="Q1607" s="3">
        <f>IF(L1607&lt;&gt;"",L1607/1.56,"")</f>
        <v/>
      </c>
      <c r="R1607" s="3">
        <f>IF(M1607&lt;&gt;"",M1607/1.4,"")</f>
        <v/>
      </c>
      <c r="S1607" s="3">
        <f>IF(M1607&lt;&gt;"",M1607/1.56,"")</f>
        <v/>
      </c>
      <c r="T1607" s="3">
        <f>IF(N1607&lt;&gt;"",N1607,IF(O1607&lt;&gt;"",O1607,IF(L1607&lt;&gt;"",L1607/1.56,IF(M1607&lt;&gt;"",M1607/1.56,""))))</f>
        <v/>
      </c>
      <c r="U1607" s="3" t="n">
        <v>297</v>
      </c>
      <c r="V1607" s="3" t="n"/>
      <c r="W1607" s="3" t="n"/>
      <c r="X1607" s="4" t="n"/>
      <c r="Y1607" s="5" t="n">
        <v>0.34</v>
      </c>
      <c r="Z1607" s="4">
        <f>IF(L1607&lt;&gt;"",SQRT(3)*G1607*L1607/1000,"")</f>
        <v/>
      </c>
      <c r="AA1607" t="inlineStr">
        <is>
          <t>Source=Copeland 2D/3D/4D/4R/6D/8D/9R compressors (pdf) p81</t>
        </is>
      </c>
      <c r="AB1607" t="inlineStr">
        <is>
          <t>Copeland_RLA_230_460_3ph_60Hz.xlsx</t>
        </is>
      </c>
      <c r="AC1607" t="inlineStr">
        <is>
          <t>Recip_2D-9R</t>
        </is>
      </c>
    </row>
    <row r="1608">
      <c r="A1608" t="inlineStr">
        <is>
          <t>COPELAND</t>
        </is>
      </c>
      <c r="B1608" t="inlineStr">
        <is>
          <t>6DN3A3500-FSD</t>
        </is>
      </c>
      <c r="D1608" t="inlineStr">
        <is>
          <t>Reciprocating Semi-hermetic</t>
        </is>
      </c>
      <c r="E1608" s="2" t="n">
        <v>3</v>
      </c>
      <c r="F1608" s="2" t="n">
        <v>60</v>
      </c>
      <c r="G1608" s="2" t="n">
        <v>460</v>
      </c>
      <c r="H1608" t="inlineStr">
        <is>
          <t>460</t>
        </is>
      </c>
      <c r="I1608" s="2" t="n">
        <v>460</v>
      </c>
      <c r="J1608" s="2" t="n">
        <v>460</v>
      </c>
      <c r="L1608" s="3" t="n"/>
      <c r="M1608" s="3" t="n"/>
      <c r="N1608" s="3" t="n">
        <v>66</v>
      </c>
      <c r="O1608" s="3" t="n"/>
      <c r="P1608" s="3">
        <f>IF(L1608&lt;&gt;"",L1608/1.4,"")</f>
        <v/>
      </c>
      <c r="Q1608" s="3">
        <f>IF(L1608&lt;&gt;"",L1608/1.56,"")</f>
        <v/>
      </c>
      <c r="R1608" s="3">
        <f>IF(M1608&lt;&gt;"",M1608/1.4,"")</f>
        <v/>
      </c>
      <c r="S1608" s="3">
        <f>IF(M1608&lt;&gt;"",M1608/1.56,"")</f>
        <v/>
      </c>
      <c r="T1608" s="3">
        <f>IF(N1608&lt;&gt;"",N1608,IF(O1608&lt;&gt;"",O1608,IF(L1608&lt;&gt;"",L1608/1.56,IF(M1608&lt;&gt;"",M1608/1.56,""))))</f>
        <v/>
      </c>
      <c r="U1608" s="3" t="n">
        <v>315</v>
      </c>
      <c r="V1608" s="3" t="n">
        <v>195</v>
      </c>
      <c r="W1608" s="3" t="n"/>
      <c r="X1608" s="4" t="n"/>
      <c r="Y1608" s="5" t="n">
        <v>0.32</v>
      </c>
      <c r="Z1608" s="4">
        <f>IF(L1608&lt;&gt;"",SQRT(3)*G1608*L1608/1000,"")</f>
        <v/>
      </c>
      <c r="AA1608" t="inlineStr">
        <is>
          <t>Source=Copeland 2D/3D/4D/4R/6D/8D/9R compressors (pdf) p81; PWS_RLA=33.0</t>
        </is>
      </c>
      <c r="AB1608" t="inlineStr">
        <is>
          <t>Copeland_RLA_230_460_3ph_60Hz.xlsx</t>
        </is>
      </c>
      <c r="AC1608" t="inlineStr">
        <is>
          <t>Recip_2D-9R</t>
        </is>
      </c>
    </row>
    <row r="1609">
      <c r="A1609" t="inlineStr">
        <is>
          <t>COPELAND</t>
        </is>
      </c>
      <c r="B1609" t="inlineStr">
        <is>
          <t>6DN3A3500-FXD</t>
        </is>
      </c>
      <c r="D1609" t="inlineStr">
        <is>
          <t>Reciprocating Semi-hermetic</t>
        </is>
      </c>
      <c r="E1609" s="2" t="n">
        <v>3</v>
      </c>
      <c r="F1609" s="2" t="n">
        <v>60</v>
      </c>
      <c r="G1609" s="2" t="n">
        <v>460</v>
      </c>
      <c r="H1609" t="inlineStr">
        <is>
          <t>460</t>
        </is>
      </c>
      <c r="I1609" s="2" t="n">
        <v>460</v>
      </c>
      <c r="J1609" s="2" t="n">
        <v>460</v>
      </c>
      <c r="L1609" s="3" t="n"/>
      <c r="M1609" s="3" t="n"/>
      <c r="N1609" s="3" t="n"/>
      <c r="O1609" s="3" t="n"/>
      <c r="P1609" s="3">
        <f>IF(L1609&lt;&gt;"",L1609/1.4,"")</f>
        <v/>
      </c>
      <c r="Q1609" s="3">
        <f>IF(L1609&lt;&gt;"",L1609/1.56,"")</f>
        <v/>
      </c>
      <c r="R1609" s="3">
        <f>IF(M1609&lt;&gt;"",M1609/1.4,"")</f>
        <v/>
      </c>
      <c r="S1609" s="3">
        <f>IF(M1609&lt;&gt;"",M1609/1.56,"")</f>
        <v/>
      </c>
      <c r="T1609" s="3">
        <f>IF(N1609&lt;&gt;"",N1609,IF(O1609&lt;&gt;"",O1609,IF(L1609&lt;&gt;"",L1609/1.56,IF(M1609&lt;&gt;"",M1609/1.56,""))))</f>
        <v/>
      </c>
      <c r="U1609" s="3" t="n">
        <v>315</v>
      </c>
      <c r="V1609" s="3" t="n">
        <v>195</v>
      </c>
      <c r="W1609" s="3" t="n"/>
      <c r="X1609" s="4" t="n"/>
      <c r="Y1609" s="5" t="n">
        <v>0.32</v>
      </c>
      <c r="Z1609" s="4">
        <f>IF(L1609&lt;&gt;"",SQRT(3)*G1609*L1609/1000,"")</f>
        <v/>
      </c>
      <c r="AA1609" t="inlineStr">
        <is>
          <t>Source=Copeland 2D/3D/4D/4R/6D/8D/9R compressors (pdf) p82</t>
        </is>
      </c>
      <c r="AB1609" t="inlineStr">
        <is>
          <t>Copeland_RLA_230_460_3ph_60Hz.xlsx</t>
        </is>
      </c>
      <c r="AC1609" t="inlineStr">
        <is>
          <t>Recip_2D-9R</t>
        </is>
      </c>
    </row>
    <row r="1610">
      <c r="A1610" t="inlineStr">
        <is>
          <t>COPELAND</t>
        </is>
      </c>
      <c r="B1610" t="inlineStr">
        <is>
          <t>6DN3A3500-TSN</t>
        </is>
      </c>
      <c r="D1610" t="inlineStr">
        <is>
          <t>Reciprocating Semi-hermetic</t>
        </is>
      </c>
      <c r="E1610" s="2" t="n">
        <v>3</v>
      </c>
      <c r="F1610" s="2" t="n">
        <v>60</v>
      </c>
      <c r="G1610" s="2" t="n">
        <v>230</v>
      </c>
      <c r="H1610" t="inlineStr">
        <is>
          <t>230</t>
        </is>
      </c>
      <c r="I1610" s="2" t="n">
        <v>230</v>
      </c>
      <c r="J1610" s="2" t="n">
        <v>230</v>
      </c>
      <c r="L1610" s="3" t="n"/>
      <c r="M1610" s="3" t="n"/>
      <c r="N1610" s="3" t="n">
        <v>125</v>
      </c>
      <c r="O1610" s="3" t="n"/>
      <c r="P1610" s="3">
        <f>IF(L1610&lt;&gt;"",L1610/1.4,"")</f>
        <v/>
      </c>
      <c r="Q1610" s="3">
        <f>IF(L1610&lt;&gt;"",L1610/1.56,"")</f>
        <v/>
      </c>
      <c r="R1610" s="3">
        <f>IF(M1610&lt;&gt;"",M1610/1.4,"")</f>
        <v/>
      </c>
      <c r="S1610" s="3">
        <f>IF(M1610&lt;&gt;"",M1610/1.56,"")</f>
        <v/>
      </c>
      <c r="T1610" s="3">
        <f>IF(N1610&lt;&gt;"",N1610,IF(O1610&lt;&gt;"",O1610,IF(L1610&lt;&gt;"",L1610/1.56,IF(M1610&lt;&gt;"",M1610/1.56,""))))</f>
        <v/>
      </c>
      <c r="U1610" s="3" t="n">
        <v>594</v>
      </c>
      <c r="V1610" s="3" t="n">
        <v>340</v>
      </c>
      <c r="W1610" s="3" t="n"/>
      <c r="X1610" s="4" t="n"/>
      <c r="Y1610" s="5" t="n">
        <v>0.08500000000000001</v>
      </c>
      <c r="Z1610" s="4">
        <f>IF(L1610&lt;&gt;"",SQRT(3)*G1610*L1610/1000,"")</f>
        <v/>
      </c>
      <c r="AA1610" t="inlineStr">
        <is>
          <t>Source=Copeland 2D/3D/4D/4R/6D/8D/9R compressors (pdf) p82; PWS_RLA=62.5</t>
        </is>
      </c>
      <c r="AB1610" t="inlineStr">
        <is>
          <t>Copeland_RLA_230_460_3ph_60Hz.xlsx</t>
        </is>
      </c>
      <c r="AC1610" t="inlineStr">
        <is>
          <t>Recip_2D-9R</t>
        </is>
      </c>
    </row>
    <row r="1611">
      <c r="A1611" t="inlineStr">
        <is>
          <t>COPELAND</t>
        </is>
      </c>
      <c r="B1611" t="inlineStr">
        <is>
          <t>6DN3A3500-TSN</t>
        </is>
      </c>
      <c r="D1611" t="inlineStr">
        <is>
          <t>Reciprocating Semi-hermetic</t>
        </is>
      </c>
      <c r="E1611" s="2" t="n">
        <v>3</v>
      </c>
      <c r="F1611" s="2" t="n">
        <v>60</v>
      </c>
      <c r="G1611" s="2" t="n">
        <v>460</v>
      </c>
      <c r="H1611" t="inlineStr">
        <is>
          <t>460</t>
        </is>
      </c>
      <c r="I1611" s="2" t="n">
        <v>460</v>
      </c>
      <c r="J1611" s="2" t="n">
        <v>460</v>
      </c>
      <c r="L1611" s="3" t="n"/>
      <c r="M1611" s="3" t="n"/>
      <c r="N1611" s="3" t="n">
        <v>62.5</v>
      </c>
      <c r="O1611" s="3" t="n"/>
      <c r="P1611" s="3">
        <f>IF(L1611&lt;&gt;"",L1611/1.4,"")</f>
        <v/>
      </c>
      <c r="Q1611" s="3">
        <f>IF(L1611&lt;&gt;"",L1611/1.56,"")</f>
        <v/>
      </c>
      <c r="R1611" s="3">
        <f>IF(M1611&lt;&gt;"",M1611/1.4,"")</f>
        <v/>
      </c>
      <c r="S1611" s="3">
        <f>IF(M1611&lt;&gt;"",M1611/1.56,"")</f>
        <v/>
      </c>
      <c r="T1611" s="3">
        <f>IF(N1611&lt;&gt;"",N1611,IF(O1611&lt;&gt;"",O1611,IF(L1611&lt;&gt;"",L1611/1.56,IF(M1611&lt;&gt;"",M1611/1.56,""))))</f>
        <v/>
      </c>
      <c r="U1611" s="3" t="n">
        <v>297</v>
      </c>
      <c r="V1611" s="3" t="n"/>
      <c r="W1611" s="3" t="n"/>
      <c r="X1611" s="4" t="n"/>
      <c r="Y1611" s="5" t="n">
        <v>0.34</v>
      </c>
      <c r="Z1611" s="4">
        <f>IF(L1611&lt;&gt;"",SQRT(3)*G1611*L1611/1000,"")</f>
        <v/>
      </c>
      <c r="AA1611" t="inlineStr">
        <is>
          <t>Source=Copeland 2D/3D/4D/4R/6D/8D/9R compressors (pdf) p82</t>
        </is>
      </c>
      <c r="AB1611" t="inlineStr">
        <is>
          <t>Copeland_RLA_230_460_3ph_60Hz.xlsx</t>
        </is>
      </c>
      <c r="AC1611" t="inlineStr">
        <is>
          <t>Recip_2D-9R</t>
        </is>
      </c>
    </row>
    <row r="1612">
      <c r="A1612" t="inlineStr">
        <is>
          <t>COPELAND</t>
        </is>
      </c>
      <c r="B1612" t="inlineStr">
        <is>
          <t>6DN3A3500-TXN</t>
        </is>
      </c>
      <c r="D1612" t="inlineStr">
        <is>
          <t>Reciprocating Semi-hermetic</t>
        </is>
      </c>
      <c r="E1612" s="2" t="n">
        <v>3</v>
      </c>
      <c r="F1612" s="2" t="n">
        <v>60</v>
      </c>
      <c r="G1612" s="2" t="n">
        <v>230</v>
      </c>
      <c r="H1612" t="inlineStr">
        <is>
          <t>230</t>
        </is>
      </c>
      <c r="I1612" s="2" t="n">
        <v>230</v>
      </c>
      <c r="J1612" s="2" t="n">
        <v>230</v>
      </c>
      <c r="L1612" s="3" t="n"/>
      <c r="M1612" s="3" t="n"/>
      <c r="N1612" s="3" t="n"/>
      <c r="O1612" s="3" t="n"/>
      <c r="P1612" s="3">
        <f>IF(L1612&lt;&gt;"",L1612/1.4,"")</f>
        <v/>
      </c>
      <c r="Q1612" s="3">
        <f>IF(L1612&lt;&gt;"",L1612/1.56,"")</f>
        <v/>
      </c>
      <c r="R1612" s="3">
        <f>IF(M1612&lt;&gt;"",M1612/1.4,"")</f>
        <v/>
      </c>
      <c r="S1612" s="3">
        <f>IF(M1612&lt;&gt;"",M1612/1.56,"")</f>
        <v/>
      </c>
      <c r="T1612" s="3">
        <f>IF(N1612&lt;&gt;"",N1612,IF(O1612&lt;&gt;"",O1612,IF(L1612&lt;&gt;"",L1612/1.56,IF(M1612&lt;&gt;"",M1612/1.56,""))))</f>
        <v/>
      </c>
      <c r="U1612" s="3" t="n">
        <v>594</v>
      </c>
      <c r="V1612" s="3" t="n">
        <v>340</v>
      </c>
      <c r="W1612" s="3" t="n"/>
      <c r="X1612" s="4" t="n"/>
      <c r="Y1612" s="5" t="n">
        <v>0.08500000000000001</v>
      </c>
      <c r="Z1612" s="4">
        <f>IF(L1612&lt;&gt;"",SQRT(3)*G1612*L1612/1000,"")</f>
        <v/>
      </c>
      <c r="AA1612" t="inlineStr">
        <is>
          <t>Source=Copeland 2D/3D/4D/4R/6D/8D/9R compressors (pdf) p82</t>
        </is>
      </c>
      <c r="AB1612" t="inlineStr">
        <is>
          <t>Copeland_RLA_230_460_3ph_60Hz.xlsx</t>
        </is>
      </c>
      <c r="AC1612" t="inlineStr">
        <is>
          <t>Recip_2D-9R</t>
        </is>
      </c>
    </row>
    <row r="1613">
      <c r="A1613" t="inlineStr">
        <is>
          <t>COPELAND</t>
        </is>
      </c>
      <c r="B1613" t="inlineStr">
        <is>
          <t>6DN3A3500-TXN</t>
        </is>
      </c>
      <c r="D1613" t="inlineStr">
        <is>
          <t>Reciprocating Semi-hermetic</t>
        </is>
      </c>
      <c r="E1613" s="2" t="n">
        <v>3</v>
      </c>
      <c r="F1613" s="2" t="n">
        <v>60</v>
      </c>
      <c r="G1613" s="2" t="n">
        <v>460</v>
      </c>
      <c r="H1613" t="inlineStr">
        <is>
          <t>460</t>
        </is>
      </c>
      <c r="I1613" s="2" t="n">
        <v>460</v>
      </c>
      <c r="J1613" s="2" t="n">
        <v>460</v>
      </c>
      <c r="L1613" s="3" t="n"/>
      <c r="M1613" s="3" t="n"/>
      <c r="N1613" s="3" t="n"/>
      <c r="O1613" s="3" t="n"/>
      <c r="P1613" s="3">
        <f>IF(L1613&lt;&gt;"",L1613/1.4,"")</f>
        <v/>
      </c>
      <c r="Q1613" s="3">
        <f>IF(L1613&lt;&gt;"",L1613/1.56,"")</f>
        <v/>
      </c>
      <c r="R1613" s="3">
        <f>IF(M1613&lt;&gt;"",M1613/1.4,"")</f>
        <v/>
      </c>
      <c r="S1613" s="3">
        <f>IF(M1613&lt;&gt;"",M1613/1.56,"")</f>
        <v/>
      </c>
      <c r="T1613" s="3">
        <f>IF(N1613&lt;&gt;"",N1613,IF(O1613&lt;&gt;"",O1613,IF(L1613&lt;&gt;"",L1613/1.56,IF(M1613&lt;&gt;"",M1613/1.56,""))))</f>
        <v/>
      </c>
      <c r="U1613" s="3" t="n">
        <v>297</v>
      </c>
      <c r="V1613" s="3" t="n"/>
      <c r="W1613" s="3" t="n"/>
      <c r="X1613" s="4" t="n"/>
      <c r="Y1613" s="5" t="n">
        <v>0.34</v>
      </c>
      <c r="Z1613" s="4">
        <f>IF(L1613&lt;&gt;"",SQRT(3)*G1613*L1613/1000,"")</f>
        <v/>
      </c>
      <c r="AA1613" t="inlineStr">
        <is>
          <t>Source=Copeland 2D/3D/4D/4R/6D/8D/9R compressors (pdf) p82</t>
        </is>
      </c>
      <c r="AB1613" t="inlineStr">
        <is>
          <t>Copeland_RLA_230_460_3ph_60Hz.xlsx</t>
        </is>
      </c>
      <c r="AC1613" t="inlineStr">
        <is>
          <t>Recip_2D-9R</t>
        </is>
      </c>
    </row>
    <row r="1614">
      <c r="A1614" t="inlineStr">
        <is>
          <t>COPELAND</t>
        </is>
      </c>
      <c r="B1614" t="inlineStr">
        <is>
          <t>6DN3A350E-FSD</t>
        </is>
      </c>
      <c r="D1614" t="inlineStr">
        <is>
          <t>Reciprocating Semi-hermetic</t>
        </is>
      </c>
      <c r="E1614" s="2" t="n">
        <v>3</v>
      </c>
      <c r="F1614" s="2" t="n">
        <v>60</v>
      </c>
      <c r="G1614" s="2" t="n">
        <v>460</v>
      </c>
      <c r="H1614" t="inlineStr">
        <is>
          <t>460</t>
        </is>
      </c>
      <c r="I1614" s="2" t="n">
        <v>460</v>
      </c>
      <c r="J1614" s="2" t="n">
        <v>460</v>
      </c>
      <c r="L1614" s="3" t="n"/>
      <c r="M1614" s="3" t="n"/>
      <c r="N1614" s="3" t="n">
        <v>66</v>
      </c>
      <c r="O1614" s="3" t="n"/>
      <c r="P1614" s="3">
        <f>IF(L1614&lt;&gt;"",L1614/1.4,"")</f>
        <v/>
      </c>
      <c r="Q1614" s="3">
        <f>IF(L1614&lt;&gt;"",L1614/1.56,"")</f>
        <v/>
      </c>
      <c r="R1614" s="3">
        <f>IF(M1614&lt;&gt;"",M1614/1.4,"")</f>
        <v/>
      </c>
      <c r="S1614" s="3">
        <f>IF(M1614&lt;&gt;"",M1614/1.56,"")</f>
        <v/>
      </c>
      <c r="T1614" s="3">
        <f>IF(N1614&lt;&gt;"",N1614,IF(O1614&lt;&gt;"",O1614,IF(L1614&lt;&gt;"",L1614/1.56,IF(M1614&lt;&gt;"",M1614/1.56,""))))</f>
        <v/>
      </c>
      <c r="U1614" s="3" t="n">
        <v>315</v>
      </c>
      <c r="V1614" s="3" t="n">
        <v>195</v>
      </c>
      <c r="W1614" s="3" t="n"/>
      <c r="X1614" s="4" t="n"/>
      <c r="Y1614" s="5" t="n">
        <v>0.32</v>
      </c>
      <c r="Z1614" s="4">
        <f>IF(L1614&lt;&gt;"",SQRT(3)*G1614*L1614/1000,"")</f>
        <v/>
      </c>
      <c r="AA1614" t="inlineStr">
        <is>
          <t>Source=Copeland 2D/3D/4D/4R/6D/8D/9R compressors (pdf) p82; PWS_RLA=33.0</t>
        </is>
      </c>
      <c r="AB1614" t="inlineStr">
        <is>
          <t>Copeland_RLA_230_460_3ph_60Hz.xlsx</t>
        </is>
      </c>
      <c r="AC1614" t="inlineStr">
        <is>
          <t>Recip_2D-9R</t>
        </is>
      </c>
    </row>
    <row r="1615">
      <c r="A1615" t="inlineStr">
        <is>
          <t>COPELAND</t>
        </is>
      </c>
      <c r="B1615" t="inlineStr">
        <is>
          <t>6DN3A350E-TSN</t>
        </is>
      </c>
      <c r="D1615" t="inlineStr">
        <is>
          <t>Reciprocating Semi-hermetic</t>
        </is>
      </c>
      <c r="E1615" s="2" t="n">
        <v>3</v>
      </c>
      <c r="F1615" s="2" t="n">
        <v>60</v>
      </c>
      <c r="G1615" s="2" t="n">
        <v>230</v>
      </c>
      <c r="H1615" t="inlineStr">
        <is>
          <t>230</t>
        </is>
      </c>
      <c r="I1615" s="2" t="n">
        <v>230</v>
      </c>
      <c r="J1615" s="2" t="n">
        <v>230</v>
      </c>
      <c r="L1615" s="3" t="n"/>
      <c r="M1615" s="3" t="n"/>
      <c r="N1615" s="3" t="n">
        <v>168.6</v>
      </c>
      <c r="O1615" s="3" t="n"/>
      <c r="P1615" s="3">
        <f>IF(L1615&lt;&gt;"",L1615/1.4,"")</f>
        <v/>
      </c>
      <c r="Q1615" s="3">
        <f>IF(L1615&lt;&gt;"",L1615/1.56,"")</f>
        <v/>
      </c>
      <c r="R1615" s="3">
        <f>IF(M1615&lt;&gt;"",M1615/1.4,"")</f>
        <v/>
      </c>
      <c r="S1615" s="3">
        <f>IF(M1615&lt;&gt;"",M1615/1.56,"")</f>
        <v/>
      </c>
      <c r="T1615" s="3">
        <f>IF(N1615&lt;&gt;"",N1615,IF(O1615&lt;&gt;"",O1615,IF(L1615&lt;&gt;"",L1615/1.56,IF(M1615&lt;&gt;"",M1615/1.56,""))))</f>
        <v/>
      </c>
      <c r="U1615" s="3" t="n">
        <v>594</v>
      </c>
      <c r="V1615" s="3" t="n">
        <v>340</v>
      </c>
      <c r="W1615" s="3" t="n"/>
      <c r="X1615" s="4" t="n"/>
      <c r="Y1615" s="5" t="n">
        <v>0.08500000000000001</v>
      </c>
      <c r="Z1615" s="4">
        <f>IF(L1615&lt;&gt;"",SQRT(3)*G1615*L1615/1000,"")</f>
        <v/>
      </c>
      <c r="AA1615" t="inlineStr">
        <is>
          <t>Source=Copeland 2D/3D/4D/4R/6D/8D/9R compressors (pdf) p82; PWS_RLA=62.5</t>
        </is>
      </c>
      <c r="AB1615" t="inlineStr">
        <is>
          <t>Copeland_RLA_230_460_3ph_60Hz.xlsx</t>
        </is>
      </c>
      <c r="AC1615" t="inlineStr">
        <is>
          <t>Recip_2D-9R</t>
        </is>
      </c>
    </row>
    <row r="1616">
      <c r="A1616" t="inlineStr">
        <is>
          <t>COPELAND</t>
        </is>
      </c>
      <c r="B1616" t="inlineStr">
        <is>
          <t>6DN3A350E-TSN</t>
        </is>
      </c>
      <c r="D1616" t="inlineStr">
        <is>
          <t>Reciprocating Semi-hermetic</t>
        </is>
      </c>
      <c r="E1616" s="2" t="n">
        <v>3</v>
      </c>
      <c r="F1616" s="2" t="n">
        <v>60</v>
      </c>
      <c r="G1616" s="2" t="n">
        <v>460</v>
      </c>
      <c r="H1616" t="inlineStr">
        <is>
          <t>460</t>
        </is>
      </c>
      <c r="I1616" s="2" t="n">
        <v>460</v>
      </c>
      <c r="J1616" s="2" t="n">
        <v>460</v>
      </c>
      <c r="L1616" s="3" t="n"/>
      <c r="M1616" s="3" t="n"/>
      <c r="N1616" s="3" t="n">
        <v>84.3</v>
      </c>
      <c r="O1616" s="3" t="n"/>
      <c r="P1616" s="3">
        <f>IF(L1616&lt;&gt;"",L1616/1.4,"")</f>
        <v/>
      </c>
      <c r="Q1616" s="3">
        <f>IF(L1616&lt;&gt;"",L1616/1.56,"")</f>
        <v/>
      </c>
      <c r="R1616" s="3">
        <f>IF(M1616&lt;&gt;"",M1616/1.4,"")</f>
        <v/>
      </c>
      <c r="S1616" s="3">
        <f>IF(M1616&lt;&gt;"",M1616/1.56,"")</f>
        <v/>
      </c>
      <c r="T1616" s="3">
        <f>IF(N1616&lt;&gt;"",N1616,IF(O1616&lt;&gt;"",O1616,IF(L1616&lt;&gt;"",L1616/1.56,IF(M1616&lt;&gt;"",M1616/1.56,""))))</f>
        <v/>
      </c>
      <c r="U1616" s="3" t="n">
        <v>297</v>
      </c>
      <c r="V1616" s="3" t="n"/>
      <c r="W1616" s="3" t="n"/>
      <c r="X1616" s="4" t="n"/>
      <c r="Y1616" s="5" t="n">
        <v>0.34</v>
      </c>
      <c r="Z1616" s="4">
        <f>IF(L1616&lt;&gt;"",SQRT(3)*G1616*L1616/1000,"")</f>
        <v/>
      </c>
      <c r="AA1616" t="inlineStr">
        <is>
          <t>Source=Copeland 2D/3D/4D/4R/6D/8D/9R compressors (pdf) p82</t>
        </is>
      </c>
      <c r="AB1616" t="inlineStr">
        <is>
          <t>Copeland_RLA_230_460_3ph_60Hz.xlsx</t>
        </is>
      </c>
      <c r="AC1616" t="inlineStr">
        <is>
          <t>Recip_2D-9R</t>
        </is>
      </c>
    </row>
    <row r="1617">
      <c r="A1617" t="inlineStr">
        <is>
          <t>COPELAND</t>
        </is>
      </c>
      <c r="B1617" t="inlineStr">
        <is>
          <t>6DN3A350L-FSD</t>
        </is>
      </c>
      <c r="D1617" t="inlineStr">
        <is>
          <t>Reciprocating Semi-hermetic</t>
        </is>
      </c>
      <c r="E1617" s="2" t="n">
        <v>3</v>
      </c>
      <c r="F1617" s="2" t="n">
        <v>60</v>
      </c>
      <c r="G1617" s="2" t="n">
        <v>460</v>
      </c>
      <c r="H1617" t="inlineStr">
        <is>
          <t>460</t>
        </is>
      </c>
      <c r="I1617" s="2" t="n">
        <v>460</v>
      </c>
      <c r="J1617" s="2" t="n">
        <v>460</v>
      </c>
      <c r="L1617" s="3" t="n"/>
      <c r="M1617" s="3" t="n"/>
      <c r="N1617" s="3" t="n">
        <v>66</v>
      </c>
      <c r="O1617" s="3" t="n"/>
      <c r="P1617" s="3">
        <f>IF(L1617&lt;&gt;"",L1617/1.4,"")</f>
        <v/>
      </c>
      <c r="Q1617" s="3">
        <f>IF(L1617&lt;&gt;"",L1617/1.56,"")</f>
        <v/>
      </c>
      <c r="R1617" s="3">
        <f>IF(M1617&lt;&gt;"",M1617/1.4,"")</f>
        <v/>
      </c>
      <c r="S1617" s="3">
        <f>IF(M1617&lt;&gt;"",M1617/1.56,"")</f>
        <v/>
      </c>
      <c r="T1617" s="3">
        <f>IF(N1617&lt;&gt;"",N1617,IF(O1617&lt;&gt;"",O1617,IF(L1617&lt;&gt;"",L1617/1.56,IF(M1617&lt;&gt;"",M1617/1.56,""))))</f>
        <v/>
      </c>
      <c r="U1617" s="3" t="n">
        <v>315</v>
      </c>
      <c r="V1617" s="3" t="n">
        <v>195</v>
      </c>
      <c r="W1617" s="3" t="n"/>
      <c r="X1617" s="4" t="n"/>
      <c r="Y1617" s="5" t="n">
        <v>0.32</v>
      </c>
      <c r="Z1617" s="4">
        <f>IF(L1617&lt;&gt;"",SQRT(3)*G1617*L1617/1000,"")</f>
        <v/>
      </c>
      <c r="AA1617" t="inlineStr">
        <is>
          <t>Source=Copeland 2D/3D/4D/4R/6D/8D/9R compressors (pdf) p82; PWS_RLA=33.0</t>
        </is>
      </c>
      <c r="AB1617" t="inlineStr">
        <is>
          <t>Copeland_RLA_230_460_3ph_60Hz.xlsx</t>
        </is>
      </c>
      <c r="AC1617" t="inlineStr">
        <is>
          <t>Recip_2D-9R</t>
        </is>
      </c>
    </row>
    <row r="1618">
      <c r="A1618" t="inlineStr">
        <is>
          <t>COPELAND</t>
        </is>
      </c>
      <c r="B1618" t="inlineStr">
        <is>
          <t>6DN3A350L-TSN</t>
        </is>
      </c>
      <c r="D1618" t="inlineStr">
        <is>
          <t>Reciprocating Semi-hermetic</t>
        </is>
      </c>
      <c r="E1618" s="2" t="n">
        <v>3</v>
      </c>
      <c r="F1618" s="2" t="n">
        <v>60</v>
      </c>
      <c r="G1618" s="2" t="n">
        <v>230</v>
      </c>
      <c r="H1618" t="inlineStr">
        <is>
          <t>230</t>
        </is>
      </c>
      <c r="I1618" s="2" t="n">
        <v>230</v>
      </c>
      <c r="J1618" s="2" t="n">
        <v>230</v>
      </c>
      <c r="L1618" s="3" t="n"/>
      <c r="M1618" s="3" t="n"/>
      <c r="N1618" s="3" t="n">
        <v>168.6</v>
      </c>
      <c r="O1618" s="3" t="n"/>
      <c r="P1618" s="3">
        <f>IF(L1618&lt;&gt;"",L1618/1.4,"")</f>
        <v/>
      </c>
      <c r="Q1618" s="3">
        <f>IF(L1618&lt;&gt;"",L1618/1.56,"")</f>
        <v/>
      </c>
      <c r="R1618" s="3">
        <f>IF(M1618&lt;&gt;"",M1618/1.4,"")</f>
        <v/>
      </c>
      <c r="S1618" s="3">
        <f>IF(M1618&lt;&gt;"",M1618/1.56,"")</f>
        <v/>
      </c>
      <c r="T1618" s="3">
        <f>IF(N1618&lt;&gt;"",N1618,IF(O1618&lt;&gt;"",O1618,IF(L1618&lt;&gt;"",L1618/1.56,IF(M1618&lt;&gt;"",M1618/1.56,""))))</f>
        <v/>
      </c>
      <c r="U1618" s="3" t="n">
        <v>594</v>
      </c>
      <c r="V1618" s="3" t="n">
        <v>340</v>
      </c>
      <c r="W1618" s="3" t="n"/>
      <c r="X1618" s="4" t="n"/>
      <c r="Y1618" s="5" t="n">
        <v>0.08500000000000001</v>
      </c>
      <c r="Z1618" s="4">
        <f>IF(L1618&lt;&gt;"",SQRT(3)*G1618*L1618/1000,"")</f>
        <v/>
      </c>
      <c r="AA1618" t="inlineStr">
        <is>
          <t>Source=Copeland 2D/3D/4D/4R/6D/8D/9R compressors (pdf) p82; PWS_RLA=62.5</t>
        </is>
      </c>
      <c r="AB1618" t="inlineStr">
        <is>
          <t>Copeland_RLA_230_460_3ph_60Hz.xlsx</t>
        </is>
      </c>
      <c r="AC1618" t="inlineStr">
        <is>
          <t>Recip_2D-9R</t>
        </is>
      </c>
    </row>
    <row r="1619">
      <c r="A1619" t="inlineStr">
        <is>
          <t>COPELAND</t>
        </is>
      </c>
      <c r="B1619" t="inlineStr">
        <is>
          <t>6DN3A350L-TSN</t>
        </is>
      </c>
      <c r="D1619" t="inlineStr">
        <is>
          <t>Reciprocating Semi-hermetic</t>
        </is>
      </c>
      <c r="E1619" s="2" t="n">
        <v>3</v>
      </c>
      <c r="F1619" s="2" t="n">
        <v>60</v>
      </c>
      <c r="G1619" s="2" t="n">
        <v>460</v>
      </c>
      <c r="H1619" t="inlineStr">
        <is>
          <t>460</t>
        </is>
      </c>
      <c r="I1619" s="2" t="n">
        <v>460</v>
      </c>
      <c r="J1619" s="2" t="n">
        <v>460</v>
      </c>
      <c r="L1619" s="3" t="n"/>
      <c r="M1619" s="3" t="n"/>
      <c r="N1619" s="3" t="n">
        <v>84.3</v>
      </c>
      <c r="O1619" s="3" t="n"/>
      <c r="P1619" s="3">
        <f>IF(L1619&lt;&gt;"",L1619/1.4,"")</f>
        <v/>
      </c>
      <c r="Q1619" s="3">
        <f>IF(L1619&lt;&gt;"",L1619/1.56,"")</f>
        <v/>
      </c>
      <c r="R1619" s="3">
        <f>IF(M1619&lt;&gt;"",M1619/1.4,"")</f>
        <v/>
      </c>
      <c r="S1619" s="3">
        <f>IF(M1619&lt;&gt;"",M1619/1.56,"")</f>
        <v/>
      </c>
      <c r="T1619" s="3">
        <f>IF(N1619&lt;&gt;"",N1619,IF(O1619&lt;&gt;"",O1619,IF(L1619&lt;&gt;"",L1619/1.56,IF(M1619&lt;&gt;"",M1619/1.56,""))))</f>
        <v/>
      </c>
      <c r="U1619" s="3" t="n">
        <v>297</v>
      </c>
      <c r="V1619" s="3" t="n"/>
      <c r="W1619" s="3" t="n"/>
      <c r="X1619" s="4" t="n"/>
      <c r="Y1619" s="5" t="n">
        <v>0.34</v>
      </c>
      <c r="Z1619" s="4">
        <f>IF(L1619&lt;&gt;"",SQRT(3)*G1619*L1619/1000,"")</f>
        <v/>
      </c>
      <c r="AA1619" t="inlineStr">
        <is>
          <t>Source=Copeland 2D/3D/4D/4R/6D/8D/9R compressors (pdf) p82</t>
        </is>
      </c>
      <c r="AB1619" t="inlineStr">
        <is>
          <t>Copeland_RLA_230_460_3ph_60Hz.xlsx</t>
        </is>
      </c>
      <c r="AC1619" t="inlineStr">
        <is>
          <t>Recip_2D-9R</t>
        </is>
      </c>
    </row>
    <row r="1620">
      <c r="A1620" t="inlineStr">
        <is>
          <t>COPELAND</t>
        </is>
      </c>
      <c r="B1620" t="inlineStr">
        <is>
          <t>6DN3R37M0-FSD</t>
        </is>
      </c>
      <c r="D1620" t="inlineStr">
        <is>
          <t>Reciprocating Semi-hermetic</t>
        </is>
      </c>
      <c r="E1620" s="2" t="n">
        <v>3</v>
      </c>
      <c r="F1620" s="2" t="n">
        <v>60</v>
      </c>
      <c r="G1620" s="2" t="n">
        <v>460</v>
      </c>
      <c r="H1620" t="inlineStr">
        <is>
          <t>460</t>
        </is>
      </c>
      <c r="I1620" s="2" t="n">
        <v>460</v>
      </c>
      <c r="J1620" s="2" t="n">
        <v>460</v>
      </c>
      <c r="L1620" s="3" t="n"/>
      <c r="M1620" s="3" t="n"/>
      <c r="N1620" s="3" t="n">
        <v>66</v>
      </c>
      <c r="O1620" s="3" t="n"/>
      <c r="P1620" s="3">
        <f>IF(L1620&lt;&gt;"",L1620/1.4,"")</f>
        <v/>
      </c>
      <c r="Q1620" s="3">
        <f>IF(L1620&lt;&gt;"",L1620/1.56,"")</f>
        <v/>
      </c>
      <c r="R1620" s="3">
        <f>IF(M1620&lt;&gt;"",M1620/1.4,"")</f>
        <v/>
      </c>
      <c r="S1620" s="3">
        <f>IF(M1620&lt;&gt;"",M1620/1.56,"")</f>
        <v/>
      </c>
      <c r="T1620" s="3">
        <f>IF(N1620&lt;&gt;"",N1620,IF(O1620&lt;&gt;"",O1620,IF(L1620&lt;&gt;"",L1620/1.56,IF(M1620&lt;&gt;"",M1620/1.56,""))))</f>
        <v/>
      </c>
      <c r="U1620" s="3" t="n">
        <v>315</v>
      </c>
      <c r="V1620" s="3" t="n">
        <v>195</v>
      </c>
      <c r="W1620" s="3" t="n"/>
      <c r="X1620" s="4" t="n"/>
      <c r="Y1620" s="5" t="n">
        <v>0.32</v>
      </c>
      <c r="Z1620" s="4">
        <f>IF(L1620&lt;&gt;"",SQRT(3)*G1620*L1620/1000,"")</f>
        <v/>
      </c>
      <c r="AA1620" t="inlineStr">
        <is>
          <t>Source=Copeland 2D/3D/4D/4R/6D/8D/9R compressors (pdf) p82; PWS_RLA=33.0</t>
        </is>
      </c>
      <c r="AB1620" t="inlineStr">
        <is>
          <t>Copeland_RLA_230_460_3ph_60Hz.xlsx</t>
        </is>
      </c>
      <c r="AC1620" t="inlineStr">
        <is>
          <t>Recip_2D-9R</t>
        </is>
      </c>
    </row>
    <row r="1621">
      <c r="A1621" t="inlineStr">
        <is>
          <t>COPELAND</t>
        </is>
      </c>
      <c r="B1621" t="inlineStr">
        <is>
          <t>6DN3R37M0-TSN</t>
        </is>
      </c>
      <c r="D1621" t="inlineStr">
        <is>
          <t>Reciprocating Semi-hermetic</t>
        </is>
      </c>
      <c r="E1621" s="2" t="n">
        <v>3</v>
      </c>
      <c r="F1621" s="2" t="n">
        <v>60</v>
      </c>
      <c r="G1621" s="2" t="n">
        <v>230</v>
      </c>
      <c r="H1621" t="inlineStr">
        <is>
          <t>230</t>
        </is>
      </c>
      <c r="I1621" s="2" t="n">
        <v>230</v>
      </c>
      <c r="J1621" s="2" t="n">
        <v>230</v>
      </c>
      <c r="L1621" s="3" t="n"/>
      <c r="M1621" s="3" t="n"/>
      <c r="N1621" s="3" t="n">
        <v>125</v>
      </c>
      <c r="O1621" s="3" t="n"/>
      <c r="P1621" s="3">
        <f>IF(L1621&lt;&gt;"",L1621/1.4,"")</f>
        <v/>
      </c>
      <c r="Q1621" s="3">
        <f>IF(L1621&lt;&gt;"",L1621/1.56,"")</f>
        <v/>
      </c>
      <c r="R1621" s="3">
        <f>IF(M1621&lt;&gt;"",M1621/1.4,"")</f>
        <v/>
      </c>
      <c r="S1621" s="3">
        <f>IF(M1621&lt;&gt;"",M1621/1.56,"")</f>
        <v/>
      </c>
      <c r="T1621" s="3">
        <f>IF(N1621&lt;&gt;"",N1621,IF(O1621&lt;&gt;"",O1621,IF(L1621&lt;&gt;"",L1621/1.56,IF(M1621&lt;&gt;"",M1621/1.56,""))))</f>
        <v/>
      </c>
      <c r="U1621" s="3" t="n">
        <v>594</v>
      </c>
      <c r="V1621" s="3" t="n">
        <v>340</v>
      </c>
      <c r="W1621" s="3" t="n"/>
      <c r="X1621" s="4" t="n"/>
      <c r="Y1621" s="5" t="n">
        <v>0.08500000000000001</v>
      </c>
      <c r="Z1621" s="4">
        <f>IF(L1621&lt;&gt;"",SQRT(3)*G1621*L1621/1000,"")</f>
        <v/>
      </c>
      <c r="AA1621" t="inlineStr">
        <is>
          <t>Source=Copeland 2D/3D/4D/4R/6D/8D/9R compressors (pdf) p82; PWS_RLA=62.5</t>
        </is>
      </c>
      <c r="AB1621" t="inlineStr">
        <is>
          <t>Copeland_RLA_230_460_3ph_60Hz.xlsx</t>
        </is>
      </c>
      <c r="AC1621" t="inlineStr">
        <is>
          <t>Recip_2D-9R</t>
        </is>
      </c>
    </row>
    <row r="1622">
      <c r="A1622" t="inlineStr">
        <is>
          <t>COPELAND</t>
        </is>
      </c>
      <c r="B1622" t="inlineStr">
        <is>
          <t>6DN3R37M0-TSN</t>
        </is>
      </c>
      <c r="D1622" t="inlineStr">
        <is>
          <t>Reciprocating Semi-hermetic</t>
        </is>
      </c>
      <c r="E1622" s="2" t="n">
        <v>3</v>
      </c>
      <c r="F1622" s="2" t="n">
        <v>60</v>
      </c>
      <c r="G1622" s="2" t="n">
        <v>460</v>
      </c>
      <c r="H1622" t="inlineStr">
        <is>
          <t>460</t>
        </is>
      </c>
      <c r="I1622" s="2" t="n">
        <v>460</v>
      </c>
      <c r="J1622" s="2" t="n">
        <v>460</v>
      </c>
      <c r="L1622" s="3" t="n"/>
      <c r="M1622" s="3" t="n"/>
      <c r="N1622" s="3" t="n">
        <v>62.5</v>
      </c>
      <c r="O1622" s="3" t="n"/>
      <c r="P1622" s="3">
        <f>IF(L1622&lt;&gt;"",L1622/1.4,"")</f>
        <v/>
      </c>
      <c r="Q1622" s="3">
        <f>IF(L1622&lt;&gt;"",L1622/1.56,"")</f>
        <v/>
      </c>
      <c r="R1622" s="3">
        <f>IF(M1622&lt;&gt;"",M1622/1.4,"")</f>
        <v/>
      </c>
      <c r="S1622" s="3">
        <f>IF(M1622&lt;&gt;"",M1622/1.56,"")</f>
        <v/>
      </c>
      <c r="T1622" s="3">
        <f>IF(N1622&lt;&gt;"",N1622,IF(O1622&lt;&gt;"",O1622,IF(L1622&lt;&gt;"",L1622/1.56,IF(M1622&lt;&gt;"",M1622/1.56,""))))</f>
        <v/>
      </c>
      <c r="U1622" s="3" t="n">
        <v>297</v>
      </c>
      <c r="V1622" s="3" t="n"/>
      <c r="W1622" s="3" t="n"/>
      <c r="X1622" s="4" t="n"/>
      <c r="Y1622" s="5" t="n">
        <v>0.34</v>
      </c>
      <c r="Z1622" s="4">
        <f>IF(L1622&lt;&gt;"",SQRT(3)*G1622*L1622/1000,"")</f>
        <v/>
      </c>
      <c r="AA1622" t="inlineStr">
        <is>
          <t>Source=Copeland 2D/3D/4D/4R/6D/8D/9R compressors (pdf) p83</t>
        </is>
      </c>
      <c r="AB1622" t="inlineStr">
        <is>
          <t>Copeland_RLA_230_460_3ph_60Hz.xlsx</t>
        </is>
      </c>
      <c r="AC1622" t="inlineStr">
        <is>
          <t>Recip_2D-9R</t>
        </is>
      </c>
    </row>
    <row r="1623">
      <c r="A1623" t="inlineStr">
        <is>
          <t>COPELAND</t>
        </is>
      </c>
      <c r="B1623" t="inlineStr">
        <is>
          <t>6DN3R37ME-FSD</t>
        </is>
      </c>
      <c r="D1623" t="inlineStr">
        <is>
          <t>Reciprocating Semi-hermetic</t>
        </is>
      </c>
      <c r="E1623" s="2" t="n">
        <v>3</v>
      </c>
      <c r="F1623" s="2" t="n">
        <v>60</v>
      </c>
      <c r="G1623" s="2" t="n">
        <v>460</v>
      </c>
      <c r="H1623" t="inlineStr">
        <is>
          <t>460</t>
        </is>
      </c>
      <c r="I1623" s="2" t="n">
        <v>460</v>
      </c>
      <c r="J1623" s="2" t="n">
        <v>460</v>
      </c>
      <c r="L1623" s="3" t="n"/>
      <c r="M1623" s="3" t="n"/>
      <c r="N1623" s="3" t="n">
        <v>82.09999999999999</v>
      </c>
      <c r="O1623" s="3" t="n"/>
      <c r="P1623" s="3">
        <f>IF(L1623&lt;&gt;"",L1623/1.4,"")</f>
        <v/>
      </c>
      <c r="Q1623" s="3">
        <f>IF(L1623&lt;&gt;"",L1623/1.56,"")</f>
        <v/>
      </c>
      <c r="R1623" s="3">
        <f>IF(M1623&lt;&gt;"",M1623/1.4,"")</f>
        <v/>
      </c>
      <c r="S1623" s="3">
        <f>IF(M1623&lt;&gt;"",M1623/1.56,"")</f>
        <v/>
      </c>
      <c r="T1623" s="3">
        <f>IF(N1623&lt;&gt;"",N1623,IF(O1623&lt;&gt;"",O1623,IF(L1623&lt;&gt;"",L1623/1.56,IF(M1623&lt;&gt;"",M1623/1.56,""))))</f>
        <v/>
      </c>
      <c r="U1623" s="3" t="n">
        <v>315</v>
      </c>
      <c r="V1623" s="3" t="n">
        <v>195</v>
      </c>
      <c r="W1623" s="3" t="n"/>
      <c r="X1623" s="4" t="n"/>
      <c r="Y1623" s="5" t="n">
        <v>0.32</v>
      </c>
      <c r="Z1623" s="4">
        <f>IF(L1623&lt;&gt;"",SQRT(3)*G1623*L1623/1000,"")</f>
        <v/>
      </c>
      <c r="AA1623" t="inlineStr">
        <is>
          <t>Source=Copeland 2D/3D/4D/4R/6D/8D/9R compressors (pdf) p83; PWS_RLA=41.1</t>
        </is>
      </c>
      <c r="AB1623" t="inlineStr">
        <is>
          <t>Copeland_RLA_230_460_3ph_60Hz.xlsx</t>
        </is>
      </c>
      <c r="AC1623" t="inlineStr">
        <is>
          <t>Recip_2D-9R</t>
        </is>
      </c>
    </row>
    <row r="1624">
      <c r="A1624" t="inlineStr">
        <is>
          <t>COPELAND</t>
        </is>
      </c>
      <c r="B1624" t="inlineStr">
        <is>
          <t>6DN3R37ME-TSN</t>
        </is>
      </c>
      <c r="D1624" t="inlineStr">
        <is>
          <t>Reciprocating Semi-hermetic</t>
        </is>
      </c>
      <c r="E1624" s="2" t="n">
        <v>3</v>
      </c>
      <c r="F1624" s="2" t="n">
        <v>60</v>
      </c>
      <c r="G1624" s="2" t="n">
        <v>230</v>
      </c>
      <c r="H1624" t="inlineStr">
        <is>
          <t>230</t>
        </is>
      </c>
      <c r="I1624" s="2" t="n">
        <v>230</v>
      </c>
      <c r="J1624" s="2" t="n">
        <v>230</v>
      </c>
      <c r="L1624" s="3" t="n"/>
      <c r="M1624" s="3" t="n"/>
      <c r="N1624" s="3" t="n">
        <v>168.6</v>
      </c>
      <c r="O1624" s="3" t="n"/>
      <c r="P1624" s="3">
        <f>IF(L1624&lt;&gt;"",L1624/1.4,"")</f>
        <v/>
      </c>
      <c r="Q1624" s="3">
        <f>IF(L1624&lt;&gt;"",L1624/1.56,"")</f>
        <v/>
      </c>
      <c r="R1624" s="3">
        <f>IF(M1624&lt;&gt;"",M1624/1.4,"")</f>
        <v/>
      </c>
      <c r="S1624" s="3">
        <f>IF(M1624&lt;&gt;"",M1624/1.56,"")</f>
        <v/>
      </c>
      <c r="T1624" s="3">
        <f>IF(N1624&lt;&gt;"",N1624,IF(O1624&lt;&gt;"",O1624,IF(L1624&lt;&gt;"",L1624/1.56,IF(M1624&lt;&gt;"",M1624/1.56,""))))</f>
        <v/>
      </c>
      <c r="U1624" s="3" t="n">
        <v>594</v>
      </c>
      <c r="V1624" s="3" t="n">
        <v>340</v>
      </c>
      <c r="W1624" s="3" t="n"/>
      <c r="X1624" s="4" t="n"/>
      <c r="Y1624" s="5" t="n">
        <v>0.08500000000000001</v>
      </c>
      <c r="Z1624" s="4">
        <f>IF(L1624&lt;&gt;"",SQRT(3)*G1624*L1624/1000,"")</f>
        <v/>
      </c>
      <c r="AA1624" t="inlineStr">
        <is>
          <t>Source=Copeland 2D/3D/4D/4R/6D/8D/9R compressors (pdf) p83; PWS_RLA=84.3</t>
        </is>
      </c>
      <c r="AB1624" t="inlineStr">
        <is>
          <t>Copeland_RLA_230_460_3ph_60Hz.xlsx</t>
        </is>
      </c>
      <c r="AC1624" t="inlineStr">
        <is>
          <t>Recip_2D-9R</t>
        </is>
      </c>
    </row>
    <row r="1625">
      <c r="A1625" t="inlineStr">
        <is>
          <t>COPELAND</t>
        </is>
      </c>
      <c r="B1625" t="inlineStr">
        <is>
          <t>6DN3R37ME-TSN</t>
        </is>
      </c>
      <c r="D1625" t="inlineStr">
        <is>
          <t>Reciprocating Semi-hermetic</t>
        </is>
      </c>
      <c r="E1625" s="2" t="n">
        <v>3</v>
      </c>
      <c r="F1625" s="2" t="n">
        <v>60</v>
      </c>
      <c r="G1625" s="2" t="n">
        <v>460</v>
      </c>
      <c r="H1625" t="inlineStr">
        <is>
          <t>460</t>
        </is>
      </c>
      <c r="I1625" s="2" t="n">
        <v>460</v>
      </c>
      <c r="J1625" s="2" t="n">
        <v>460</v>
      </c>
      <c r="L1625" s="3" t="n"/>
      <c r="M1625" s="3" t="n"/>
      <c r="N1625" s="3" t="n">
        <v>84.3</v>
      </c>
      <c r="O1625" s="3" t="n"/>
      <c r="P1625" s="3">
        <f>IF(L1625&lt;&gt;"",L1625/1.4,"")</f>
        <v/>
      </c>
      <c r="Q1625" s="3">
        <f>IF(L1625&lt;&gt;"",L1625/1.56,"")</f>
        <v/>
      </c>
      <c r="R1625" s="3">
        <f>IF(M1625&lt;&gt;"",M1625/1.4,"")</f>
        <v/>
      </c>
      <c r="S1625" s="3">
        <f>IF(M1625&lt;&gt;"",M1625/1.56,"")</f>
        <v/>
      </c>
      <c r="T1625" s="3">
        <f>IF(N1625&lt;&gt;"",N1625,IF(O1625&lt;&gt;"",O1625,IF(L1625&lt;&gt;"",L1625/1.56,IF(M1625&lt;&gt;"",M1625/1.56,""))))</f>
        <v/>
      </c>
      <c r="U1625" s="3" t="n">
        <v>297</v>
      </c>
      <c r="V1625" s="3" t="n"/>
      <c r="W1625" s="3" t="n"/>
      <c r="X1625" s="4" t="n"/>
      <c r="Y1625" s="5" t="n">
        <v>0.34</v>
      </c>
      <c r="Z1625" s="4">
        <f>IF(L1625&lt;&gt;"",SQRT(3)*G1625*L1625/1000,"")</f>
        <v/>
      </c>
      <c r="AA1625" t="inlineStr">
        <is>
          <t>Source=Copeland 2D/3D/4D/4R/6D/8D/9R compressors (pdf) p83</t>
        </is>
      </c>
      <c r="AB1625" t="inlineStr">
        <is>
          <t>Copeland_RLA_230_460_3ph_60Hz.xlsx</t>
        </is>
      </c>
      <c r="AC1625" t="inlineStr">
        <is>
          <t>Recip_2D-9R</t>
        </is>
      </c>
    </row>
    <row r="1626">
      <c r="A1626" t="inlineStr">
        <is>
          <t>COPELAND</t>
        </is>
      </c>
      <c r="B1626" t="inlineStr">
        <is>
          <t>6DN3R37ML-FSD</t>
        </is>
      </c>
      <c r="D1626" t="inlineStr">
        <is>
          <t>Reciprocating Semi-hermetic</t>
        </is>
      </c>
      <c r="E1626" s="2" t="n">
        <v>3</v>
      </c>
      <c r="F1626" s="2" t="n">
        <v>60</v>
      </c>
      <c r="G1626" s="2" t="n">
        <v>460</v>
      </c>
      <c r="H1626" t="inlineStr">
        <is>
          <t>460</t>
        </is>
      </c>
      <c r="I1626" s="2" t="n">
        <v>460</v>
      </c>
      <c r="J1626" s="2" t="n">
        <v>460</v>
      </c>
      <c r="L1626" s="3" t="n"/>
      <c r="M1626" s="3" t="n"/>
      <c r="N1626" s="3" t="n">
        <v>82.09999999999999</v>
      </c>
      <c r="O1626" s="3" t="n"/>
      <c r="P1626" s="3">
        <f>IF(L1626&lt;&gt;"",L1626/1.4,"")</f>
        <v/>
      </c>
      <c r="Q1626" s="3">
        <f>IF(L1626&lt;&gt;"",L1626/1.56,"")</f>
        <v/>
      </c>
      <c r="R1626" s="3">
        <f>IF(M1626&lt;&gt;"",M1626/1.4,"")</f>
        <v/>
      </c>
      <c r="S1626" s="3">
        <f>IF(M1626&lt;&gt;"",M1626/1.56,"")</f>
        <v/>
      </c>
      <c r="T1626" s="3">
        <f>IF(N1626&lt;&gt;"",N1626,IF(O1626&lt;&gt;"",O1626,IF(L1626&lt;&gt;"",L1626/1.56,IF(M1626&lt;&gt;"",M1626/1.56,""))))</f>
        <v/>
      </c>
      <c r="U1626" s="3" t="n">
        <v>315</v>
      </c>
      <c r="V1626" s="3" t="n">
        <v>195</v>
      </c>
      <c r="W1626" s="3" t="n"/>
      <c r="X1626" s="4" t="n"/>
      <c r="Y1626" s="5" t="n">
        <v>0.32</v>
      </c>
      <c r="Z1626" s="4">
        <f>IF(L1626&lt;&gt;"",SQRT(3)*G1626*L1626/1000,"")</f>
        <v/>
      </c>
      <c r="AA1626" t="inlineStr">
        <is>
          <t>Source=Copeland 2D/3D/4D/4R/6D/8D/9R compressors (pdf) p83; PWS_RLA=41.1</t>
        </is>
      </c>
      <c r="AB1626" t="inlineStr">
        <is>
          <t>Copeland_RLA_230_460_3ph_60Hz.xlsx</t>
        </is>
      </c>
      <c r="AC1626" t="inlineStr">
        <is>
          <t>Recip_2D-9R</t>
        </is>
      </c>
    </row>
    <row r="1627">
      <c r="A1627" t="inlineStr">
        <is>
          <t>COPELAND</t>
        </is>
      </c>
      <c r="B1627" t="inlineStr">
        <is>
          <t>6DN3R37ML-TSN</t>
        </is>
      </c>
      <c r="D1627" t="inlineStr">
        <is>
          <t>Reciprocating Semi-hermetic</t>
        </is>
      </c>
      <c r="E1627" s="2" t="n">
        <v>3</v>
      </c>
      <c r="F1627" s="2" t="n">
        <v>60</v>
      </c>
      <c r="G1627" s="2" t="n">
        <v>230</v>
      </c>
      <c r="H1627" t="inlineStr">
        <is>
          <t>230</t>
        </is>
      </c>
      <c r="I1627" s="2" t="n">
        <v>230</v>
      </c>
      <c r="J1627" s="2" t="n">
        <v>230</v>
      </c>
      <c r="L1627" s="3" t="n"/>
      <c r="M1627" s="3" t="n"/>
      <c r="N1627" s="3" t="n">
        <v>168.6</v>
      </c>
      <c r="O1627" s="3" t="n"/>
      <c r="P1627" s="3">
        <f>IF(L1627&lt;&gt;"",L1627/1.4,"")</f>
        <v/>
      </c>
      <c r="Q1627" s="3">
        <f>IF(L1627&lt;&gt;"",L1627/1.56,"")</f>
        <v/>
      </c>
      <c r="R1627" s="3">
        <f>IF(M1627&lt;&gt;"",M1627/1.4,"")</f>
        <v/>
      </c>
      <c r="S1627" s="3">
        <f>IF(M1627&lt;&gt;"",M1627/1.56,"")</f>
        <v/>
      </c>
      <c r="T1627" s="3">
        <f>IF(N1627&lt;&gt;"",N1627,IF(O1627&lt;&gt;"",O1627,IF(L1627&lt;&gt;"",L1627/1.56,IF(M1627&lt;&gt;"",M1627/1.56,""))))</f>
        <v/>
      </c>
      <c r="U1627" s="3" t="n">
        <v>594</v>
      </c>
      <c r="V1627" s="3" t="n">
        <v>340</v>
      </c>
      <c r="W1627" s="3" t="n"/>
      <c r="X1627" s="4" t="n"/>
      <c r="Y1627" s="5" t="n">
        <v>0.08500000000000001</v>
      </c>
      <c r="Z1627" s="4">
        <f>IF(L1627&lt;&gt;"",SQRT(3)*G1627*L1627/1000,"")</f>
        <v/>
      </c>
      <c r="AA1627" t="inlineStr">
        <is>
          <t>Source=Copeland 2D/3D/4D/4R/6D/8D/9R compressors (pdf) p83; PWS_RLA=84.3</t>
        </is>
      </c>
      <c r="AB1627" t="inlineStr">
        <is>
          <t>Copeland_RLA_230_460_3ph_60Hz.xlsx</t>
        </is>
      </c>
      <c r="AC1627" t="inlineStr">
        <is>
          <t>Recip_2D-9R</t>
        </is>
      </c>
    </row>
    <row r="1628">
      <c r="A1628" t="inlineStr">
        <is>
          <t>COPELAND</t>
        </is>
      </c>
      <c r="B1628" t="inlineStr">
        <is>
          <t>6DN3R37ML-TSN</t>
        </is>
      </c>
      <c r="D1628" t="inlineStr">
        <is>
          <t>Reciprocating Semi-hermetic</t>
        </is>
      </c>
      <c r="E1628" s="2" t="n">
        <v>3</v>
      </c>
      <c r="F1628" s="2" t="n">
        <v>60</v>
      </c>
      <c r="G1628" s="2" t="n">
        <v>460</v>
      </c>
      <c r="H1628" t="inlineStr">
        <is>
          <t>460</t>
        </is>
      </c>
      <c r="I1628" s="2" t="n">
        <v>460</v>
      </c>
      <c r="J1628" s="2" t="n">
        <v>460</v>
      </c>
      <c r="L1628" s="3" t="n"/>
      <c r="M1628" s="3" t="n"/>
      <c r="N1628" s="3" t="n">
        <v>84.3</v>
      </c>
      <c r="O1628" s="3" t="n"/>
      <c r="P1628" s="3">
        <f>IF(L1628&lt;&gt;"",L1628/1.4,"")</f>
        <v/>
      </c>
      <c r="Q1628" s="3">
        <f>IF(L1628&lt;&gt;"",L1628/1.56,"")</f>
        <v/>
      </c>
      <c r="R1628" s="3">
        <f>IF(M1628&lt;&gt;"",M1628/1.4,"")</f>
        <v/>
      </c>
      <c r="S1628" s="3">
        <f>IF(M1628&lt;&gt;"",M1628/1.56,"")</f>
        <v/>
      </c>
      <c r="T1628" s="3">
        <f>IF(N1628&lt;&gt;"",N1628,IF(O1628&lt;&gt;"",O1628,IF(L1628&lt;&gt;"",L1628/1.56,IF(M1628&lt;&gt;"",M1628/1.56,""))))</f>
        <v/>
      </c>
      <c r="U1628" s="3" t="n">
        <v>297</v>
      </c>
      <c r="V1628" s="3" t="n"/>
      <c r="W1628" s="3" t="n"/>
      <c r="X1628" s="4" t="n"/>
      <c r="Y1628" s="5" t="n">
        <v>0.34</v>
      </c>
      <c r="Z1628" s="4">
        <f>IF(L1628&lt;&gt;"",SQRT(3)*G1628*L1628/1000,"")</f>
        <v/>
      </c>
      <c r="AA1628" t="inlineStr">
        <is>
          <t>Source=Copeland 2D/3D/4D/4R/6D/8D/9R compressors (pdf) p83</t>
        </is>
      </c>
      <c r="AB1628" t="inlineStr">
        <is>
          <t>Copeland_RLA_230_460_3ph_60Hz.xlsx</t>
        </is>
      </c>
      <c r="AC1628" t="inlineStr">
        <is>
          <t>Recip_2D-9R</t>
        </is>
      </c>
    </row>
    <row r="1629">
      <c r="A1629" t="inlineStr">
        <is>
          <t>COPELAND</t>
        </is>
      </c>
      <c r="B1629" t="inlineStr">
        <is>
          <t>6DNG-3500-TSN</t>
        </is>
      </c>
      <c r="D1629" t="inlineStr">
        <is>
          <t>Reciprocating Semi-hermetic</t>
        </is>
      </c>
      <c r="E1629" s="2" t="n">
        <v>3</v>
      </c>
      <c r="F1629" s="2" t="n">
        <v>60</v>
      </c>
      <c r="G1629" s="2" t="n">
        <v>230</v>
      </c>
      <c r="H1629" t="inlineStr">
        <is>
          <t>230</t>
        </is>
      </c>
      <c r="I1629" s="2" t="n">
        <v>230</v>
      </c>
      <c r="J1629" s="2" t="n">
        <v>230</v>
      </c>
      <c r="L1629" s="3" t="n"/>
      <c r="M1629" s="3" t="n"/>
      <c r="N1629" s="3" t="n">
        <v>125</v>
      </c>
      <c r="O1629" s="3" t="n"/>
      <c r="P1629" s="3">
        <f>IF(L1629&lt;&gt;"",L1629/1.4,"")</f>
        <v/>
      </c>
      <c r="Q1629" s="3">
        <f>IF(L1629&lt;&gt;"",L1629/1.56,"")</f>
        <v/>
      </c>
      <c r="R1629" s="3">
        <f>IF(M1629&lt;&gt;"",M1629/1.4,"")</f>
        <v/>
      </c>
      <c r="S1629" s="3">
        <f>IF(M1629&lt;&gt;"",M1629/1.56,"")</f>
        <v/>
      </c>
      <c r="T1629" s="3">
        <f>IF(N1629&lt;&gt;"",N1629,IF(O1629&lt;&gt;"",O1629,IF(L1629&lt;&gt;"",L1629/1.56,IF(M1629&lt;&gt;"",M1629/1.56,""))))</f>
        <v/>
      </c>
      <c r="U1629" s="3" t="n">
        <v>594</v>
      </c>
      <c r="V1629" s="3" t="n">
        <v>340</v>
      </c>
      <c r="W1629" s="3" t="n"/>
      <c r="X1629" s="4" t="n"/>
      <c r="Y1629" s="5" t="n">
        <v>0.08500000000000001</v>
      </c>
      <c r="Z1629" s="4">
        <f>IF(L1629&lt;&gt;"",SQRT(3)*G1629*L1629/1000,"")</f>
        <v/>
      </c>
      <c r="AA1629" t="inlineStr">
        <is>
          <t>Source=Copeland 2D/3D/4D/4R/6D/8D/9R compressors (pdf) p83; PWS_RLA=62.5</t>
        </is>
      </c>
      <c r="AB1629" t="inlineStr">
        <is>
          <t>Copeland_RLA_230_460_3ph_60Hz.xlsx</t>
        </is>
      </c>
      <c r="AC1629" t="inlineStr">
        <is>
          <t>Recip_2D-9R</t>
        </is>
      </c>
    </row>
    <row r="1630">
      <c r="A1630" t="inlineStr">
        <is>
          <t>COPELAND</t>
        </is>
      </c>
      <c r="B1630" t="inlineStr">
        <is>
          <t>6DNG-3500-TSN</t>
        </is>
      </c>
      <c r="D1630" t="inlineStr">
        <is>
          <t>Reciprocating Semi-hermetic</t>
        </is>
      </c>
      <c r="E1630" s="2" t="n">
        <v>3</v>
      </c>
      <c r="F1630" s="2" t="n">
        <v>60</v>
      </c>
      <c r="G1630" s="2" t="n">
        <v>460</v>
      </c>
      <c r="H1630" t="inlineStr">
        <is>
          <t>460</t>
        </is>
      </c>
      <c r="I1630" s="2" t="n">
        <v>460</v>
      </c>
      <c r="J1630" s="2" t="n">
        <v>460</v>
      </c>
      <c r="L1630" s="3" t="n"/>
      <c r="M1630" s="3" t="n"/>
      <c r="N1630" s="3" t="n">
        <v>62.5</v>
      </c>
      <c r="O1630" s="3" t="n"/>
      <c r="P1630" s="3">
        <f>IF(L1630&lt;&gt;"",L1630/1.4,"")</f>
        <v/>
      </c>
      <c r="Q1630" s="3">
        <f>IF(L1630&lt;&gt;"",L1630/1.56,"")</f>
        <v/>
      </c>
      <c r="R1630" s="3">
        <f>IF(M1630&lt;&gt;"",M1630/1.4,"")</f>
        <v/>
      </c>
      <c r="S1630" s="3">
        <f>IF(M1630&lt;&gt;"",M1630/1.56,"")</f>
        <v/>
      </c>
      <c r="T1630" s="3">
        <f>IF(N1630&lt;&gt;"",N1630,IF(O1630&lt;&gt;"",O1630,IF(L1630&lt;&gt;"",L1630/1.56,IF(M1630&lt;&gt;"",M1630/1.56,""))))</f>
        <v/>
      </c>
      <c r="U1630" s="3" t="n">
        <v>297</v>
      </c>
      <c r="V1630" s="3" t="n"/>
      <c r="W1630" s="3" t="n"/>
      <c r="X1630" s="4" t="n"/>
      <c r="Y1630" s="5" t="n">
        <v>0.34</v>
      </c>
      <c r="Z1630" s="4">
        <f>IF(L1630&lt;&gt;"",SQRT(3)*G1630*L1630/1000,"")</f>
        <v/>
      </c>
      <c r="AA1630" t="inlineStr">
        <is>
          <t>Source=Copeland 2D/3D/4D/4R/6D/8D/9R compressors (pdf) p83</t>
        </is>
      </c>
      <c r="AB1630" t="inlineStr">
        <is>
          <t>Copeland_RLA_230_460_3ph_60Hz.xlsx</t>
        </is>
      </c>
      <c r="AC1630" t="inlineStr">
        <is>
          <t>Recip_2D-9R</t>
        </is>
      </c>
    </row>
    <row r="1631">
      <c r="A1631" t="inlineStr">
        <is>
          <t>COPELAND</t>
        </is>
      </c>
      <c r="B1631" t="inlineStr">
        <is>
          <t>6DNG-350E-FSD</t>
        </is>
      </c>
      <c r="D1631" t="inlineStr">
        <is>
          <t>Reciprocating Semi-hermetic</t>
        </is>
      </c>
      <c r="E1631" s="2" t="n">
        <v>3</v>
      </c>
      <c r="F1631" s="2" t="n">
        <v>60</v>
      </c>
      <c r="G1631" s="2" t="n">
        <v>460</v>
      </c>
      <c r="H1631" t="inlineStr">
        <is>
          <t>460</t>
        </is>
      </c>
      <c r="I1631" s="2" t="n">
        <v>460</v>
      </c>
      <c r="J1631" s="2" t="n">
        <v>460</v>
      </c>
      <c r="L1631" s="3" t="n"/>
      <c r="M1631" s="3" t="n"/>
      <c r="N1631" s="3" t="n">
        <v>66</v>
      </c>
      <c r="O1631" s="3" t="n"/>
      <c r="P1631" s="3">
        <f>IF(L1631&lt;&gt;"",L1631/1.4,"")</f>
        <v/>
      </c>
      <c r="Q1631" s="3">
        <f>IF(L1631&lt;&gt;"",L1631/1.56,"")</f>
        <v/>
      </c>
      <c r="R1631" s="3">
        <f>IF(M1631&lt;&gt;"",M1631/1.4,"")</f>
        <v/>
      </c>
      <c r="S1631" s="3">
        <f>IF(M1631&lt;&gt;"",M1631/1.56,"")</f>
        <v/>
      </c>
      <c r="T1631" s="3">
        <f>IF(N1631&lt;&gt;"",N1631,IF(O1631&lt;&gt;"",O1631,IF(L1631&lt;&gt;"",L1631/1.56,IF(M1631&lt;&gt;"",M1631/1.56,""))))</f>
        <v/>
      </c>
      <c r="U1631" s="3" t="n">
        <v>315</v>
      </c>
      <c r="V1631" s="3" t="n">
        <v>195</v>
      </c>
      <c r="W1631" s="3" t="n"/>
      <c r="X1631" s="4" t="n"/>
      <c r="Y1631" s="5" t="n">
        <v>0.32</v>
      </c>
      <c r="Z1631" s="4">
        <f>IF(L1631&lt;&gt;"",SQRT(3)*G1631*L1631/1000,"")</f>
        <v/>
      </c>
      <c r="AA1631" t="inlineStr">
        <is>
          <t>Source=Copeland 2D/3D/4D/4R/6D/8D/9R compressors (pdf) p83; PWS_RLA=33.0</t>
        </is>
      </c>
      <c r="AB1631" t="inlineStr">
        <is>
          <t>Copeland_RLA_230_460_3ph_60Hz.xlsx</t>
        </is>
      </c>
      <c r="AC1631" t="inlineStr">
        <is>
          <t>Recip_2D-9R</t>
        </is>
      </c>
    </row>
    <row r="1632">
      <c r="A1632" t="inlineStr">
        <is>
          <t>COPELAND</t>
        </is>
      </c>
      <c r="B1632" t="inlineStr">
        <is>
          <t>6DNG-350L-FSD</t>
        </is>
      </c>
      <c r="D1632" t="inlineStr">
        <is>
          <t>Reciprocating Semi-hermetic</t>
        </is>
      </c>
      <c r="E1632" s="2" t="n">
        <v>3</v>
      </c>
      <c r="F1632" s="2" t="n">
        <v>60</v>
      </c>
      <c r="G1632" s="2" t="n">
        <v>460</v>
      </c>
      <c r="H1632" t="inlineStr">
        <is>
          <t>460</t>
        </is>
      </c>
      <c r="I1632" s="2" t="n">
        <v>460</v>
      </c>
      <c r="J1632" s="2" t="n">
        <v>460</v>
      </c>
      <c r="L1632" s="3" t="n"/>
      <c r="M1632" s="3" t="n"/>
      <c r="N1632" s="3" t="n">
        <v>66</v>
      </c>
      <c r="O1632" s="3" t="n"/>
      <c r="P1632" s="3">
        <f>IF(L1632&lt;&gt;"",L1632/1.4,"")</f>
        <v/>
      </c>
      <c r="Q1632" s="3">
        <f>IF(L1632&lt;&gt;"",L1632/1.56,"")</f>
        <v/>
      </c>
      <c r="R1632" s="3">
        <f>IF(M1632&lt;&gt;"",M1632/1.4,"")</f>
        <v/>
      </c>
      <c r="S1632" s="3">
        <f>IF(M1632&lt;&gt;"",M1632/1.56,"")</f>
        <v/>
      </c>
      <c r="T1632" s="3">
        <f>IF(N1632&lt;&gt;"",N1632,IF(O1632&lt;&gt;"",O1632,IF(L1632&lt;&gt;"",L1632/1.56,IF(M1632&lt;&gt;"",M1632/1.56,""))))</f>
        <v/>
      </c>
      <c r="U1632" s="3" t="n">
        <v>315</v>
      </c>
      <c r="V1632" s="3" t="n">
        <v>195</v>
      </c>
      <c r="W1632" s="3" t="n"/>
      <c r="X1632" s="4" t="n"/>
      <c r="Y1632" s="5" t="n">
        <v>0.32</v>
      </c>
      <c r="Z1632" s="4">
        <f>IF(L1632&lt;&gt;"",SQRT(3)*G1632*L1632/1000,"")</f>
        <v/>
      </c>
      <c r="AA1632" t="inlineStr">
        <is>
          <t>Source=Copeland 2D/3D/4D/4R/6D/8D/9R compressors (pdf) p83; PWS_RLA=33.0</t>
        </is>
      </c>
      <c r="AB1632" t="inlineStr">
        <is>
          <t>Copeland_RLA_230_460_3ph_60Hz.xlsx</t>
        </is>
      </c>
      <c r="AC1632" t="inlineStr">
        <is>
          <t>Recip_2D-9R</t>
        </is>
      </c>
    </row>
    <row r="1633">
      <c r="A1633" t="inlineStr">
        <is>
          <t>COPELAND</t>
        </is>
      </c>
      <c r="B1633" t="inlineStr">
        <is>
          <t>6DP1-2000-TSK</t>
        </is>
      </c>
      <c r="D1633" t="inlineStr">
        <is>
          <t>Reciprocating Semi-hermetic</t>
        </is>
      </c>
      <c r="E1633" s="2" t="n">
        <v>3</v>
      </c>
      <c r="F1633" s="2" t="n">
        <v>60</v>
      </c>
      <c r="G1633" s="2" t="n">
        <v>230</v>
      </c>
      <c r="H1633" t="inlineStr">
        <is>
          <t>208/230</t>
        </is>
      </c>
      <c r="I1633" s="2" t="n">
        <v>208</v>
      </c>
      <c r="J1633" s="2" t="n">
        <v>230</v>
      </c>
      <c r="L1633" s="3" t="n"/>
      <c r="M1633" s="3" t="n"/>
      <c r="N1633" s="3" t="n">
        <v>75</v>
      </c>
      <c r="O1633" s="3" t="n"/>
      <c r="P1633" s="3">
        <f>IF(L1633&lt;&gt;"",L1633/1.4,"")</f>
        <v/>
      </c>
      <c r="Q1633" s="3">
        <f>IF(L1633&lt;&gt;"",L1633/1.56,"")</f>
        <v/>
      </c>
      <c r="R1633" s="3">
        <f>IF(M1633&lt;&gt;"",M1633/1.4,"")</f>
        <v/>
      </c>
      <c r="S1633" s="3">
        <f>IF(M1633&lt;&gt;"",M1633/1.56,"")</f>
        <v/>
      </c>
      <c r="T1633" s="3">
        <f>IF(N1633&lt;&gt;"",N1633,IF(O1633&lt;&gt;"",O1633,IF(L1633&lt;&gt;"",L1633/1.56,IF(M1633&lt;&gt;"",M1633/1.56,""))))</f>
        <v/>
      </c>
      <c r="U1633" s="3" t="n">
        <v>346</v>
      </c>
      <c r="V1633" s="3" t="n">
        <v>208</v>
      </c>
      <c r="W1633" s="3" t="n"/>
      <c r="X1633" s="4" t="n"/>
      <c r="Y1633" s="5" t="n">
        <v>0.142</v>
      </c>
      <c r="Z1633" s="4">
        <f>IF(L1633&lt;&gt;"",SQRT(3)*G1633*L1633/1000,"")</f>
        <v/>
      </c>
      <c r="AA1633" t="inlineStr">
        <is>
          <t>Source=Copeland 2D/3D/4D/4R/6D/8D/9R compressors (pdf) p83; PWS_RLA=37.5</t>
        </is>
      </c>
      <c r="AB1633" t="inlineStr">
        <is>
          <t>Copeland_RLA_230_460_3ph_60Hz.xlsx</t>
        </is>
      </c>
      <c r="AC1633" t="inlineStr">
        <is>
          <t>Recip_2D-9R</t>
        </is>
      </c>
    </row>
    <row r="1634">
      <c r="A1634" t="inlineStr">
        <is>
          <t>COPELAND</t>
        </is>
      </c>
      <c r="B1634" t="inlineStr">
        <is>
          <t>6DP1-2000-TSK</t>
        </is>
      </c>
      <c r="D1634" t="inlineStr">
        <is>
          <t>Reciprocating Semi-hermetic</t>
        </is>
      </c>
      <c r="E1634" s="2" t="n">
        <v>3</v>
      </c>
      <c r="F1634" s="2" t="n">
        <v>60</v>
      </c>
      <c r="G1634" s="2" t="n">
        <v>460</v>
      </c>
      <c r="H1634" t="inlineStr">
        <is>
          <t>460</t>
        </is>
      </c>
      <c r="I1634" s="2" t="n">
        <v>460</v>
      </c>
      <c r="J1634" s="2" t="n">
        <v>460</v>
      </c>
      <c r="L1634" s="3" t="n"/>
      <c r="M1634" s="3" t="n"/>
      <c r="N1634" s="3" t="n">
        <v>37.5</v>
      </c>
      <c r="O1634" s="3" t="n"/>
      <c r="P1634" s="3">
        <f>IF(L1634&lt;&gt;"",L1634/1.4,"")</f>
        <v/>
      </c>
      <c r="Q1634" s="3">
        <f>IF(L1634&lt;&gt;"",L1634/1.56,"")</f>
        <v/>
      </c>
      <c r="R1634" s="3">
        <f>IF(M1634&lt;&gt;"",M1634/1.4,"")</f>
        <v/>
      </c>
      <c r="S1634" s="3">
        <f>IF(M1634&lt;&gt;"",M1634/1.56,"")</f>
        <v/>
      </c>
      <c r="T1634" s="3">
        <f>IF(N1634&lt;&gt;"",N1634,IF(O1634&lt;&gt;"",O1634,IF(L1634&lt;&gt;"",L1634/1.56,IF(M1634&lt;&gt;"",M1634/1.56,""))))</f>
        <v/>
      </c>
      <c r="U1634" s="3" t="n">
        <v>173</v>
      </c>
      <c r="V1634" s="3" t="n"/>
      <c r="W1634" s="3" t="n"/>
      <c r="X1634" s="4" t="n"/>
      <c r="Y1634" s="5" t="n">
        <v>0.5679999999999999</v>
      </c>
      <c r="Z1634" s="4">
        <f>IF(L1634&lt;&gt;"",SQRT(3)*G1634*L1634/1000,"")</f>
        <v/>
      </c>
      <c r="AA1634" t="inlineStr">
        <is>
          <t>Source=Copeland 2D/3D/4D/4R/6D/8D/9R compressors (pdf) p83</t>
        </is>
      </c>
      <c r="AB1634" t="inlineStr">
        <is>
          <t>Copeland_RLA_230_460_3ph_60Hz.xlsx</t>
        </is>
      </c>
      <c r="AC1634" t="inlineStr">
        <is>
          <t>Recip_2D-9R</t>
        </is>
      </c>
    </row>
    <row r="1635">
      <c r="A1635" t="inlineStr">
        <is>
          <t>COPELAND</t>
        </is>
      </c>
      <c r="B1635" t="inlineStr">
        <is>
          <t>6DP1-3500-FSD</t>
        </is>
      </c>
      <c r="D1635" t="inlineStr">
        <is>
          <t>Reciprocating Semi-hermetic</t>
        </is>
      </c>
      <c r="E1635" s="2" t="n">
        <v>3</v>
      </c>
      <c r="F1635" s="2" t="n">
        <v>60</v>
      </c>
      <c r="G1635" s="2" t="n">
        <v>460</v>
      </c>
      <c r="H1635" t="inlineStr">
        <is>
          <t>460</t>
        </is>
      </c>
      <c r="I1635" s="2" t="n">
        <v>460</v>
      </c>
      <c r="J1635" s="2" t="n">
        <v>460</v>
      </c>
      <c r="L1635" s="3" t="n"/>
      <c r="M1635" s="3" t="n"/>
      <c r="N1635" s="3" t="n">
        <v>67.5</v>
      </c>
      <c r="O1635" s="3" t="n"/>
      <c r="P1635" s="3">
        <f>IF(L1635&lt;&gt;"",L1635/1.4,"")</f>
        <v/>
      </c>
      <c r="Q1635" s="3">
        <f>IF(L1635&lt;&gt;"",L1635/1.56,"")</f>
        <v/>
      </c>
      <c r="R1635" s="3">
        <f>IF(M1635&lt;&gt;"",M1635/1.4,"")</f>
        <v/>
      </c>
      <c r="S1635" s="3">
        <f>IF(M1635&lt;&gt;"",M1635/1.56,"")</f>
        <v/>
      </c>
      <c r="T1635" s="3">
        <f>IF(N1635&lt;&gt;"",N1635,IF(O1635&lt;&gt;"",O1635,IF(L1635&lt;&gt;"",L1635/1.56,IF(M1635&lt;&gt;"",M1635/1.56,""))))</f>
        <v/>
      </c>
      <c r="U1635" s="3" t="n">
        <v>260</v>
      </c>
      <c r="V1635" s="3" t="n">
        <v>156</v>
      </c>
      <c r="W1635" s="3" t="n"/>
      <c r="X1635" s="4" t="n"/>
      <c r="Y1635" s="5" t="n">
        <v>0.4</v>
      </c>
      <c r="Z1635" s="4">
        <f>IF(L1635&lt;&gt;"",SQRT(3)*G1635*L1635/1000,"")</f>
        <v/>
      </c>
      <c r="AA1635" t="inlineStr">
        <is>
          <t>Source=Copeland 2D/3D/4D/4R/6D/8D/9R compressors (pdf) p83; PWS_RLA=33.8</t>
        </is>
      </c>
      <c r="AB1635" t="inlineStr">
        <is>
          <t>Copeland_RLA_230_460_3ph_60Hz.xlsx</t>
        </is>
      </c>
      <c r="AC1635" t="inlineStr">
        <is>
          <t>Recip_2D-9R</t>
        </is>
      </c>
    </row>
    <row r="1636">
      <c r="A1636" t="inlineStr">
        <is>
          <t>COPELAND</t>
        </is>
      </c>
      <c r="B1636" t="inlineStr">
        <is>
          <t>6DP1-3500-FXD</t>
        </is>
      </c>
      <c r="D1636" t="inlineStr">
        <is>
          <t>Reciprocating Semi-hermetic</t>
        </is>
      </c>
      <c r="E1636" s="2" t="n">
        <v>3</v>
      </c>
      <c r="F1636" s="2" t="n">
        <v>60</v>
      </c>
      <c r="G1636" s="2" t="n">
        <v>460</v>
      </c>
      <c r="H1636" t="inlineStr">
        <is>
          <t>460</t>
        </is>
      </c>
      <c r="I1636" s="2" t="n">
        <v>460</v>
      </c>
      <c r="J1636" s="2" t="n">
        <v>460</v>
      </c>
      <c r="L1636" s="3" t="n"/>
      <c r="M1636" s="3" t="n"/>
      <c r="N1636" s="3" t="n"/>
      <c r="O1636" s="3" t="n"/>
      <c r="P1636" s="3">
        <f>IF(L1636&lt;&gt;"",L1636/1.4,"")</f>
        <v/>
      </c>
      <c r="Q1636" s="3">
        <f>IF(L1636&lt;&gt;"",L1636/1.56,"")</f>
        <v/>
      </c>
      <c r="R1636" s="3">
        <f>IF(M1636&lt;&gt;"",M1636/1.4,"")</f>
        <v/>
      </c>
      <c r="S1636" s="3">
        <f>IF(M1636&lt;&gt;"",M1636/1.56,"")</f>
        <v/>
      </c>
      <c r="T1636" s="3">
        <f>IF(N1636&lt;&gt;"",N1636,IF(O1636&lt;&gt;"",O1636,IF(L1636&lt;&gt;"",L1636/1.56,IF(M1636&lt;&gt;"",M1636/1.56,""))))</f>
        <v/>
      </c>
      <c r="U1636" s="3" t="n">
        <v>260</v>
      </c>
      <c r="V1636" s="3" t="n">
        <v>156</v>
      </c>
      <c r="W1636" s="3" t="n"/>
      <c r="X1636" s="4" t="n"/>
      <c r="Y1636" s="5" t="n">
        <v>0.4</v>
      </c>
      <c r="Z1636" s="4">
        <f>IF(L1636&lt;&gt;"",SQRT(3)*G1636*L1636/1000,"")</f>
        <v/>
      </c>
      <c r="AA1636" t="inlineStr">
        <is>
          <t>Source=Copeland 2D/3D/4D/4R/6D/8D/9R compressors (pdf) p83</t>
        </is>
      </c>
      <c r="AB1636" t="inlineStr">
        <is>
          <t>Copeland_RLA_230_460_3ph_60Hz.xlsx</t>
        </is>
      </c>
      <c r="AC1636" t="inlineStr">
        <is>
          <t>Recip_2D-9R</t>
        </is>
      </c>
    </row>
    <row r="1637">
      <c r="A1637" t="inlineStr">
        <is>
          <t>COPELAND</t>
        </is>
      </c>
      <c r="B1637" t="inlineStr">
        <is>
          <t>6DP1-3500-TSK</t>
        </is>
      </c>
      <c r="D1637" t="inlineStr">
        <is>
          <t>Reciprocating Semi-hermetic</t>
        </is>
      </c>
      <c r="E1637" s="2" t="n">
        <v>3</v>
      </c>
      <c r="F1637" s="2" t="n">
        <v>60</v>
      </c>
      <c r="G1637" s="2" t="n">
        <v>230</v>
      </c>
      <c r="H1637" t="inlineStr">
        <is>
          <t>208/230</t>
        </is>
      </c>
      <c r="I1637" s="2" t="n">
        <v>208</v>
      </c>
      <c r="J1637" s="2" t="n">
        <v>230</v>
      </c>
      <c r="L1637" s="3" t="n"/>
      <c r="M1637" s="3" t="n"/>
      <c r="N1637" s="3" t="n">
        <v>125</v>
      </c>
      <c r="O1637" s="3" t="n"/>
      <c r="P1637" s="3">
        <f>IF(L1637&lt;&gt;"",L1637/1.4,"")</f>
        <v/>
      </c>
      <c r="Q1637" s="3">
        <f>IF(L1637&lt;&gt;"",L1637/1.56,"")</f>
        <v/>
      </c>
      <c r="R1637" s="3">
        <f>IF(M1637&lt;&gt;"",M1637/1.4,"")</f>
        <v/>
      </c>
      <c r="S1637" s="3">
        <f>IF(M1637&lt;&gt;"",M1637/1.56,"")</f>
        <v/>
      </c>
      <c r="T1637" s="3">
        <f>IF(N1637&lt;&gt;"",N1637,IF(O1637&lt;&gt;"",O1637,IF(L1637&lt;&gt;"",L1637/1.56,IF(M1637&lt;&gt;"",M1637/1.56,""))))</f>
        <v/>
      </c>
      <c r="U1637" s="3" t="n">
        <v>565</v>
      </c>
      <c r="V1637" s="3" t="n">
        <v>340</v>
      </c>
      <c r="W1637" s="3" t="n"/>
      <c r="X1637" s="4" t="n"/>
      <c r="Y1637" s="5" t="n">
        <v>0.08799999999999999</v>
      </c>
      <c r="Z1637" s="4">
        <f>IF(L1637&lt;&gt;"",SQRT(3)*G1637*L1637/1000,"")</f>
        <v/>
      </c>
      <c r="AA1637" t="inlineStr">
        <is>
          <t>Source=Copeland 2D/3D/4D/4R/6D/8D/9R compressors (pdf) p83; PWS_RLA=62.5</t>
        </is>
      </c>
      <c r="AB1637" t="inlineStr">
        <is>
          <t>Copeland_RLA_230_460_3ph_60Hz.xlsx</t>
        </is>
      </c>
      <c r="AC1637" t="inlineStr">
        <is>
          <t>Recip_2D-9R</t>
        </is>
      </c>
    </row>
    <row r="1638">
      <c r="A1638" t="inlineStr">
        <is>
          <t>COPELAND</t>
        </is>
      </c>
      <c r="B1638" t="inlineStr">
        <is>
          <t>6DP1-3500-TSK</t>
        </is>
      </c>
      <c r="D1638" t="inlineStr">
        <is>
          <t>Reciprocating Semi-hermetic</t>
        </is>
      </c>
      <c r="E1638" s="2" t="n">
        <v>3</v>
      </c>
      <c r="F1638" s="2" t="n">
        <v>60</v>
      </c>
      <c r="G1638" s="2" t="n">
        <v>460</v>
      </c>
      <c r="H1638" t="inlineStr">
        <is>
          <t>460</t>
        </is>
      </c>
      <c r="I1638" s="2" t="n">
        <v>460</v>
      </c>
      <c r="J1638" s="2" t="n">
        <v>460</v>
      </c>
      <c r="L1638" s="3" t="n"/>
      <c r="M1638" s="3" t="n"/>
      <c r="N1638" s="3" t="n">
        <v>62.5</v>
      </c>
      <c r="O1638" s="3" t="n"/>
      <c r="P1638" s="3">
        <f>IF(L1638&lt;&gt;"",L1638/1.4,"")</f>
        <v/>
      </c>
      <c r="Q1638" s="3">
        <f>IF(L1638&lt;&gt;"",L1638/1.56,"")</f>
        <v/>
      </c>
      <c r="R1638" s="3">
        <f>IF(M1638&lt;&gt;"",M1638/1.4,"")</f>
        <v/>
      </c>
      <c r="S1638" s="3">
        <f>IF(M1638&lt;&gt;"",M1638/1.56,"")</f>
        <v/>
      </c>
      <c r="T1638" s="3">
        <f>IF(N1638&lt;&gt;"",N1638,IF(O1638&lt;&gt;"",O1638,IF(L1638&lt;&gt;"",L1638/1.56,IF(M1638&lt;&gt;"",M1638/1.56,""))))</f>
        <v/>
      </c>
      <c r="U1638" s="3" t="n">
        <v>283</v>
      </c>
      <c r="V1638" s="3" t="n"/>
      <c r="W1638" s="3" t="n"/>
      <c r="X1638" s="4" t="n"/>
      <c r="Y1638" s="5" t="n">
        <v>0.352</v>
      </c>
      <c r="Z1638" s="4">
        <f>IF(L1638&lt;&gt;"",SQRT(3)*G1638*L1638/1000,"")</f>
        <v/>
      </c>
      <c r="AA1638" t="inlineStr">
        <is>
          <t>Source=Copeland 2D/3D/4D/4R/6D/8D/9R compressors (pdf) p84</t>
        </is>
      </c>
      <c r="AB1638" t="inlineStr">
        <is>
          <t>Copeland_RLA_230_460_3ph_60Hz.xlsx</t>
        </is>
      </c>
      <c r="AC1638" t="inlineStr">
        <is>
          <t>Recip_2D-9R</t>
        </is>
      </c>
    </row>
    <row r="1639">
      <c r="A1639" t="inlineStr">
        <is>
          <t>COPELAND</t>
        </is>
      </c>
      <c r="B1639" t="inlineStr">
        <is>
          <t>6DP1-3500-TXK</t>
        </is>
      </c>
      <c r="D1639" t="inlineStr">
        <is>
          <t>Reciprocating Semi-hermetic</t>
        </is>
      </c>
      <c r="E1639" s="2" t="n">
        <v>3</v>
      </c>
      <c r="F1639" s="2" t="n">
        <v>60</v>
      </c>
      <c r="G1639" s="2" t="n">
        <v>230</v>
      </c>
      <c r="H1639" t="inlineStr">
        <is>
          <t>208/230</t>
        </is>
      </c>
      <c r="I1639" s="2" t="n">
        <v>208</v>
      </c>
      <c r="J1639" s="2" t="n">
        <v>230</v>
      </c>
      <c r="L1639" s="3" t="n"/>
      <c r="M1639" s="3" t="n"/>
      <c r="N1639" s="3" t="n"/>
      <c r="O1639" s="3" t="n"/>
      <c r="P1639" s="3">
        <f>IF(L1639&lt;&gt;"",L1639/1.4,"")</f>
        <v/>
      </c>
      <c r="Q1639" s="3">
        <f>IF(L1639&lt;&gt;"",L1639/1.56,"")</f>
        <v/>
      </c>
      <c r="R1639" s="3">
        <f>IF(M1639&lt;&gt;"",M1639/1.4,"")</f>
        <v/>
      </c>
      <c r="S1639" s="3">
        <f>IF(M1639&lt;&gt;"",M1639/1.56,"")</f>
        <v/>
      </c>
      <c r="T1639" s="3">
        <f>IF(N1639&lt;&gt;"",N1639,IF(O1639&lt;&gt;"",O1639,IF(L1639&lt;&gt;"",L1639/1.56,IF(M1639&lt;&gt;"",M1639/1.56,""))))</f>
        <v/>
      </c>
      <c r="U1639" s="3" t="n">
        <v>565</v>
      </c>
      <c r="V1639" s="3" t="n">
        <v>340</v>
      </c>
      <c r="W1639" s="3" t="n"/>
      <c r="X1639" s="4" t="n"/>
      <c r="Y1639" s="5" t="n">
        <v>0.08799999999999999</v>
      </c>
      <c r="Z1639" s="4">
        <f>IF(L1639&lt;&gt;"",SQRT(3)*G1639*L1639/1000,"")</f>
        <v/>
      </c>
      <c r="AA1639" t="inlineStr">
        <is>
          <t>Source=Copeland 2D/3D/4D/4R/6D/8D/9R compressors (pdf) p84</t>
        </is>
      </c>
      <c r="AB1639" t="inlineStr">
        <is>
          <t>Copeland_RLA_230_460_3ph_60Hz.xlsx</t>
        </is>
      </c>
      <c r="AC1639" t="inlineStr">
        <is>
          <t>Recip_2D-9R</t>
        </is>
      </c>
    </row>
    <row r="1640">
      <c r="A1640" t="inlineStr">
        <is>
          <t>COPELAND</t>
        </is>
      </c>
      <c r="B1640" t="inlineStr">
        <is>
          <t>6DP1-3500-TXK</t>
        </is>
      </c>
      <c r="D1640" t="inlineStr">
        <is>
          <t>Reciprocating Semi-hermetic</t>
        </is>
      </c>
      <c r="E1640" s="2" t="n">
        <v>3</v>
      </c>
      <c r="F1640" s="2" t="n">
        <v>60</v>
      </c>
      <c r="G1640" s="2" t="n">
        <v>460</v>
      </c>
      <c r="H1640" t="inlineStr">
        <is>
          <t>460</t>
        </is>
      </c>
      <c r="I1640" s="2" t="n">
        <v>460</v>
      </c>
      <c r="J1640" s="2" t="n">
        <v>460</v>
      </c>
      <c r="L1640" s="3" t="n"/>
      <c r="M1640" s="3" t="n"/>
      <c r="N1640" s="3" t="n"/>
      <c r="O1640" s="3" t="n"/>
      <c r="P1640" s="3">
        <f>IF(L1640&lt;&gt;"",L1640/1.4,"")</f>
        <v/>
      </c>
      <c r="Q1640" s="3">
        <f>IF(L1640&lt;&gt;"",L1640/1.56,"")</f>
        <v/>
      </c>
      <c r="R1640" s="3">
        <f>IF(M1640&lt;&gt;"",M1640/1.4,"")</f>
        <v/>
      </c>
      <c r="S1640" s="3">
        <f>IF(M1640&lt;&gt;"",M1640/1.56,"")</f>
        <v/>
      </c>
      <c r="T1640" s="3">
        <f>IF(N1640&lt;&gt;"",N1640,IF(O1640&lt;&gt;"",O1640,IF(L1640&lt;&gt;"",L1640/1.56,IF(M1640&lt;&gt;"",M1640/1.56,""))))</f>
        <v/>
      </c>
      <c r="U1640" s="3" t="n">
        <v>283</v>
      </c>
      <c r="V1640" s="3" t="n"/>
      <c r="W1640" s="3" t="n"/>
      <c r="X1640" s="4" t="n"/>
      <c r="Y1640" s="5" t="n">
        <v>0.352</v>
      </c>
      <c r="Z1640" s="4">
        <f>IF(L1640&lt;&gt;"",SQRT(3)*G1640*L1640/1000,"")</f>
        <v/>
      </c>
      <c r="AA1640" t="inlineStr">
        <is>
          <t>Source=Copeland 2D/3D/4D/4R/6D/8D/9R compressors (pdf) p84</t>
        </is>
      </c>
      <c r="AB1640" t="inlineStr">
        <is>
          <t>Copeland_RLA_230_460_3ph_60Hz.xlsx</t>
        </is>
      </c>
      <c r="AC1640" t="inlineStr">
        <is>
          <t>Recip_2D-9R</t>
        </is>
      </c>
    </row>
    <row r="1641">
      <c r="A1641" t="inlineStr">
        <is>
          <t>COPELAND</t>
        </is>
      </c>
      <c r="B1641" t="inlineStr">
        <is>
          <t>6DP1-350E-TSK</t>
        </is>
      </c>
      <c r="D1641" t="inlineStr">
        <is>
          <t>Reciprocating Semi-hermetic</t>
        </is>
      </c>
      <c r="E1641" s="2" t="n">
        <v>3</v>
      </c>
      <c r="F1641" s="2" t="n">
        <v>60</v>
      </c>
      <c r="G1641" s="2" t="n">
        <v>230</v>
      </c>
      <c r="H1641" t="inlineStr">
        <is>
          <t>208/230</t>
        </is>
      </c>
      <c r="I1641" s="2" t="n">
        <v>208</v>
      </c>
      <c r="J1641" s="2" t="n">
        <v>230</v>
      </c>
      <c r="L1641" s="3" t="n"/>
      <c r="M1641" s="3" t="n"/>
      <c r="N1641" s="3" t="n">
        <v>125</v>
      </c>
      <c r="O1641" s="3" t="n"/>
      <c r="P1641" s="3">
        <f>IF(L1641&lt;&gt;"",L1641/1.4,"")</f>
        <v/>
      </c>
      <c r="Q1641" s="3">
        <f>IF(L1641&lt;&gt;"",L1641/1.56,"")</f>
        <v/>
      </c>
      <c r="R1641" s="3">
        <f>IF(M1641&lt;&gt;"",M1641/1.4,"")</f>
        <v/>
      </c>
      <c r="S1641" s="3">
        <f>IF(M1641&lt;&gt;"",M1641/1.56,"")</f>
        <v/>
      </c>
      <c r="T1641" s="3">
        <f>IF(N1641&lt;&gt;"",N1641,IF(O1641&lt;&gt;"",O1641,IF(L1641&lt;&gt;"",L1641/1.56,IF(M1641&lt;&gt;"",M1641/1.56,""))))</f>
        <v/>
      </c>
      <c r="U1641" s="3" t="n">
        <v>565</v>
      </c>
      <c r="V1641" s="3" t="n">
        <v>340</v>
      </c>
      <c r="W1641" s="3" t="n"/>
      <c r="X1641" s="4" t="n"/>
      <c r="Y1641" s="5" t="n">
        <v>0.08799999999999999</v>
      </c>
      <c r="Z1641" s="4">
        <f>IF(L1641&lt;&gt;"",SQRT(3)*G1641*L1641/1000,"")</f>
        <v/>
      </c>
      <c r="AA1641" t="inlineStr">
        <is>
          <t>Source=Copeland 2D/3D/4D/4R/6D/8D/9R compressors (pdf) p84; PWS_RLA=62.5</t>
        </is>
      </c>
      <c r="AB1641" t="inlineStr">
        <is>
          <t>Copeland_RLA_230_460_3ph_60Hz.xlsx</t>
        </is>
      </c>
      <c r="AC1641" t="inlineStr">
        <is>
          <t>Recip_2D-9R</t>
        </is>
      </c>
    </row>
    <row r="1642">
      <c r="A1642" t="inlineStr">
        <is>
          <t>COPELAND</t>
        </is>
      </c>
      <c r="B1642" t="inlineStr">
        <is>
          <t>6DP1-350E-TSK</t>
        </is>
      </c>
      <c r="D1642" t="inlineStr">
        <is>
          <t>Reciprocating Semi-hermetic</t>
        </is>
      </c>
      <c r="E1642" s="2" t="n">
        <v>3</v>
      </c>
      <c r="F1642" s="2" t="n">
        <v>60</v>
      </c>
      <c r="G1642" s="2" t="n">
        <v>460</v>
      </c>
      <c r="H1642" t="inlineStr">
        <is>
          <t>460</t>
        </is>
      </c>
      <c r="I1642" s="2" t="n">
        <v>460</v>
      </c>
      <c r="J1642" s="2" t="n">
        <v>460</v>
      </c>
      <c r="L1642" s="3" t="n"/>
      <c r="M1642" s="3" t="n"/>
      <c r="N1642" s="3" t="n">
        <v>62.5</v>
      </c>
      <c r="O1642" s="3" t="n"/>
      <c r="P1642" s="3">
        <f>IF(L1642&lt;&gt;"",L1642/1.4,"")</f>
        <v/>
      </c>
      <c r="Q1642" s="3">
        <f>IF(L1642&lt;&gt;"",L1642/1.56,"")</f>
        <v/>
      </c>
      <c r="R1642" s="3">
        <f>IF(M1642&lt;&gt;"",M1642/1.4,"")</f>
        <v/>
      </c>
      <c r="S1642" s="3">
        <f>IF(M1642&lt;&gt;"",M1642/1.56,"")</f>
        <v/>
      </c>
      <c r="T1642" s="3">
        <f>IF(N1642&lt;&gt;"",N1642,IF(O1642&lt;&gt;"",O1642,IF(L1642&lt;&gt;"",L1642/1.56,IF(M1642&lt;&gt;"",M1642/1.56,""))))</f>
        <v/>
      </c>
      <c r="U1642" s="3" t="n">
        <v>283</v>
      </c>
      <c r="V1642" s="3" t="n"/>
      <c r="W1642" s="3" t="n"/>
      <c r="X1642" s="4" t="n"/>
      <c r="Y1642" s="5" t="n">
        <v>0.352</v>
      </c>
      <c r="Z1642" s="4">
        <f>IF(L1642&lt;&gt;"",SQRT(3)*G1642*L1642/1000,"")</f>
        <v/>
      </c>
      <c r="AA1642" t="inlineStr">
        <is>
          <t>Source=Copeland 2D/3D/4D/4R/6D/8D/9R compressors (pdf) p84</t>
        </is>
      </c>
      <c r="AB1642" t="inlineStr">
        <is>
          <t>Copeland_RLA_230_460_3ph_60Hz.xlsx</t>
        </is>
      </c>
      <c r="AC1642" t="inlineStr">
        <is>
          <t>Recip_2D-9R</t>
        </is>
      </c>
    </row>
    <row r="1643">
      <c r="A1643" t="inlineStr">
        <is>
          <t>COPELAND</t>
        </is>
      </c>
      <c r="B1643" t="inlineStr">
        <is>
          <t>6DP1A2000-TSK</t>
        </is>
      </c>
      <c r="D1643" t="inlineStr">
        <is>
          <t>Reciprocating Semi-hermetic</t>
        </is>
      </c>
      <c r="E1643" s="2" t="n">
        <v>3</v>
      </c>
      <c r="F1643" s="2" t="n">
        <v>60</v>
      </c>
      <c r="G1643" s="2" t="n">
        <v>230</v>
      </c>
      <c r="H1643" t="inlineStr">
        <is>
          <t>208/230</t>
        </is>
      </c>
      <c r="I1643" s="2" t="n">
        <v>208</v>
      </c>
      <c r="J1643" s="2" t="n">
        <v>230</v>
      </c>
      <c r="L1643" s="3" t="n"/>
      <c r="M1643" s="3" t="n"/>
      <c r="N1643" s="3" t="n">
        <v>75</v>
      </c>
      <c r="O1643" s="3" t="n"/>
      <c r="P1643" s="3">
        <f>IF(L1643&lt;&gt;"",L1643/1.4,"")</f>
        <v/>
      </c>
      <c r="Q1643" s="3">
        <f>IF(L1643&lt;&gt;"",L1643/1.56,"")</f>
        <v/>
      </c>
      <c r="R1643" s="3">
        <f>IF(M1643&lt;&gt;"",M1643/1.4,"")</f>
        <v/>
      </c>
      <c r="S1643" s="3">
        <f>IF(M1643&lt;&gt;"",M1643/1.56,"")</f>
        <v/>
      </c>
      <c r="T1643" s="3">
        <f>IF(N1643&lt;&gt;"",N1643,IF(O1643&lt;&gt;"",O1643,IF(L1643&lt;&gt;"",L1643/1.56,IF(M1643&lt;&gt;"",M1643/1.56,""))))</f>
        <v/>
      </c>
      <c r="U1643" s="3" t="n">
        <v>346</v>
      </c>
      <c r="V1643" s="3" t="n">
        <v>208</v>
      </c>
      <c r="W1643" s="3" t="n"/>
      <c r="X1643" s="4" t="n"/>
      <c r="Y1643" s="5" t="n">
        <v>0.142</v>
      </c>
      <c r="Z1643" s="4">
        <f>IF(L1643&lt;&gt;"",SQRT(3)*G1643*L1643/1000,"")</f>
        <v/>
      </c>
      <c r="AA1643" t="inlineStr">
        <is>
          <t>Source=Copeland 2D/3D/4D/4R/6D/8D/9R compressors (pdf) p84; PWS_RLA=37.5</t>
        </is>
      </c>
      <c r="AB1643" t="inlineStr">
        <is>
          <t>Copeland_RLA_230_460_3ph_60Hz.xlsx</t>
        </is>
      </c>
      <c r="AC1643" t="inlineStr">
        <is>
          <t>Recip_2D-9R</t>
        </is>
      </c>
    </row>
    <row r="1644">
      <c r="A1644" t="inlineStr">
        <is>
          <t>COPELAND</t>
        </is>
      </c>
      <c r="B1644" t="inlineStr">
        <is>
          <t>6DP1A2000-TSK</t>
        </is>
      </c>
      <c r="D1644" t="inlineStr">
        <is>
          <t>Reciprocating Semi-hermetic</t>
        </is>
      </c>
      <c r="E1644" s="2" t="n">
        <v>3</v>
      </c>
      <c r="F1644" s="2" t="n">
        <v>60</v>
      </c>
      <c r="G1644" s="2" t="n">
        <v>460</v>
      </c>
      <c r="H1644" t="inlineStr">
        <is>
          <t>460</t>
        </is>
      </c>
      <c r="I1644" s="2" t="n">
        <v>460</v>
      </c>
      <c r="J1644" s="2" t="n">
        <v>460</v>
      </c>
      <c r="L1644" s="3" t="n"/>
      <c r="M1644" s="3" t="n"/>
      <c r="N1644" s="3" t="n">
        <v>37.5</v>
      </c>
      <c r="O1644" s="3" t="n"/>
      <c r="P1644" s="3">
        <f>IF(L1644&lt;&gt;"",L1644/1.4,"")</f>
        <v/>
      </c>
      <c r="Q1644" s="3">
        <f>IF(L1644&lt;&gt;"",L1644/1.56,"")</f>
        <v/>
      </c>
      <c r="R1644" s="3">
        <f>IF(M1644&lt;&gt;"",M1644/1.4,"")</f>
        <v/>
      </c>
      <c r="S1644" s="3">
        <f>IF(M1644&lt;&gt;"",M1644/1.56,"")</f>
        <v/>
      </c>
      <c r="T1644" s="3">
        <f>IF(N1644&lt;&gt;"",N1644,IF(O1644&lt;&gt;"",O1644,IF(L1644&lt;&gt;"",L1644/1.56,IF(M1644&lt;&gt;"",M1644/1.56,""))))</f>
        <v/>
      </c>
      <c r="U1644" s="3" t="n">
        <v>173</v>
      </c>
      <c r="V1644" s="3" t="n"/>
      <c r="W1644" s="3" t="n"/>
      <c r="X1644" s="4" t="n"/>
      <c r="Y1644" s="5" t="n">
        <v>0.5679999999999999</v>
      </c>
      <c r="Z1644" s="4">
        <f>IF(L1644&lt;&gt;"",SQRT(3)*G1644*L1644/1000,"")</f>
        <v/>
      </c>
      <c r="AA1644" t="inlineStr">
        <is>
          <t>Source=Copeland 2D/3D/4D/4R/6D/8D/9R compressors (pdf) p84</t>
        </is>
      </c>
      <c r="AB1644" t="inlineStr">
        <is>
          <t>Copeland_RLA_230_460_3ph_60Hz.xlsx</t>
        </is>
      </c>
      <c r="AC1644" t="inlineStr">
        <is>
          <t>Recip_2D-9R</t>
        </is>
      </c>
    </row>
    <row r="1645">
      <c r="A1645" t="inlineStr">
        <is>
          <t>COPELAND</t>
        </is>
      </c>
      <c r="B1645" t="inlineStr">
        <is>
          <t>6DP1A3500-FSD</t>
        </is>
      </c>
      <c r="D1645" t="inlineStr">
        <is>
          <t>Reciprocating Semi-hermetic</t>
        </is>
      </c>
      <c r="E1645" s="2" t="n">
        <v>3</v>
      </c>
      <c r="F1645" s="2" t="n">
        <v>60</v>
      </c>
      <c r="G1645" s="2" t="n">
        <v>460</v>
      </c>
      <c r="H1645" t="inlineStr">
        <is>
          <t>460</t>
        </is>
      </c>
      <c r="I1645" s="2" t="n">
        <v>460</v>
      </c>
      <c r="J1645" s="2" t="n">
        <v>460</v>
      </c>
      <c r="L1645" s="3" t="n"/>
      <c r="M1645" s="3" t="n"/>
      <c r="N1645" s="3" t="n">
        <v>67.5</v>
      </c>
      <c r="O1645" s="3" t="n"/>
      <c r="P1645" s="3">
        <f>IF(L1645&lt;&gt;"",L1645/1.4,"")</f>
        <v/>
      </c>
      <c r="Q1645" s="3">
        <f>IF(L1645&lt;&gt;"",L1645/1.56,"")</f>
        <v/>
      </c>
      <c r="R1645" s="3">
        <f>IF(M1645&lt;&gt;"",M1645/1.4,"")</f>
        <v/>
      </c>
      <c r="S1645" s="3">
        <f>IF(M1645&lt;&gt;"",M1645/1.56,"")</f>
        <v/>
      </c>
      <c r="T1645" s="3">
        <f>IF(N1645&lt;&gt;"",N1645,IF(O1645&lt;&gt;"",O1645,IF(L1645&lt;&gt;"",L1645/1.56,IF(M1645&lt;&gt;"",M1645/1.56,""))))</f>
        <v/>
      </c>
      <c r="U1645" s="3" t="n">
        <v>260</v>
      </c>
      <c r="V1645" s="3" t="n">
        <v>156</v>
      </c>
      <c r="W1645" s="3" t="n"/>
      <c r="X1645" s="4" t="n"/>
      <c r="Y1645" s="5" t="n">
        <v>0.4</v>
      </c>
      <c r="Z1645" s="4">
        <f>IF(L1645&lt;&gt;"",SQRT(3)*G1645*L1645/1000,"")</f>
        <v/>
      </c>
      <c r="AA1645" t="inlineStr">
        <is>
          <t>Source=Copeland 2D/3D/4D/4R/6D/8D/9R compressors (pdf) p84; PWS_RLA=33.8</t>
        </is>
      </c>
      <c r="AB1645" t="inlineStr">
        <is>
          <t>Copeland_RLA_230_460_3ph_60Hz.xlsx</t>
        </is>
      </c>
      <c r="AC1645" t="inlineStr">
        <is>
          <t>Recip_2D-9R</t>
        </is>
      </c>
    </row>
    <row r="1646">
      <c r="A1646" t="inlineStr">
        <is>
          <t>COPELAND</t>
        </is>
      </c>
      <c r="B1646" t="inlineStr">
        <is>
          <t>6DP1A3500-FXD</t>
        </is>
      </c>
      <c r="D1646" t="inlineStr">
        <is>
          <t>Reciprocating Semi-hermetic</t>
        </is>
      </c>
      <c r="E1646" s="2" t="n">
        <v>3</v>
      </c>
      <c r="F1646" s="2" t="n">
        <v>60</v>
      </c>
      <c r="G1646" s="2" t="n">
        <v>460</v>
      </c>
      <c r="H1646" t="inlineStr">
        <is>
          <t>460</t>
        </is>
      </c>
      <c r="I1646" s="2" t="n">
        <v>460</v>
      </c>
      <c r="J1646" s="2" t="n">
        <v>460</v>
      </c>
      <c r="L1646" s="3" t="n"/>
      <c r="M1646" s="3" t="n"/>
      <c r="N1646" s="3" t="n"/>
      <c r="O1646" s="3" t="n"/>
      <c r="P1646" s="3">
        <f>IF(L1646&lt;&gt;"",L1646/1.4,"")</f>
        <v/>
      </c>
      <c r="Q1646" s="3">
        <f>IF(L1646&lt;&gt;"",L1646/1.56,"")</f>
        <v/>
      </c>
      <c r="R1646" s="3">
        <f>IF(M1646&lt;&gt;"",M1646/1.4,"")</f>
        <v/>
      </c>
      <c r="S1646" s="3">
        <f>IF(M1646&lt;&gt;"",M1646/1.56,"")</f>
        <v/>
      </c>
      <c r="T1646" s="3">
        <f>IF(N1646&lt;&gt;"",N1646,IF(O1646&lt;&gt;"",O1646,IF(L1646&lt;&gt;"",L1646/1.56,IF(M1646&lt;&gt;"",M1646/1.56,""))))</f>
        <v/>
      </c>
      <c r="U1646" s="3" t="n">
        <v>260</v>
      </c>
      <c r="V1646" s="3" t="n">
        <v>156</v>
      </c>
      <c r="W1646" s="3" t="n"/>
      <c r="X1646" s="4" t="n"/>
      <c r="Y1646" s="5" t="n">
        <v>0.4</v>
      </c>
      <c r="Z1646" s="4">
        <f>IF(L1646&lt;&gt;"",SQRT(3)*G1646*L1646/1000,"")</f>
        <v/>
      </c>
      <c r="AA1646" t="inlineStr">
        <is>
          <t>Source=Copeland 2D/3D/4D/4R/6D/8D/9R compressors (pdf) p84</t>
        </is>
      </c>
      <c r="AB1646" t="inlineStr">
        <is>
          <t>Copeland_RLA_230_460_3ph_60Hz.xlsx</t>
        </is>
      </c>
      <c r="AC1646" t="inlineStr">
        <is>
          <t>Recip_2D-9R</t>
        </is>
      </c>
    </row>
    <row r="1647">
      <c r="A1647" t="inlineStr">
        <is>
          <t>COPELAND</t>
        </is>
      </c>
      <c r="B1647" t="inlineStr">
        <is>
          <t>6DP1A3500-TSK</t>
        </is>
      </c>
      <c r="D1647" t="inlineStr">
        <is>
          <t>Reciprocating Semi-hermetic</t>
        </is>
      </c>
      <c r="E1647" s="2" t="n">
        <v>3</v>
      </c>
      <c r="F1647" s="2" t="n">
        <v>60</v>
      </c>
      <c r="G1647" s="2" t="n">
        <v>230</v>
      </c>
      <c r="H1647" t="inlineStr">
        <is>
          <t>208/230</t>
        </is>
      </c>
      <c r="I1647" s="2" t="n">
        <v>208</v>
      </c>
      <c r="J1647" s="2" t="n">
        <v>230</v>
      </c>
      <c r="L1647" s="3" t="n"/>
      <c r="M1647" s="3" t="n"/>
      <c r="N1647" s="3" t="n">
        <v>125</v>
      </c>
      <c r="O1647" s="3" t="n"/>
      <c r="P1647" s="3">
        <f>IF(L1647&lt;&gt;"",L1647/1.4,"")</f>
        <v/>
      </c>
      <c r="Q1647" s="3">
        <f>IF(L1647&lt;&gt;"",L1647/1.56,"")</f>
        <v/>
      </c>
      <c r="R1647" s="3">
        <f>IF(M1647&lt;&gt;"",M1647/1.4,"")</f>
        <v/>
      </c>
      <c r="S1647" s="3">
        <f>IF(M1647&lt;&gt;"",M1647/1.56,"")</f>
        <v/>
      </c>
      <c r="T1647" s="3">
        <f>IF(N1647&lt;&gt;"",N1647,IF(O1647&lt;&gt;"",O1647,IF(L1647&lt;&gt;"",L1647/1.56,IF(M1647&lt;&gt;"",M1647/1.56,""))))</f>
        <v/>
      </c>
      <c r="U1647" s="3" t="n">
        <v>565</v>
      </c>
      <c r="V1647" s="3" t="n">
        <v>340</v>
      </c>
      <c r="W1647" s="3" t="n"/>
      <c r="X1647" s="4" t="n"/>
      <c r="Y1647" s="5" t="n">
        <v>0.08799999999999999</v>
      </c>
      <c r="Z1647" s="4">
        <f>IF(L1647&lt;&gt;"",SQRT(3)*G1647*L1647/1000,"")</f>
        <v/>
      </c>
      <c r="AA1647" t="inlineStr">
        <is>
          <t>Source=Copeland 2D/3D/4D/4R/6D/8D/9R compressors (pdf) p84; PWS_RLA=62.5</t>
        </is>
      </c>
      <c r="AB1647" t="inlineStr">
        <is>
          <t>Copeland_RLA_230_460_3ph_60Hz.xlsx</t>
        </is>
      </c>
      <c r="AC1647" t="inlineStr">
        <is>
          <t>Recip_2D-9R</t>
        </is>
      </c>
    </row>
    <row r="1648">
      <c r="A1648" t="inlineStr">
        <is>
          <t>COPELAND</t>
        </is>
      </c>
      <c r="B1648" t="inlineStr">
        <is>
          <t>6DP1A3500-TSK</t>
        </is>
      </c>
      <c r="D1648" t="inlineStr">
        <is>
          <t>Reciprocating Semi-hermetic</t>
        </is>
      </c>
      <c r="E1648" s="2" t="n">
        <v>3</v>
      </c>
      <c r="F1648" s="2" t="n">
        <v>60</v>
      </c>
      <c r="G1648" s="2" t="n">
        <v>460</v>
      </c>
      <c r="H1648" t="inlineStr">
        <is>
          <t>460</t>
        </is>
      </c>
      <c r="I1648" s="2" t="n">
        <v>460</v>
      </c>
      <c r="J1648" s="2" t="n">
        <v>460</v>
      </c>
      <c r="L1648" s="3" t="n"/>
      <c r="M1648" s="3" t="n"/>
      <c r="N1648" s="3" t="n">
        <v>62.5</v>
      </c>
      <c r="O1648" s="3" t="n"/>
      <c r="P1648" s="3">
        <f>IF(L1648&lt;&gt;"",L1648/1.4,"")</f>
        <v/>
      </c>
      <c r="Q1648" s="3">
        <f>IF(L1648&lt;&gt;"",L1648/1.56,"")</f>
        <v/>
      </c>
      <c r="R1648" s="3">
        <f>IF(M1648&lt;&gt;"",M1648/1.4,"")</f>
        <v/>
      </c>
      <c r="S1648" s="3">
        <f>IF(M1648&lt;&gt;"",M1648/1.56,"")</f>
        <v/>
      </c>
      <c r="T1648" s="3">
        <f>IF(N1648&lt;&gt;"",N1648,IF(O1648&lt;&gt;"",O1648,IF(L1648&lt;&gt;"",L1648/1.56,IF(M1648&lt;&gt;"",M1648/1.56,""))))</f>
        <v/>
      </c>
      <c r="U1648" s="3" t="n">
        <v>283</v>
      </c>
      <c r="V1648" s="3" t="n"/>
      <c r="W1648" s="3" t="n"/>
      <c r="X1648" s="4" t="n"/>
      <c r="Y1648" s="5" t="n">
        <v>0.352</v>
      </c>
      <c r="Z1648" s="4">
        <f>IF(L1648&lt;&gt;"",SQRT(3)*G1648*L1648/1000,"")</f>
        <v/>
      </c>
      <c r="AA1648" t="inlineStr">
        <is>
          <t>Source=Copeland 2D/3D/4D/4R/6D/8D/9R compressors (pdf) p84</t>
        </is>
      </c>
      <c r="AB1648" t="inlineStr">
        <is>
          <t>Copeland_RLA_230_460_3ph_60Hz.xlsx</t>
        </is>
      </c>
      <c r="AC1648" t="inlineStr">
        <is>
          <t>Recip_2D-9R</t>
        </is>
      </c>
    </row>
    <row r="1649">
      <c r="A1649" t="inlineStr">
        <is>
          <t>COPELAND</t>
        </is>
      </c>
      <c r="B1649" t="inlineStr">
        <is>
          <t>6DP1A3500-TXK</t>
        </is>
      </c>
      <c r="D1649" t="inlineStr">
        <is>
          <t>Reciprocating Semi-hermetic</t>
        </is>
      </c>
      <c r="E1649" s="2" t="n">
        <v>3</v>
      </c>
      <c r="F1649" s="2" t="n">
        <v>60</v>
      </c>
      <c r="G1649" s="2" t="n">
        <v>230</v>
      </c>
      <c r="H1649" t="inlineStr">
        <is>
          <t>208/230</t>
        </is>
      </c>
      <c r="I1649" s="2" t="n">
        <v>208</v>
      </c>
      <c r="J1649" s="2" t="n">
        <v>230</v>
      </c>
      <c r="L1649" s="3" t="n"/>
      <c r="M1649" s="3" t="n"/>
      <c r="N1649" s="3" t="n"/>
      <c r="O1649" s="3" t="n"/>
      <c r="P1649" s="3">
        <f>IF(L1649&lt;&gt;"",L1649/1.4,"")</f>
        <v/>
      </c>
      <c r="Q1649" s="3">
        <f>IF(L1649&lt;&gt;"",L1649/1.56,"")</f>
        <v/>
      </c>
      <c r="R1649" s="3">
        <f>IF(M1649&lt;&gt;"",M1649/1.4,"")</f>
        <v/>
      </c>
      <c r="S1649" s="3">
        <f>IF(M1649&lt;&gt;"",M1649/1.56,"")</f>
        <v/>
      </c>
      <c r="T1649" s="3">
        <f>IF(N1649&lt;&gt;"",N1649,IF(O1649&lt;&gt;"",O1649,IF(L1649&lt;&gt;"",L1649/1.56,IF(M1649&lt;&gt;"",M1649/1.56,""))))</f>
        <v/>
      </c>
      <c r="U1649" s="3" t="n">
        <v>565</v>
      </c>
      <c r="V1649" s="3" t="n">
        <v>340</v>
      </c>
      <c r="W1649" s="3" t="n"/>
      <c r="X1649" s="4" t="n"/>
      <c r="Y1649" s="5" t="n">
        <v>0.08799999999999999</v>
      </c>
      <c r="Z1649" s="4">
        <f>IF(L1649&lt;&gt;"",SQRT(3)*G1649*L1649/1000,"")</f>
        <v/>
      </c>
      <c r="AA1649" t="inlineStr">
        <is>
          <t>Source=Copeland 2D/3D/4D/4R/6D/8D/9R compressors (pdf) p84</t>
        </is>
      </c>
      <c r="AB1649" t="inlineStr">
        <is>
          <t>Copeland_RLA_230_460_3ph_60Hz.xlsx</t>
        </is>
      </c>
      <c r="AC1649" t="inlineStr">
        <is>
          <t>Recip_2D-9R</t>
        </is>
      </c>
    </row>
    <row r="1650">
      <c r="A1650" t="inlineStr">
        <is>
          <t>COPELAND</t>
        </is>
      </c>
      <c r="B1650" t="inlineStr">
        <is>
          <t>6DP1A3500-TXK</t>
        </is>
      </c>
      <c r="D1650" t="inlineStr">
        <is>
          <t>Reciprocating Semi-hermetic</t>
        </is>
      </c>
      <c r="E1650" s="2" t="n">
        <v>3</v>
      </c>
      <c r="F1650" s="2" t="n">
        <v>60</v>
      </c>
      <c r="G1650" s="2" t="n">
        <v>460</v>
      </c>
      <c r="H1650" t="inlineStr">
        <is>
          <t>460</t>
        </is>
      </c>
      <c r="I1650" s="2" t="n">
        <v>460</v>
      </c>
      <c r="J1650" s="2" t="n">
        <v>460</v>
      </c>
      <c r="L1650" s="3" t="n"/>
      <c r="M1650" s="3" t="n"/>
      <c r="N1650" s="3" t="n"/>
      <c r="O1650" s="3" t="n"/>
      <c r="P1650" s="3">
        <f>IF(L1650&lt;&gt;"",L1650/1.4,"")</f>
        <v/>
      </c>
      <c r="Q1650" s="3">
        <f>IF(L1650&lt;&gt;"",L1650/1.56,"")</f>
        <v/>
      </c>
      <c r="R1650" s="3">
        <f>IF(M1650&lt;&gt;"",M1650/1.4,"")</f>
        <v/>
      </c>
      <c r="S1650" s="3">
        <f>IF(M1650&lt;&gt;"",M1650/1.56,"")</f>
        <v/>
      </c>
      <c r="T1650" s="3">
        <f>IF(N1650&lt;&gt;"",N1650,IF(O1650&lt;&gt;"",O1650,IF(L1650&lt;&gt;"",L1650/1.56,IF(M1650&lt;&gt;"",M1650/1.56,""))))</f>
        <v/>
      </c>
      <c r="U1650" s="3" t="n">
        <v>283</v>
      </c>
      <c r="V1650" s="3" t="n"/>
      <c r="W1650" s="3" t="n"/>
      <c r="X1650" s="4" t="n"/>
      <c r="Y1650" s="5" t="n">
        <v>0.352</v>
      </c>
      <c r="Z1650" s="4">
        <f>IF(L1650&lt;&gt;"",SQRT(3)*G1650*L1650/1000,"")</f>
        <v/>
      </c>
      <c r="AA1650" t="inlineStr">
        <is>
          <t>Source=Copeland 2D/3D/4D/4R/6D/8D/9R compressors (pdf) p84</t>
        </is>
      </c>
      <c r="AB1650" t="inlineStr">
        <is>
          <t>Copeland_RLA_230_460_3ph_60Hz.xlsx</t>
        </is>
      </c>
      <c r="AC1650" t="inlineStr">
        <is>
          <t>Recip_2D-9R</t>
        </is>
      </c>
    </row>
    <row r="1651">
      <c r="A1651" t="inlineStr">
        <is>
          <t>COPELAND</t>
        </is>
      </c>
      <c r="B1651" t="inlineStr">
        <is>
          <t>6DP1A350E-TSK</t>
        </is>
      </c>
      <c r="D1651" t="inlineStr">
        <is>
          <t>Reciprocating Semi-hermetic</t>
        </is>
      </c>
      <c r="E1651" s="2" t="n">
        <v>3</v>
      </c>
      <c r="F1651" s="2" t="n">
        <v>60</v>
      </c>
      <c r="G1651" s="2" t="n">
        <v>230</v>
      </c>
      <c r="H1651" t="inlineStr">
        <is>
          <t>208/230</t>
        </is>
      </c>
      <c r="I1651" s="2" t="n">
        <v>208</v>
      </c>
      <c r="J1651" s="2" t="n">
        <v>230</v>
      </c>
      <c r="L1651" s="3" t="n"/>
      <c r="M1651" s="3" t="n"/>
      <c r="N1651" s="3" t="n">
        <v>125</v>
      </c>
      <c r="O1651" s="3" t="n"/>
      <c r="P1651" s="3">
        <f>IF(L1651&lt;&gt;"",L1651/1.4,"")</f>
        <v/>
      </c>
      <c r="Q1651" s="3">
        <f>IF(L1651&lt;&gt;"",L1651/1.56,"")</f>
        <v/>
      </c>
      <c r="R1651" s="3">
        <f>IF(M1651&lt;&gt;"",M1651/1.4,"")</f>
        <v/>
      </c>
      <c r="S1651" s="3">
        <f>IF(M1651&lt;&gt;"",M1651/1.56,"")</f>
        <v/>
      </c>
      <c r="T1651" s="3">
        <f>IF(N1651&lt;&gt;"",N1651,IF(O1651&lt;&gt;"",O1651,IF(L1651&lt;&gt;"",L1651/1.56,IF(M1651&lt;&gt;"",M1651/1.56,""))))</f>
        <v/>
      </c>
      <c r="U1651" s="3" t="n">
        <v>565</v>
      </c>
      <c r="V1651" s="3" t="n">
        <v>340</v>
      </c>
      <c r="W1651" s="3" t="n"/>
      <c r="X1651" s="4" t="n"/>
      <c r="Y1651" s="5" t="n">
        <v>0.08799999999999999</v>
      </c>
      <c r="Z1651" s="4">
        <f>IF(L1651&lt;&gt;"",SQRT(3)*G1651*L1651/1000,"")</f>
        <v/>
      </c>
      <c r="AA1651" t="inlineStr">
        <is>
          <t>Source=Copeland 2D/3D/4D/4R/6D/8D/9R compressors (pdf) p84; PWS_RLA=62.5</t>
        </is>
      </c>
      <c r="AB1651" t="inlineStr">
        <is>
          <t>Copeland_RLA_230_460_3ph_60Hz.xlsx</t>
        </is>
      </c>
      <c r="AC1651" t="inlineStr">
        <is>
          <t>Recip_2D-9R</t>
        </is>
      </c>
    </row>
    <row r="1652">
      <c r="A1652" t="inlineStr">
        <is>
          <t>COPELAND</t>
        </is>
      </c>
      <c r="B1652" t="inlineStr">
        <is>
          <t>6DP1A350E-TSK</t>
        </is>
      </c>
      <c r="D1652" t="inlineStr">
        <is>
          <t>Reciprocating Semi-hermetic</t>
        </is>
      </c>
      <c r="E1652" s="2" t="n">
        <v>3</v>
      </c>
      <c r="F1652" s="2" t="n">
        <v>60</v>
      </c>
      <c r="G1652" s="2" t="n">
        <v>460</v>
      </c>
      <c r="H1652" t="inlineStr">
        <is>
          <t>460</t>
        </is>
      </c>
      <c r="I1652" s="2" t="n">
        <v>460</v>
      </c>
      <c r="J1652" s="2" t="n">
        <v>460</v>
      </c>
      <c r="L1652" s="3" t="n"/>
      <c r="M1652" s="3" t="n"/>
      <c r="N1652" s="3" t="n">
        <v>62.5</v>
      </c>
      <c r="O1652" s="3" t="n"/>
      <c r="P1652" s="3">
        <f>IF(L1652&lt;&gt;"",L1652/1.4,"")</f>
        <v/>
      </c>
      <c r="Q1652" s="3">
        <f>IF(L1652&lt;&gt;"",L1652/1.56,"")</f>
        <v/>
      </c>
      <c r="R1652" s="3">
        <f>IF(M1652&lt;&gt;"",M1652/1.4,"")</f>
        <v/>
      </c>
      <c r="S1652" s="3">
        <f>IF(M1652&lt;&gt;"",M1652/1.56,"")</f>
        <v/>
      </c>
      <c r="T1652" s="3">
        <f>IF(N1652&lt;&gt;"",N1652,IF(O1652&lt;&gt;"",O1652,IF(L1652&lt;&gt;"",L1652/1.56,IF(M1652&lt;&gt;"",M1652/1.56,""))))</f>
        <v/>
      </c>
      <c r="U1652" s="3" t="n">
        <v>283</v>
      </c>
      <c r="V1652" s="3" t="n"/>
      <c r="W1652" s="3" t="n"/>
      <c r="X1652" s="4" t="n"/>
      <c r="Y1652" s="5" t="n">
        <v>0.352</v>
      </c>
      <c r="Z1652" s="4">
        <f>IF(L1652&lt;&gt;"",SQRT(3)*G1652*L1652/1000,"")</f>
        <v/>
      </c>
      <c r="AA1652" t="inlineStr">
        <is>
          <t>Source=Copeland 2D/3D/4D/4R/6D/8D/9R compressors (pdf) p84</t>
        </is>
      </c>
      <c r="AB1652" t="inlineStr">
        <is>
          <t>Copeland_RLA_230_460_3ph_60Hz.xlsx</t>
        </is>
      </c>
      <c r="AC1652" t="inlineStr">
        <is>
          <t>Recip_2D-9R</t>
        </is>
      </c>
    </row>
    <row r="1653">
      <c r="A1653" t="inlineStr">
        <is>
          <t>COPELAND</t>
        </is>
      </c>
      <c r="B1653" t="inlineStr">
        <is>
          <t>6DP1R35M0-FSD</t>
        </is>
      </c>
      <c r="D1653" t="inlineStr">
        <is>
          <t>Reciprocating Semi-hermetic</t>
        </is>
      </c>
      <c r="E1653" s="2" t="n">
        <v>3</v>
      </c>
      <c r="F1653" s="2" t="n">
        <v>60</v>
      </c>
      <c r="G1653" s="2" t="n">
        <v>460</v>
      </c>
      <c r="H1653" t="inlineStr">
        <is>
          <t>460</t>
        </is>
      </c>
      <c r="I1653" s="2" t="n">
        <v>460</v>
      </c>
      <c r="J1653" s="2" t="n">
        <v>460</v>
      </c>
      <c r="L1653" s="3" t="n"/>
      <c r="M1653" s="3" t="n"/>
      <c r="N1653" s="3" t="n">
        <v>67.5</v>
      </c>
      <c r="O1653" s="3" t="n"/>
      <c r="P1653" s="3">
        <f>IF(L1653&lt;&gt;"",L1653/1.4,"")</f>
        <v/>
      </c>
      <c r="Q1653" s="3">
        <f>IF(L1653&lt;&gt;"",L1653/1.56,"")</f>
        <v/>
      </c>
      <c r="R1653" s="3">
        <f>IF(M1653&lt;&gt;"",M1653/1.4,"")</f>
        <v/>
      </c>
      <c r="S1653" s="3">
        <f>IF(M1653&lt;&gt;"",M1653/1.56,"")</f>
        <v/>
      </c>
      <c r="T1653" s="3">
        <f>IF(N1653&lt;&gt;"",N1653,IF(O1653&lt;&gt;"",O1653,IF(L1653&lt;&gt;"",L1653/1.56,IF(M1653&lt;&gt;"",M1653/1.56,""))))</f>
        <v/>
      </c>
      <c r="U1653" s="3" t="n">
        <v>260</v>
      </c>
      <c r="V1653" s="3" t="n">
        <v>156</v>
      </c>
      <c r="W1653" s="3" t="n"/>
      <c r="X1653" s="4" t="n"/>
      <c r="Y1653" s="5" t="n">
        <v>0.4</v>
      </c>
      <c r="Z1653" s="4">
        <f>IF(L1653&lt;&gt;"",SQRT(3)*G1653*L1653/1000,"")</f>
        <v/>
      </c>
      <c r="AA1653" t="inlineStr">
        <is>
          <t>Source=Copeland 2D/3D/4D/4R/6D/8D/9R compressors (pdf) p84; PWS_RLA=33.8</t>
        </is>
      </c>
      <c r="AB1653" t="inlineStr">
        <is>
          <t>Copeland_RLA_230_460_3ph_60Hz.xlsx</t>
        </is>
      </c>
      <c r="AC1653" t="inlineStr">
        <is>
          <t>Recip_2D-9R</t>
        </is>
      </c>
    </row>
    <row r="1654">
      <c r="A1654" t="inlineStr">
        <is>
          <t>COPELAND</t>
        </is>
      </c>
      <c r="B1654" t="inlineStr">
        <is>
          <t>6DP1R35M0-TSK</t>
        </is>
      </c>
      <c r="D1654" t="inlineStr">
        <is>
          <t>Reciprocating Semi-hermetic</t>
        </is>
      </c>
      <c r="E1654" s="2" t="n">
        <v>3</v>
      </c>
      <c r="F1654" s="2" t="n">
        <v>60</v>
      </c>
      <c r="G1654" s="2" t="n">
        <v>230</v>
      </c>
      <c r="H1654" t="inlineStr">
        <is>
          <t>208/230</t>
        </is>
      </c>
      <c r="I1654" s="2" t="n">
        <v>208</v>
      </c>
      <c r="J1654" s="2" t="n">
        <v>230</v>
      </c>
      <c r="L1654" s="3" t="n"/>
      <c r="M1654" s="3" t="n"/>
      <c r="N1654" s="3" t="n">
        <v>125</v>
      </c>
      <c r="O1654" s="3" t="n"/>
      <c r="P1654" s="3">
        <f>IF(L1654&lt;&gt;"",L1654/1.4,"")</f>
        <v/>
      </c>
      <c r="Q1654" s="3">
        <f>IF(L1654&lt;&gt;"",L1654/1.56,"")</f>
        <v/>
      </c>
      <c r="R1654" s="3">
        <f>IF(M1654&lt;&gt;"",M1654/1.4,"")</f>
        <v/>
      </c>
      <c r="S1654" s="3">
        <f>IF(M1654&lt;&gt;"",M1654/1.56,"")</f>
        <v/>
      </c>
      <c r="T1654" s="3">
        <f>IF(N1654&lt;&gt;"",N1654,IF(O1654&lt;&gt;"",O1654,IF(L1654&lt;&gt;"",L1654/1.56,IF(M1654&lt;&gt;"",M1654/1.56,""))))</f>
        <v/>
      </c>
      <c r="U1654" s="3" t="n">
        <v>565</v>
      </c>
      <c r="V1654" s="3" t="n">
        <v>340</v>
      </c>
      <c r="W1654" s="3" t="n"/>
      <c r="X1654" s="4" t="n"/>
      <c r="Y1654" s="5" t="n">
        <v>0.08799999999999999</v>
      </c>
      <c r="Z1654" s="4">
        <f>IF(L1654&lt;&gt;"",SQRT(3)*G1654*L1654/1000,"")</f>
        <v/>
      </c>
      <c r="AA1654" t="inlineStr">
        <is>
          <t>Source=Copeland 2D/3D/4D/4R/6D/8D/9R compressors (pdf) p85; PWS_RLA=62.5</t>
        </is>
      </c>
      <c r="AB1654" t="inlineStr">
        <is>
          <t>Copeland_RLA_230_460_3ph_60Hz.xlsx</t>
        </is>
      </c>
      <c r="AC1654" t="inlineStr">
        <is>
          <t>Recip_2D-9R</t>
        </is>
      </c>
    </row>
    <row r="1655">
      <c r="A1655" t="inlineStr">
        <is>
          <t>COPELAND</t>
        </is>
      </c>
      <c r="B1655" t="inlineStr">
        <is>
          <t>6DP1R35M0-TSK</t>
        </is>
      </c>
      <c r="D1655" t="inlineStr">
        <is>
          <t>Reciprocating Semi-hermetic</t>
        </is>
      </c>
      <c r="E1655" s="2" t="n">
        <v>3</v>
      </c>
      <c r="F1655" s="2" t="n">
        <v>60</v>
      </c>
      <c r="G1655" s="2" t="n">
        <v>460</v>
      </c>
      <c r="H1655" t="inlineStr">
        <is>
          <t>460</t>
        </is>
      </c>
      <c r="I1655" s="2" t="n">
        <v>460</v>
      </c>
      <c r="J1655" s="2" t="n">
        <v>460</v>
      </c>
      <c r="L1655" s="3" t="n"/>
      <c r="M1655" s="3" t="n"/>
      <c r="N1655" s="3" t="n">
        <v>62.5</v>
      </c>
      <c r="O1655" s="3" t="n"/>
      <c r="P1655" s="3">
        <f>IF(L1655&lt;&gt;"",L1655/1.4,"")</f>
        <v/>
      </c>
      <c r="Q1655" s="3">
        <f>IF(L1655&lt;&gt;"",L1655/1.56,"")</f>
        <v/>
      </c>
      <c r="R1655" s="3">
        <f>IF(M1655&lt;&gt;"",M1655/1.4,"")</f>
        <v/>
      </c>
      <c r="S1655" s="3">
        <f>IF(M1655&lt;&gt;"",M1655/1.56,"")</f>
        <v/>
      </c>
      <c r="T1655" s="3">
        <f>IF(N1655&lt;&gt;"",N1655,IF(O1655&lt;&gt;"",O1655,IF(L1655&lt;&gt;"",L1655/1.56,IF(M1655&lt;&gt;"",M1655/1.56,""))))</f>
        <v/>
      </c>
      <c r="U1655" s="3" t="n">
        <v>283</v>
      </c>
      <c r="V1655" s="3" t="n"/>
      <c r="W1655" s="3" t="n"/>
      <c r="X1655" s="4" t="n"/>
      <c r="Y1655" s="5" t="n">
        <v>0.352</v>
      </c>
      <c r="Z1655" s="4">
        <f>IF(L1655&lt;&gt;"",SQRT(3)*G1655*L1655/1000,"")</f>
        <v/>
      </c>
      <c r="AA1655" t="inlineStr">
        <is>
          <t>Source=Copeland 2D/3D/4D/4R/6D/8D/9R compressors (pdf) p85</t>
        </is>
      </c>
      <c r="AB1655" t="inlineStr">
        <is>
          <t>Copeland_RLA_230_460_3ph_60Hz.xlsx</t>
        </is>
      </c>
      <c r="AC1655" t="inlineStr">
        <is>
          <t>Recip_2D-9R</t>
        </is>
      </c>
    </row>
    <row r="1656">
      <c r="A1656" t="inlineStr">
        <is>
          <t>COPELAND</t>
        </is>
      </c>
      <c r="B1656" t="inlineStr">
        <is>
          <t>6DP3-200E-TSK</t>
        </is>
      </c>
      <c r="D1656" t="inlineStr">
        <is>
          <t>Reciprocating Semi-hermetic</t>
        </is>
      </c>
      <c r="E1656" s="2" t="n">
        <v>3</v>
      </c>
      <c r="F1656" s="2" t="n">
        <v>60</v>
      </c>
      <c r="G1656" s="2" t="n">
        <v>230</v>
      </c>
      <c r="H1656" t="inlineStr">
        <is>
          <t>208/230</t>
        </is>
      </c>
      <c r="I1656" s="2" t="n">
        <v>208</v>
      </c>
      <c r="J1656" s="2" t="n">
        <v>230</v>
      </c>
      <c r="L1656" s="3" t="n"/>
      <c r="M1656" s="3" t="n"/>
      <c r="N1656" s="3" t="n">
        <v>75</v>
      </c>
      <c r="O1656" s="3" t="n"/>
      <c r="P1656" s="3">
        <f>IF(L1656&lt;&gt;"",L1656/1.4,"")</f>
        <v/>
      </c>
      <c r="Q1656" s="3">
        <f>IF(L1656&lt;&gt;"",L1656/1.56,"")</f>
        <v/>
      </c>
      <c r="R1656" s="3">
        <f>IF(M1656&lt;&gt;"",M1656/1.4,"")</f>
        <v/>
      </c>
      <c r="S1656" s="3">
        <f>IF(M1656&lt;&gt;"",M1656/1.56,"")</f>
        <v/>
      </c>
      <c r="T1656" s="3">
        <f>IF(N1656&lt;&gt;"",N1656,IF(O1656&lt;&gt;"",O1656,IF(L1656&lt;&gt;"",L1656/1.56,IF(M1656&lt;&gt;"",M1656/1.56,""))))</f>
        <v/>
      </c>
      <c r="U1656" s="3" t="n">
        <v>346</v>
      </c>
      <c r="V1656" s="3" t="n">
        <v>208</v>
      </c>
      <c r="W1656" s="3" t="n"/>
      <c r="X1656" s="4" t="n"/>
      <c r="Y1656" s="5" t="n">
        <v>0.142</v>
      </c>
      <c r="Z1656" s="4">
        <f>IF(L1656&lt;&gt;"",SQRT(3)*G1656*L1656/1000,"")</f>
        <v/>
      </c>
      <c r="AA1656" t="inlineStr">
        <is>
          <t>Source=Copeland 2D/3D/4D/4R/6D/8D/9R compressors (pdf) p85; PWS_RLA=37.5</t>
        </is>
      </c>
      <c r="AB1656" t="inlineStr">
        <is>
          <t>Copeland_RLA_230_460_3ph_60Hz.xlsx</t>
        </is>
      </c>
      <c r="AC1656" t="inlineStr">
        <is>
          <t>Recip_2D-9R</t>
        </is>
      </c>
    </row>
    <row r="1657">
      <c r="A1657" t="inlineStr">
        <is>
          <t>COPELAND</t>
        </is>
      </c>
      <c r="B1657" t="inlineStr">
        <is>
          <t>6DP3-200E-TSK</t>
        </is>
      </c>
      <c r="D1657" t="inlineStr">
        <is>
          <t>Reciprocating Semi-hermetic</t>
        </is>
      </c>
      <c r="E1657" s="2" t="n">
        <v>3</v>
      </c>
      <c r="F1657" s="2" t="n">
        <v>60</v>
      </c>
      <c r="G1657" s="2" t="n">
        <v>460</v>
      </c>
      <c r="H1657" t="inlineStr">
        <is>
          <t>460</t>
        </is>
      </c>
      <c r="I1657" s="2" t="n">
        <v>460</v>
      </c>
      <c r="J1657" s="2" t="n">
        <v>460</v>
      </c>
      <c r="L1657" s="3" t="n"/>
      <c r="M1657" s="3" t="n"/>
      <c r="N1657" s="3" t="n">
        <v>37.5</v>
      </c>
      <c r="O1657" s="3" t="n"/>
      <c r="P1657" s="3">
        <f>IF(L1657&lt;&gt;"",L1657/1.4,"")</f>
        <v/>
      </c>
      <c r="Q1657" s="3">
        <f>IF(L1657&lt;&gt;"",L1657/1.56,"")</f>
        <v/>
      </c>
      <c r="R1657" s="3">
        <f>IF(M1657&lt;&gt;"",M1657/1.4,"")</f>
        <v/>
      </c>
      <c r="S1657" s="3">
        <f>IF(M1657&lt;&gt;"",M1657/1.56,"")</f>
        <v/>
      </c>
      <c r="T1657" s="3">
        <f>IF(N1657&lt;&gt;"",N1657,IF(O1657&lt;&gt;"",O1657,IF(L1657&lt;&gt;"",L1657/1.56,IF(M1657&lt;&gt;"",M1657/1.56,""))))</f>
        <v/>
      </c>
      <c r="U1657" s="3" t="n">
        <v>173</v>
      </c>
      <c r="V1657" s="3" t="n"/>
      <c r="W1657" s="3" t="n"/>
      <c r="X1657" s="4" t="n"/>
      <c r="Y1657" s="5" t="n">
        <v>0.5679999999999999</v>
      </c>
      <c r="Z1657" s="4">
        <f>IF(L1657&lt;&gt;"",SQRT(3)*G1657*L1657/1000,"")</f>
        <v/>
      </c>
      <c r="AA1657" t="inlineStr">
        <is>
          <t>Source=Copeland 2D/3D/4D/4R/6D/8D/9R compressors (pdf) p85</t>
        </is>
      </c>
      <c r="AB1657" t="inlineStr">
        <is>
          <t>Copeland_RLA_230_460_3ph_60Hz.xlsx</t>
        </is>
      </c>
      <c r="AC1657" t="inlineStr">
        <is>
          <t>Recip_2D-9R</t>
        </is>
      </c>
    </row>
    <row r="1658">
      <c r="A1658" t="inlineStr">
        <is>
          <t>COPELAND</t>
        </is>
      </c>
      <c r="B1658" t="inlineStr">
        <is>
          <t>6DP3-200E-TXK</t>
        </is>
      </c>
      <c r="D1658" t="inlineStr">
        <is>
          <t>Reciprocating Semi-hermetic</t>
        </is>
      </c>
      <c r="E1658" s="2" t="n">
        <v>3</v>
      </c>
      <c r="F1658" s="2" t="n">
        <v>60</v>
      </c>
      <c r="G1658" s="2" t="n">
        <v>230</v>
      </c>
      <c r="H1658" t="inlineStr">
        <is>
          <t>208/230</t>
        </is>
      </c>
      <c r="I1658" s="2" t="n">
        <v>208</v>
      </c>
      <c r="J1658" s="2" t="n">
        <v>230</v>
      </c>
      <c r="L1658" s="3" t="n"/>
      <c r="M1658" s="3" t="n"/>
      <c r="N1658" s="3" t="n"/>
      <c r="O1658" s="3" t="n"/>
      <c r="P1658" s="3">
        <f>IF(L1658&lt;&gt;"",L1658/1.4,"")</f>
        <v/>
      </c>
      <c r="Q1658" s="3">
        <f>IF(L1658&lt;&gt;"",L1658/1.56,"")</f>
        <v/>
      </c>
      <c r="R1658" s="3">
        <f>IF(M1658&lt;&gt;"",M1658/1.4,"")</f>
        <v/>
      </c>
      <c r="S1658" s="3">
        <f>IF(M1658&lt;&gt;"",M1658/1.56,"")</f>
        <v/>
      </c>
      <c r="T1658" s="3">
        <f>IF(N1658&lt;&gt;"",N1658,IF(O1658&lt;&gt;"",O1658,IF(L1658&lt;&gt;"",L1658/1.56,IF(M1658&lt;&gt;"",M1658/1.56,""))))</f>
        <v/>
      </c>
      <c r="U1658" s="3" t="n">
        <v>346</v>
      </c>
      <c r="V1658" s="3" t="n">
        <v>208</v>
      </c>
      <c r="W1658" s="3" t="n"/>
      <c r="X1658" s="4" t="n"/>
      <c r="Y1658" s="5" t="n">
        <v>0.142</v>
      </c>
      <c r="Z1658" s="4">
        <f>IF(L1658&lt;&gt;"",SQRT(3)*G1658*L1658/1000,"")</f>
        <v/>
      </c>
      <c r="AA1658" t="inlineStr">
        <is>
          <t>Source=Copeland 2D/3D/4D/4R/6D/8D/9R compressors (pdf) p85</t>
        </is>
      </c>
      <c r="AB1658" t="inlineStr">
        <is>
          <t>Copeland_RLA_230_460_3ph_60Hz.xlsx</t>
        </is>
      </c>
      <c r="AC1658" t="inlineStr">
        <is>
          <t>Recip_2D-9R</t>
        </is>
      </c>
    </row>
    <row r="1659">
      <c r="A1659" t="inlineStr">
        <is>
          <t>COPELAND</t>
        </is>
      </c>
      <c r="B1659" t="inlineStr">
        <is>
          <t>6DP3-200E-TXK</t>
        </is>
      </c>
      <c r="D1659" t="inlineStr">
        <is>
          <t>Reciprocating Semi-hermetic</t>
        </is>
      </c>
      <c r="E1659" s="2" t="n">
        <v>3</v>
      </c>
      <c r="F1659" s="2" t="n">
        <v>60</v>
      </c>
      <c r="G1659" s="2" t="n">
        <v>460</v>
      </c>
      <c r="H1659" t="inlineStr">
        <is>
          <t>460</t>
        </is>
      </c>
      <c r="I1659" s="2" t="n">
        <v>460</v>
      </c>
      <c r="J1659" s="2" t="n">
        <v>460</v>
      </c>
      <c r="L1659" s="3" t="n"/>
      <c r="M1659" s="3" t="n"/>
      <c r="N1659" s="3" t="n"/>
      <c r="O1659" s="3" t="n"/>
      <c r="P1659" s="3">
        <f>IF(L1659&lt;&gt;"",L1659/1.4,"")</f>
        <v/>
      </c>
      <c r="Q1659" s="3">
        <f>IF(L1659&lt;&gt;"",L1659/1.56,"")</f>
        <v/>
      </c>
      <c r="R1659" s="3">
        <f>IF(M1659&lt;&gt;"",M1659/1.4,"")</f>
        <v/>
      </c>
      <c r="S1659" s="3">
        <f>IF(M1659&lt;&gt;"",M1659/1.56,"")</f>
        <v/>
      </c>
      <c r="T1659" s="3">
        <f>IF(N1659&lt;&gt;"",N1659,IF(O1659&lt;&gt;"",O1659,IF(L1659&lt;&gt;"",L1659/1.56,IF(M1659&lt;&gt;"",M1659/1.56,""))))</f>
        <v/>
      </c>
      <c r="U1659" s="3" t="n">
        <v>173</v>
      </c>
      <c r="V1659" s="3" t="n"/>
      <c r="W1659" s="3" t="n"/>
      <c r="X1659" s="4" t="n"/>
      <c r="Y1659" s="5" t="n">
        <v>0.5679999999999999</v>
      </c>
      <c r="Z1659" s="4">
        <f>IF(L1659&lt;&gt;"",SQRT(3)*G1659*L1659/1000,"")</f>
        <v/>
      </c>
      <c r="AA1659" t="inlineStr">
        <is>
          <t>Source=Copeland 2D/3D/4D/4R/6D/8D/9R compressors (pdf) p85</t>
        </is>
      </c>
      <c r="AB1659" t="inlineStr">
        <is>
          <t>Copeland_RLA_230_460_3ph_60Hz.xlsx</t>
        </is>
      </c>
      <c r="AC1659" t="inlineStr">
        <is>
          <t>Recip_2D-9R</t>
        </is>
      </c>
    </row>
    <row r="1660">
      <c r="A1660" t="inlineStr">
        <is>
          <t>COPELAND</t>
        </is>
      </c>
      <c r="B1660" t="inlineStr">
        <is>
          <t>6DP3-200L-TSK</t>
        </is>
      </c>
      <c r="D1660" t="inlineStr">
        <is>
          <t>Reciprocating Semi-hermetic</t>
        </is>
      </c>
      <c r="E1660" s="2" t="n">
        <v>3</v>
      </c>
      <c r="F1660" s="2" t="n">
        <v>60</v>
      </c>
      <c r="G1660" s="2" t="n">
        <v>230</v>
      </c>
      <c r="H1660" t="inlineStr">
        <is>
          <t>208/230</t>
        </is>
      </c>
      <c r="I1660" s="2" t="n">
        <v>208</v>
      </c>
      <c r="J1660" s="2" t="n">
        <v>230</v>
      </c>
      <c r="L1660" s="3" t="n"/>
      <c r="M1660" s="3" t="n"/>
      <c r="N1660" s="3" t="n">
        <v>75</v>
      </c>
      <c r="O1660" s="3" t="n"/>
      <c r="P1660" s="3">
        <f>IF(L1660&lt;&gt;"",L1660/1.4,"")</f>
        <v/>
      </c>
      <c r="Q1660" s="3">
        <f>IF(L1660&lt;&gt;"",L1660/1.56,"")</f>
        <v/>
      </c>
      <c r="R1660" s="3">
        <f>IF(M1660&lt;&gt;"",M1660/1.4,"")</f>
        <v/>
      </c>
      <c r="S1660" s="3">
        <f>IF(M1660&lt;&gt;"",M1660/1.56,"")</f>
        <v/>
      </c>
      <c r="T1660" s="3">
        <f>IF(N1660&lt;&gt;"",N1660,IF(O1660&lt;&gt;"",O1660,IF(L1660&lt;&gt;"",L1660/1.56,IF(M1660&lt;&gt;"",M1660/1.56,""))))</f>
        <v/>
      </c>
      <c r="U1660" s="3" t="n">
        <v>346</v>
      </c>
      <c r="V1660" s="3" t="n">
        <v>208</v>
      </c>
      <c r="W1660" s="3" t="n"/>
      <c r="X1660" s="4" t="n"/>
      <c r="Y1660" s="5" t="n">
        <v>0.142</v>
      </c>
      <c r="Z1660" s="4">
        <f>IF(L1660&lt;&gt;"",SQRT(3)*G1660*L1660/1000,"")</f>
        <v/>
      </c>
      <c r="AA1660" t="inlineStr">
        <is>
          <t>Source=Copeland 2D/3D/4D/4R/6D/8D/9R compressors (pdf) p85; PWS_RLA=37.5</t>
        </is>
      </c>
      <c r="AB1660" t="inlineStr">
        <is>
          <t>Copeland_RLA_230_460_3ph_60Hz.xlsx</t>
        </is>
      </c>
      <c r="AC1660" t="inlineStr">
        <is>
          <t>Recip_2D-9R</t>
        </is>
      </c>
    </row>
    <row r="1661">
      <c r="A1661" t="inlineStr">
        <is>
          <t>COPELAND</t>
        </is>
      </c>
      <c r="B1661" t="inlineStr">
        <is>
          <t>6DP3-200L-TSK</t>
        </is>
      </c>
      <c r="D1661" t="inlineStr">
        <is>
          <t>Reciprocating Semi-hermetic</t>
        </is>
      </c>
      <c r="E1661" s="2" t="n">
        <v>3</v>
      </c>
      <c r="F1661" s="2" t="n">
        <v>60</v>
      </c>
      <c r="G1661" s="2" t="n">
        <v>460</v>
      </c>
      <c r="H1661" t="inlineStr">
        <is>
          <t>460</t>
        </is>
      </c>
      <c r="I1661" s="2" t="n">
        <v>460</v>
      </c>
      <c r="J1661" s="2" t="n">
        <v>460</v>
      </c>
      <c r="L1661" s="3" t="n"/>
      <c r="M1661" s="3" t="n"/>
      <c r="N1661" s="3" t="n">
        <v>37.5</v>
      </c>
      <c r="O1661" s="3" t="n"/>
      <c r="P1661" s="3">
        <f>IF(L1661&lt;&gt;"",L1661/1.4,"")</f>
        <v/>
      </c>
      <c r="Q1661" s="3">
        <f>IF(L1661&lt;&gt;"",L1661/1.56,"")</f>
        <v/>
      </c>
      <c r="R1661" s="3">
        <f>IF(M1661&lt;&gt;"",M1661/1.4,"")</f>
        <v/>
      </c>
      <c r="S1661" s="3">
        <f>IF(M1661&lt;&gt;"",M1661/1.56,"")</f>
        <v/>
      </c>
      <c r="T1661" s="3">
        <f>IF(N1661&lt;&gt;"",N1661,IF(O1661&lt;&gt;"",O1661,IF(L1661&lt;&gt;"",L1661/1.56,IF(M1661&lt;&gt;"",M1661/1.56,""))))</f>
        <v/>
      </c>
      <c r="U1661" s="3" t="n">
        <v>173</v>
      </c>
      <c r="V1661" s="3" t="n"/>
      <c r="W1661" s="3" t="n"/>
      <c r="X1661" s="4" t="n"/>
      <c r="Y1661" s="5" t="n">
        <v>0.5679999999999999</v>
      </c>
      <c r="Z1661" s="4">
        <f>IF(L1661&lt;&gt;"",SQRT(3)*G1661*L1661/1000,"")</f>
        <v/>
      </c>
      <c r="AA1661" t="inlineStr">
        <is>
          <t>Source=Copeland 2D/3D/4D/4R/6D/8D/9R compressors (pdf) p85</t>
        </is>
      </c>
      <c r="AB1661" t="inlineStr">
        <is>
          <t>Copeland_RLA_230_460_3ph_60Hz.xlsx</t>
        </is>
      </c>
      <c r="AC1661" t="inlineStr">
        <is>
          <t>Recip_2D-9R</t>
        </is>
      </c>
    </row>
    <row r="1662">
      <c r="A1662" t="inlineStr">
        <is>
          <t>COPELAND</t>
        </is>
      </c>
      <c r="B1662" t="inlineStr">
        <is>
          <t>6DP3-3500-FSD</t>
        </is>
      </c>
      <c r="D1662" t="inlineStr">
        <is>
          <t>Reciprocating Semi-hermetic</t>
        </is>
      </c>
      <c r="E1662" s="2" t="n">
        <v>3</v>
      </c>
      <c r="F1662" s="2" t="n">
        <v>60</v>
      </c>
      <c r="G1662" s="2" t="n">
        <v>460</v>
      </c>
      <c r="H1662" t="inlineStr">
        <is>
          <t>460</t>
        </is>
      </c>
      <c r="I1662" s="2" t="n">
        <v>460</v>
      </c>
      <c r="J1662" s="2" t="n">
        <v>460</v>
      </c>
      <c r="L1662" s="3" t="n"/>
      <c r="M1662" s="3" t="n"/>
      <c r="N1662" s="3" t="n">
        <v>62.6</v>
      </c>
      <c r="O1662" s="3" t="n"/>
      <c r="P1662" s="3">
        <f>IF(L1662&lt;&gt;"",L1662/1.4,"")</f>
        <v/>
      </c>
      <c r="Q1662" s="3">
        <f>IF(L1662&lt;&gt;"",L1662/1.56,"")</f>
        <v/>
      </c>
      <c r="R1662" s="3">
        <f>IF(M1662&lt;&gt;"",M1662/1.4,"")</f>
        <v/>
      </c>
      <c r="S1662" s="3">
        <f>IF(M1662&lt;&gt;"",M1662/1.56,"")</f>
        <v/>
      </c>
      <c r="T1662" s="3">
        <f>IF(N1662&lt;&gt;"",N1662,IF(O1662&lt;&gt;"",O1662,IF(L1662&lt;&gt;"",L1662/1.56,IF(M1662&lt;&gt;"",M1662/1.56,""))))</f>
        <v/>
      </c>
      <c r="U1662" s="3" t="n">
        <v>260</v>
      </c>
      <c r="V1662" s="3" t="n">
        <v>156</v>
      </c>
      <c r="W1662" s="3" t="n"/>
      <c r="X1662" s="4" t="n"/>
      <c r="Y1662" s="5" t="n">
        <v>0.39</v>
      </c>
      <c r="Z1662" s="4">
        <f>IF(L1662&lt;&gt;"",SQRT(3)*G1662*L1662/1000,"")</f>
        <v/>
      </c>
      <c r="AA1662" t="inlineStr">
        <is>
          <t>Source=Copeland 2D/3D/4D/4R/6D/8D/9R compressors (pdf) p85; PWS_RLA=31.3</t>
        </is>
      </c>
      <c r="AB1662" t="inlineStr">
        <is>
          <t>Copeland_RLA_230_460_3ph_60Hz.xlsx</t>
        </is>
      </c>
      <c r="AC1662" t="inlineStr">
        <is>
          <t>Recip_2D-9R</t>
        </is>
      </c>
    </row>
    <row r="1663">
      <c r="A1663" t="inlineStr">
        <is>
          <t>COPELAND</t>
        </is>
      </c>
      <c r="B1663" t="inlineStr">
        <is>
          <t>6DP3-3500-TSK</t>
        </is>
      </c>
      <c r="D1663" t="inlineStr">
        <is>
          <t>Reciprocating Semi-hermetic</t>
        </is>
      </c>
      <c r="E1663" s="2" t="n">
        <v>3</v>
      </c>
      <c r="F1663" s="2" t="n">
        <v>60</v>
      </c>
      <c r="G1663" s="2" t="n">
        <v>230</v>
      </c>
      <c r="H1663" t="inlineStr">
        <is>
          <t>208/230</t>
        </is>
      </c>
      <c r="I1663" s="2" t="n">
        <v>208</v>
      </c>
      <c r="J1663" s="2" t="n">
        <v>230</v>
      </c>
      <c r="L1663" s="3" t="n"/>
      <c r="M1663" s="3" t="n"/>
      <c r="N1663" s="3" t="n">
        <v>125.1</v>
      </c>
      <c r="O1663" s="3" t="n"/>
      <c r="P1663" s="3">
        <f>IF(L1663&lt;&gt;"",L1663/1.4,"")</f>
        <v/>
      </c>
      <c r="Q1663" s="3">
        <f>IF(L1663&lt;&gt;"",L1663/1.56,"")</f>
        <v/>
      </c>
      <c r="R1663" s="3">
        <f>IF(M1663&lt;&gt;"",M1663/1.4,"")</f>
        <v/>
      </c>
      <c r="S1663" s="3">
        <f>IF(M1663&lt;&gt;"",M1663/1.56,"")</f>
        <v/>
      </c>
      <c r="T1663" s="3">
        <f>IF(N1663&lt;&gt;"",N1663,IF(O1663&lt;&gt;"",O1663,IF(L1663&lt;&gt;"",L1663/1.56,IF(M1663&lt;&gt;"",M1663/1.56,""))))</f>
        <v/>
      </c>
      <c r="U1663" s="3" t="n">
        <v>565</v>
      </c>
      <c r="V1663" s="3" t="n">
        <v>340</v>
      </c>
      <c r="W1663" s="3" t="n"/>
      <c r="X1663" s="4" t="n"/>
      <c r="Y1663" s="5" t="n">
        <v>0.08699999999999999</v>
      </c>
      <c r="Z1663" s="4">
        <f>IF(L1663&lt;&gt;"",SQRT(3)*G1663*L1663/1000,"")</f>
        <v/>
      </c>
      <c r="AA1663" t="inlineStr">
        <is>
          <t>Source=Copeland 2D/3D/4D/4R/6D/8D/9R compressors (pdf) p85; PWS_RLA=62.6</t>
        </is>
      </c>
      <c r="AB1663" t="inlineStr">
        <is>
          <t>Copeland_RLA_230_460_3ph_60Hz.xlsx</t>
        </is>
      </c>
      <c r="AC1663" t="inlineStr">
        <is>
          <t>Recip_2D-9R</t>
        </is>
      </c>
    </row>
    <row r="1664">
      <c r="A1664" t="inlineStr">
        <is>
          <t>COPELAND</t>
        </is>
      </c>
      <c r="B1664" t="inlineStr">
        <is>
          <t>6DP3-3500-TSK</t>
        </is>
      </c>
      <c r="D1664" t="inlineStr">
        <is>
          <t>Reciprocating Semi-hermetic</t>
        </is>
      </c>
      <c r="E1664" s="2" t="n">
        <v>3</v>
      </c>
      <c r="F1664" s="2" t="n">
        <v>60</v>
      </c>
      <c r="G1664" s="2" t="n">
        <v>460</v>
      </c>
      <c r="H1664" t="inlineStr">
        <is>
          <t>460</t>
        </is>
      </c>
      <c r="I1664" s="2" t="n">
        <v>460</v>
      </c>
      <c r="J1664" s="2" t="n">
        <v>460</v>
      </c>
      <c r="L1664" s="3" t="n"/>
      <c r="M1664" s="3" t="n"/>
      <c r="N1664" s="3" t="n">
        <v>62.6</v>
      </c>
      <c r="O1664" s="3" t="n"/>
      <c r="P1664" s="3">
        <f>IF(L1664&lt;&gt;"",L1664/1.4,"")</f>
        <v/>
      </c>
      <c r="Q1664" s="3">
        <f>IF(L1664&lt;&gt;"",L1664/1.56,"")</f>
        <v/>
      </c>
      <c r="R1664" s="3">
        <f>IF(M1664&lt;&gt;"",M1664/1.4,"")</f>
        <v/>
      </c>
      <c r="S1664" s="3">
        <f>IF(M1664&lt;&gt;"",M1664/1.56,"")</f>
        <v/>
      </c>
      <c r="T1664" s="3">
        <f>IF(N1664&lt;&gt;"",N1664,IF(O1664&lt;&gt;"",O1664,IF(L1664&lt;&gt;"",L1664/1.56,IF(M1664&lt;&gt;"",M1664/1.56,""))))</f>
        <v/>
      </c>
      <c r="U1664" s="3" t="n">
        <v>283</v>
      </c>
      <c r="V1664" s="3" t="n"/>
      <c r="W1664" s="3" t="n"/>
      <c r="X1664" s="4" t="n"/>
      <c r="Y1664" s="5" t="n">
        <v>0.348</v>
      </c>
      <c r="Z1664" s="4">
        <f>IF(L1664&lt;&gt;"",SQRT(3)*G1664*L1664/1000,"")</f>
        <v/>
      </c>
      <c r="AA1664" t="inlineStr">
        <is>
          <t>Source=Copeland 2D/3D/4D/4R/6D/8D/9R compressors (pdf) p85</t>
        </is>
      </c>
      <c r="AB1664" t="inlineStr">
        <is>
          <t>Copeland_RLA_230_460_3ph_60Hz.xlsx</t>
        </is>
      </c>
      <c r="AC1664" t="inlineStr">
        <is>
          <t>Recip_2D-9R</t>
        </is>
      </c>
    </row>
    <row r="1665">
      <c r="A1665" t="inlineStr">
        <is>
          <t>COPELAND</t>
        </is>
      </c>
      <c r="B1665" t="inlineStr">
        <is>
          <t>6DP3-350E-FSD</t>
        </is>
      </c>
      <c r="D1665" t="inlineStr">
        <is>
          <t>Reciprocating Semi-hermetic</t>
        </is>
      </c>
      <c r="E1665" s="2" t="n">
        <v>3</v>
      </c>
      <c r="F1665" s="2" t="n">
        <v>60</v>
      </c>
      <c r="G1665" s="2" t="n">
        <v>460</v>
      </c>
      <c r="H1665" t="inlineStr">
        <is>
          <t>460</t>
        </is>
      </c>
      <c r="I1665" s="2" t="n">
        <v>460</v>
      </c>
      <c r="J1665" s="2" t="n">
        <v>460</v>
      </c>
      <c r="L1665" s="3" t="n"/>
      <c r="M1665" s="3" t="n"/>
      <c r="N1665" s="3" t="n">
        <v>62.6</v>
      </c>
      <c r="O1665" s="3" t="n"/>
      <c r="P1665" s="3">
        <f>IF(L1665&lt;&gt;"",L1665/1.4,"")</f>
        <v/>
      </c>
      <c r="Q1665" s="3">
        <f>IF(L1665&lt;&gt;"",L1665/1.56,"")</f>
        <v/>
      </c>
      <c r="R1665" s="3">
        <f>IF(M1665&lt;&gt;"",M1665/1.4,"")</f>
        <v/>
      </c>
      <c r="S1665" s="3">
        <f>IF(M1665&lt;&gt;"",M1665/1.56,"")</f>
        <v/>
      </c>
      <c r="T1665" s="3">
        <f>IF(N1665&lt;&gt;"",N1665,IF(O1665&lt;&gt;"",O1665,IF(L1665&lt;&gt;"",L1665/1.56,IF(M1665&lt;&gt;"",M1665/1.56,""))))</f>
        <v/>
      </c>
      <c r="U1665" s="3" t="n">
        <v>260</v>
      </c>
      <c r="V1665" s="3" t="n">
        <v>156</v>
      </c>
      <c r="W1665" s="3" t="n"/>
      <c r="X1665" s="4" t="n"/>
      <c r="Y1665" s="5" t="n">
        <v>0.39</v>
      </c>
      <c r="Z1665" s="4">
        <f>IF(L1665&lt;&gt;"",SQRT(3)*G1665*L1665/1000,"")</f>
        <v/>
      </c>
      <c r="AA1665" t="inlineStr">
        <is>
          <t>Source=Copeland 2D/3D/4D/4R/6D/8D/9R compressors (pdf) p85; PWS_RLA=31.3</t>
        </is>
      </c>
      <c r="AB1665" t="inlineStr">
        <is>
          <t>Copeland_RLA_230_460_3ph_60Hz.xlsx</t>
        </is>
      </c>
      <c r="AC1665" t="inlineStr">
        <is>
          <t>Recip_2D-9R</t>
        </is>
      </c>
    </row>
    <row r="1666">
      <c r="A1666" t="inlineStr">
        <is>
          <t>COPELAND</t>
        </is>
      </c>
      <c r="B1666" t="inlineStr">
        <is>
          <t>6DP3-350E-TSK</t>
        </is>
      </c>
      <c r="D1666" t="inlineStr">
        <is>
          <t>Reciprocating Semi-hermetic</t>
        </is>
      </c>
      <c r="E1666" s="2" t="n">
        <v>3</v>
      </c>
      <c r="F1666" s="2" t="n">
        <v>60</v>
      </c>
      <c r="G1666" s="2" t="n">
        <v>230</v>
      </c>
      <c r="H1666" t="inlineStr">
        <is>
          <t>208/230</t>
        </is>
      </c>
      <c r="I1666" s="2" t="n">
        <v>208</v>
      </c>
      <c r="J1666" s="2" t="n">
        <v>230</v>
      </c>
      <c r="L1666" s="3" t="n"/>
      <c r="M1666" s="3" t="n"/>
      <c r="N1666" s="3" t="n">
        <v>125.1</v>
      </c>
      <c r="O1666" s="3" t="n"/>
      <c r="P1666" s="3">
        <f>IF(L1666&lt;&gt;"",L1666/1.4,"")</f>
        <v/>
      </c>
      <c r="Q1666" s="3">
        <f>IF(L1666&lt;&gt;"",L1666/1.56,"")</f>
        <v/>
      </c>
      <c r="R1666" s="3">
        <f>IF(M1666&lt;&gt;"",M1666/1.4,"")</f>
        <v/>
      </c>
      <c r="S1666" s="3">
        <f>IF(M1666&lt;&gt;"",M1666/1.56,"")</f>
        <v/>
      </c>
      <c r="T1666" s="3">
        <f>IF(N1666&lt;&gt;"",N1666,IF(O1666&lt;&gt;"",O1666,IF(L1666&lt;&gt;"",L1666/1.56,IF(M1666&lt;&gt;"",M1666/1.56,""))))</f>
        <v/>
      </c>
      <c r="U1666" s="3" t="n">
        <v>565</v>
      </c>
      <c r="V1666" s="3" t="n">
        <v>340</v>
      </c>
      <c r="W1666" s="3" t="n"/>
      <c r="X1666" s="4" t="n"/>
      <c r="Y1666" s="5" t="n">
        <v>0.08699999999999999</v>
      </c>
      <c r="Z1666" s="4">
        <f>IF(L1666&lt;&gt;"",SQRT(3)*G1666*L1666/1000,"")</f>
        <v/>
      </c>
      <c r="AA1666" t="inlineStr">
        <is>
          <t>Source=Copeland 2D/3D/4D/4R/6D/8D/9R compressors (pdf) p85; PWS_RLA=62.6</t>
        </is>
      </c>
      <c r="AB1666" t="inlineStr">
        <is>
          <t>Copeland_RLA_230_460_3ph_60Hz.xlsx</t>
        </is>
      </c>
      <c r="AC1666" t="inlineStr">
        <is>
          <t>Recip_2D-9R</t>
        </is>
      </c>
    </row>
    <row r="1667">
      <c r="A1667" t="inlineStr">
        <is>
          <t>COPELAND</t>
        </is>
      </c>
      <c r="B1667" t="inlineStr">
        <is>
          <t>6DP3-350E-TSK</t>
        </is>
      </c>
      <c r="D1667" t="inlineStr">
        <is>
          <t>Reciprocating Semi-hermetic</t>
        </is>
      </c>
      <c r="E1667" s="2" t="n">
        <v>3</v>
      </c>
      <c r="F1667" s="2" t="n">
        <v>60</v>
      </c>
      <c r="G1667" s="2" t="n">
        <v>460</v>
      </c>
      <c r="H1667" t="inlineStr">
        <is>
          <t>460</t>
        </is>
      </c>
      <c r="I1667" s="2" t="n">
        <v>460</v>
      </c>
      <c r="J1667" s="2" t="n">
        <v>460</v>
      </c>
      <c r="L1667" s="3" t="n"/>
      <c r="M1667" s="3" t="n"/>
      <c r="N1667" s="3" t="n">
        <v>62.6</v>
      </c>
      <c r="O1667" s="3" t="n"/>
      <c r="P1667" s="3">
        <f>IF(L1667&lt;&gt;"",L1667/1.4,"")</f>
        <v/>
      </c>
      <c r="Q1667" s="3">
        <f>IF(L1667&lt;&gt;"",L1667/1.56,"")</f>
        <v/>
      </c>
      <c r="R1667" s="3">
        <f>IF(M1667&lt;&gt;"",M1667/1.4,"")</f>
        <v/>
      </c>
      <c r="S1667" s="3">
        <f>IF(M1667&lt;&gt;"",M1667/1.56,"")</f>
        <v/>
      </c>
      <c r="T1667" s="3">
        <f>IF(N1667&lt;&gt;"",N1667,IF(O1667&lt;&gt;"",O1667,IF(L1667&lt;&gt;"",L1667/1.56,IF(M1667&lt;&gt;"",M1667/1.56,""))))</f>
        <v/>
      </c>
      <c r="U1667" s="3" t="n">
        <v>283</v>
      </c>
      <c r="V1667" s="3" t="n"/>
      <c r="W1667" s="3" t="n"/>
      <c r="X1667" s="4" t="n"/>
      <c r="Y1667" s="5" t="n">
        <v>0.348</v>
      </c>
      <c r="Z1667" s="4">
        <f>IF(L1667&lt;&gt;"",SQRT(3)*G1667*L1667/1000,"")</f>
        <v/>
      </c>
      <c r="AA1667" t="inlineStr">
        <is>
          <t>Source=Copeland 2D/3D/4D/4R/6D/8D/9R compressors (pdf) p85</t>
        </is>
      </c>
      <c r="AB1667" t="inlineStr">
        <is>
          <t>Copeland_RLA_230_460_3ph_60Hz.xlsx</t>
        </is>
      </c>
      <c r="AC1667" t="inlineStr">
        <is>
          <t>Recip_2D-9R</t>
        </is>
      </c>
    </row>
    <row r="1668">
      <c r="A1668" t="inlineStr">
        <is>
          <t>COPELAND</t>
        </is>
      </c>
      <c r="B1668" t="inlineStr">
        <is>
          <t>6DP3-350L-FSD</t>
        </is>
      </c>
      <c r="D1668" t="inlineStr">
        <is>
          <t>Reciprocating Semi-hermetic</t>
        </is>
      </c>
      <c r="E1668" s="2" t="n">
        <v>3</v>
      </c>
      <c r="F1668" s="2" t="n">
        <v>60</v>
      </c>
      <c r="G1668" s="2" t="n">
        <v>460</v>
      </c>
      <c r="H1668" t="inlineStr">
        <is>
          <t>460</t>
        </is>
      </c>
      <c r="I1668" s="2" t="n">
        <v>460</v>
      </c>
      <c r="J1668" s="2" t="n">
        <v>460</v>
      </c>
      <c r="L1668" s="3" t="n"/>
      <c r="M1668" s="3" t="n"/>
      <c r="N1668" s="3" t="n">
        <v>62.6</v>
      </c>
      <c r="O1668" s="3" t="n"/>
      <c r="P1668" s="3">
        <f>IF(L1668&lt;&gt;"",L1668/1.4,"")</f>
        <v/>
      </c>
      <c r="Q1668" s="3">
        <f>IF(L1668&lt;&gt;"",L1668/1.56,"")</f>
        <v/>
      </c>
      <c r="R1668" s="3">
        <f>IF(M1668&lt;&gt;"",M1668/1.4,"")</f>
        <v/>
      </c>
      <c r="S1668" s="3">
        <f>IF(M1668&lt;&gt;"",M1668/1.56,"")</f>
        <v/>
      </c>
      <c r="T1668" s="3">
        <f>IF(N1668&lt;&gt;"",N1668,IF(O1668&lt;&gt;"",O1668,IF(L1668&lt;&gt;"",L1668/1.56,IF(M1668&lt;&gt;"",M1668/1.56,""))))</f>
        <v/>
      </c>
      <c r="U1668" s="3" t="n">
        <v>260</v>
      </c>
      <c r="V1668" s="3" t="n">
        <v>156</v>
      </c>
      <c r="W1668" s="3" t="n"/>
      <c r="X1668" s="4" t="n"/>
      <c r="Y1668" s="5" t="n">
        <v>0.39</v>
      </c>
      <c r="Z1668" s="4">
        <f>IF(L1668&lt;&gt;"",SQRT(3)*G1668*L1668/1000,"")</f>
        <v/>
      </c>
      <c r="AA1668" t="inlineStr">
        <is>
          <t>Source=Copeland 2D/3D/4D/4R/6D/8D/9R compressors (pdf) p85; PWS_RLA=31.3</t>
        </is>
      </c>
      <c r="AB1668" t="inlineStr">
        <is>
          <t>Copeland_RLA_230_460_3ph_60Hz.xlsx</t>
        </is>
      </c>
      <c r="AC1668" t="inlineStr">
        <is>
          <t>Recip_2D-9R</t>
        </is>
      </c>
    </row>
    <row r="1669">
      <c r="A1669" t="inlineStr">
        <is>
          <t>COPELAND</t>
        </is>
      </c>
      <c r="B1669" t="inlineStr">
        <is>
          <t>6DP3-350L-TSK</t>
        </is>
      </c>
      <c r="D1669" t="inlineStr">
        <is>
          <t>Reciprocating Semi-hermetic</t>
        </is>
      </c>
      <c r="E1669" s="2" t="n">
        <v>3</v>
      </c>
      <c r="F1669" s="2" t="n">
        <v>60</v>
      </c>
      <c r="G1669" s="2" t="n">
        <v>230</v>
      </c>
      <c r="H1669" t="inlineStr">
        <is>
          <t>208/230</t>
        </is>
      </c>
      <c r="I1669" s="2" t="n">
        <v>208</v>
      </c>
      <c r="J1669" s="2" t="n">
        <v>230</v>
      </c>
      <c r="L1669" s="3" t="n"/>
      <c r="M1669" s="3" t="n"/>
      <c r="N1669" s="3" t="n">
        <v>125.1</v>
      </c>
      <c r="O1669" s="3" t="n"/>
      <c r="P1669" s="3">
        <f>IF(L1669&lt;&gt;"",L1669/1.4,"")</f>
        <v/>
      </c>
      <c r="Q1669" s="3">
        <f>IF(L1669&lt;&gt;"",L1669/1.56,"")</f>
        <v/>
      </c>
      <c r="R1669" s="3">
        <f>IF(M1669&lt;&gt;"",M1669/1.4,"")</f>
        <v/>
      </c>
      <c r="S1669" s="3">
        <f>IF(M1669&lt;&gt;"",M1669/1.56,"")</f>
        <v/>
      </c>
      <c r="T1669" s="3">
        <f>IF(N1669&lt;&gt;"",N1669,IF(O1669&lt;&gt;"",O1669,IF(L1669&lt;&gt;"",L1669/1.56,IF(M1669&lt;&gt;"",M1669/1.56,""))))</f>
        <v/>
      </c>
      <c r="U1669" s="3" t="n">
        <v>565</v>
      </c>
      <c r="V1669" s="3" t="n">
        <v>340</v>
      </c>
      <c r="W1669" s="3" t="n"/>
      <c r="X1669" s="4" t="n"/>
      <c r="Y1669" s="5" t="n">
        <v>0.08699999999999999</v>
      </c>
      <c r="Z1669" s="4">
        <f>IF(L1669&lt;&gt;"",SQRT(3)*G1669*L1669/1000,"")</f>
        <v/>
      </c>
      <c r="AA1669" t="inlineStr">
        <is>
          <t>Source=Copeland 2D/3D/4D/4R/6D/8D/9R compressors (pdf) p85; PWS_RLA=62.6</t>
        </is>
      </c>
      <c r="AB1669" t="inlineStr">
        <is>
          <t>Copeland_RLA_230_460_3ph_60Hz.xlsx</t>
        </is>
      </c>
      <c r="AC1669" t="inlineStr">
        <is>
          <t>Recip_2D-9R</t>
        </is>
      </c>
    </row>
    <row r="1670">
      <c r="A1670" t="inlineStr">
        <is>
          <t>COPELAND</t>
        </is>
      </c>
      <c r="B1670" t="inlineStr">
        <is>
          <t>6DP3-350L-TSK</t>
        </is>
      </c>
      <c r="D1670" t="inlineStr">
        <is>
          <t>Reciprocating Semi-hermetic</t>
        </is>
      </c>
      <c r="E1670" s="2" t="n">
        <v>3</v>
      </c>
      <c r="F1670" s="2" t="n">
        <v>60</v>
      </c>
      <c r="G1670" s="2" t="n">
        <v>460</v>
      </c>
      <c r="H1670" t="inlineStr">
        <is>
          <t>460</t>
        </is>
      </c>
      <c r="I1670" s="2" t="n">
        <v>460</v>
      </c>
      <c r="J1670" s="2" t="n">
        <v>460</v>
      </c>
      <c r="L1670" s="3" t="n"/>
      <c r="M1670" s="3" t="n"/>
      <c r="N1670" s="3" t="n">
        <v>62.6</v>
      </c>
      <c r="O1670" s="3" t="n"/>
      <c r="P1670" s="3">
        <f>IF(L1670&lt;&gt;"",L1670/1.4,"")</f>
        <v/>
      </c>
      <c r="Q1670" s="3">
        <f>IF(L1670&lt;&gt;"",L1670/1.56,"")</f>
        <v/>
      </c>
      <c r="R1670" s="3">
        <f>IF(M1670&lt;&gt;"",M1670/1.4,"")</f>
        <v/>
      </c>
      <c r="S1670" s="3">
        <f>IF(M1670&lt;&gt;"",M1670/1.56,"")</f>
        <v/>
      </c>
      <c r="T1670" s="3">
        <f>IF(N1670&lt;&gt;"",N1670,IF(O1670&lt;&gt;"",O1670,IF(L1670&lt;&gt;"",L1670/1.56,IF(M1670&lt;&gt;"",M1670/1.56,""))))</f>
        <v/>
      </c>
      <c r="U1670" s="3" t="n">
        <v>283</v>
      </c>
      <c r="V1670" s="3" t="n"/>
      <c r="W1670" s="3" t="n"/>
      <c r="X1670" s="4" t="n"/>
      <c r="Y1670" s="5" t="n">
        <v>0.348</v>
      </c>
      <c r="Z1670" s="4">
        <f>IF(L1670&lt;&gt;"",SQRT(3)*G1670*L1670/1000,"")</f>
        <v/>
      </c>
      <c r="AA1670" t="inlineStr">
        <is>
          <t>Source=Copeland 2D/3D/4D/4R/6D/8D/9R compressors (pdf) p85</t>
        </is>
      </c>
      <c r="AB1670" t="inlineStr">
        <is>
          <t>Copeland_RLA_230_460_3ph_60Hz.xlsx</t>
        </is>
      </c>
      <c r="AC1670" t="inlineStr">
        <is>
          <t>Recip_2D-9R</t>
        </is>
      </c>
    </row>
    <row r="1671">
      <c r="A1671" t="inlineStr">
        <is>
          <t>COPELAND</t>
        </is>
      </c>
      <c r="B1671" t="inlineStr">
        <is>
          <t>6DP3A200E-TSK</t>
        </is>
      </c>
      <c r="D1671" t="inlineStr">
        <is>
          <t>Reciprocating Semi-hermetic</t>
        </is>
      </c>
      <c r="E1671" s="2" t="n">
        <v>3</v>
      </c>
      <c r="F1671" s="2" t="n">
        <v>60</v>
      </c>
      <c r="G1671" s="2" t="n">
        <v>230</v>
      </c>
      <c r="H1671" t="inlineStr">
        <is>
          <t>208/230</t>
        </is>
      </c>
      <c r="I1671" s="2" t="n">
        <v>208</v>
      </c>
      <c r="J1671" s="2" t="n">
        <v>230</v>
      </c>
      <c r="L1671" s="3" t="n"/>
      <c r="M1671" s="3" t="n"/>
      <c r="N1671" s="3" t="n">
        <v>75</v>
      </c>
      <c r="O1671" s="3" t="n"/>
      <c r="P1671" s="3">
        <f>IF(L1671&lt;&gt;"",L1671/1.4,"")</f>
        <v/>
      </c>
      <c r="Q1671" s="3">
        <f>IF(L1671&lt;&gt;"",L1671/1.56,"")</f>
        <v/>
      </c>
      <c r="R1671" s="3">
        <f>IF(M1671&lt;&gt;"",M1671/1.4,"")</f>
        <v/>
      </c>
      <c r="S1671" s="3">
        <f>IF(M1671&lt;&gt;"",M1671/1.56,"")</f>
        <v/>
      </c>
      <c r="T1671" s="3">
        <f>IF(N1671&lt;&gt;"",N1671,IF(O1671&lt;&gt;"",O1671,IF(L1671&lt;&gt;"",L1671/1.56,IF(M1671&lt;&gt;"",M1671/1.56,""))))</f>
        <v/>
      </c>
      <c r="U1671" s="3" t="n">
        <v>346</v>
      </c>
      <c r="V1671" s="3" t="n">
        <v>208</v>
      </c>
      <c r="W1671" s="3" t="n"/>
      <c r="X1671" s="4" t="n"/>
      <c r="Y1671" s="5" t="n">
        <v>0.142</v>
      </c>
      <c r="Z1671" s="4">
        <f>IF(L1671&lt;&gt;"",SQRT(3)*G1671*L1671/1000,"")</f>
        <v/>
      </c>
      <c r="AA1671" t="inlineStr">
        <is>
          <t>Source=Copeland 2D/3D/4D/4R/6D/8D/9R compressors (pdf) p85; PWS_RLA=37.5</t>
        </is>
      </c>
      <c r="AB1671" t="inlineStr">
        <is>
          <t>Copeland_RLA_230_460_3ph_60Hz.xlsx</t>
        </is>
      </c>
      <c r="AC1671" t="inlineStr">
        <is>
          <t>Recip_2D-9R</t>
        </is>
      </c>
    </row>
    <row r="1672">
      <c r="A1672" t="inlineStr">
        <is>
          <t>COPELAND</t>
        </is>
      </c>
      <c r="B1672" t="inlineStr">
        <is>
          <t>6DP3A200E-TSK</t>
        </is>
      </c>
      <c r="D1672" t="inlineStr">
        <is>
          <t>Reciprocating Semi-hermetic</t>
        </is>
      </c>
      <c r="E1672" s="2" t="n">
        <v>3</v>
      </c>
      <c r="F1672" s="2" t="n">
        <v>60</v>
      </c>
      <c r="G1672" s="2" t="n">
        <v>460</v>
      </c>
      <c r="H1672" t="inlineStr">
        <is>
          <t>460</t>
        </is>
      </c>
      <c r="I1672" s="2" t="n">
        <v>460</v>
      </c>
      <c r="J1672" s="2" t="n">
        <v>460</v>
      </c>
      <c r="L1672" s="3" t="n"/>
      <c r="M1672" s="3" t="n"/>
      <c r="N1672" s="3" t="n">
        <v>37.5</v>
      </c>
      <c r="O1672" s="3" t="n"/>
      <c r="P1672" s="3">
        <f>IF(L1672&lt;&gt;"",L1672/1.4,"")</f>
        <v/>
      </c>
      <c r="Q1672" s="3">
        <f>IF(L1672&lt;&gt;"",L1672/1.56,"")</f>
        <v/>
      </c>
      <c r="R1672" s="3">
        <f>IF(M1672&lt;&gt;"",M1672/1.4,"")</f>
        <v/>
      </c>
      <c r="S1672" s="3">
        <f>IF(M1672&lt;&gt;"",M1672/1.56,"")</f>
        <v/>
      </c>
      <c r="T1672" s="3">
        <f>IF(N1672&lt;&gt;"",N1672,IF(O1672&lt;&gt;"",O1672,IF(L1672&lt;&gt;"",L1672/1.56,IF(M1672&lt;&gt;"",M1672/1.56,""))))</f>
        <v/>
      </c>
      <c r="U1672" s="3" t="n">
        <v>173</v>
      </c>
      <c r="V1672" s="3" t="n"/>
      <c r="W1672" s="3" t="n"/>
      <c r="X1672" s="4" t="n"/>
      <c r="Y1672" s="5" t="n">
        <v>0.5679999999999999</v>
      </c>
      <c r="Z1672" s="4">
        <f>IF(L1672&lt;&gt;"",SQRT(3)*G1672*L1672/1000,"")</f>
        <v/>
      </c>
      <c r="AA1672" t="inlineStr">
        <is>
          <t>Source=Copeland 2D/3D/4D/4R/6D/8D/9R compressors (pdf) p86</t>
        </is>
      </c>
      <c r="AB1672" t="inlineStr">
        <is>
          <t>Copeland_RLA_230_460_3ph_60Hz.xlsx</t>
        </is>
      </c>
      <c r="AC1672" t="inlineStr">
        <is>
          <t>Recip_2D-9R</t>
        </is>
      </c>
    </row>
    <row r="1673">
      <c r="A1673" t="inlineStr">
        <is>
          <t>COPELAND</t>
        </is>
      </c>
      <c r="B1673" t="inlineStr">
        <is>
          <t>6DP3A200E-TXK</t>
        </is>
      </c>
      <c r="D1673" t="inlineStr">
        <is>
          <t>Reciprocating Semi-hermetic</t>
        </is>
      </c>
      <c r="E1673" s="2" t="n">
        <v>3</v>
      </c>
      <c r="F1673" s="2" t="n">
        <v>60</v>
      </c>
      <c r="G1673" s="2" t="n">
        <v>230</v>
      </c>
      <c r="H1673" t="inlineStr">
        <is>
          <t>208/230</t>
        </is>
      </c>
      <c r="I1673" s="2" t="n">
        <v>208</v>
      </c>
      <c r="J1673" s="2" t="n">
        <v>230</v>
      </c>
      <c r="L1673" s="3" t="n"/>
      <c r="M1673" s="3" t="n"/>
      <c r="N1673" s="3" t="n"/>
      <c r="O1673" s="3" t="n"/>
      <c r="P1673" s="3">
        <f>IF(L1673&lt;&gt;"",L1673/1.4,"")</f>
        <v/>
      </c>
      <c r="Q1673" s="3">
        <f>IF(L1673&lt;&gt;"",L1673/1.56,"")</f>
        <v/>
      </c>
      <c r="R1673" s="3">
        <f>IF(M1673&lt;&gt;"",M1673/1.4,"")</f>
        <v/>
      </c>
      <c r="S1673" s="3">
        <f>IF(M1673&lt;&gt;"",M1673/1.56,"")</f>
        <v/>
      </c>
      <c r="T1673" s="3">
        <f>IF(N1673&lt;&gt;"",N1673,IF(O1673&lt;&gt;"",O1673,IF(L1673&lt;&gt;"",L1673/1.56,IF(M1673&lt;&gt;"",M1673/1.56,""))))</f>
        <v/>
      </c>
      <c r="U1673" s="3" t="n">
        <v>346</v>
      </c>
      <c r="V1673" s="3" t="n">
        <v>208</v>
      </c>
      <c r="W1673" s="3" t="n"/>
      <c r="X1673" s="4" t="n"/>
      <c r="Y1673" s="5" t="n">
        <v>0.142</v>
      </c>
      <c r="Z1673" s="4">
        <f>IF(L1673&lt;&gt;"",SQRT(3)*G1673*L1673/1000,"")</f>
        <v/>
      </c>
      <c r="AA1673" t="inlineStr">
        <is>
          <t>Source=Copeland 2D/3D/4D/4R/6D/8D/9R compressors (pdf) p86</t>
        </is>
      </c>
      <c r="AB1673" t="inlineStr">
        <is>
          <t>Copeland_RLA_230_460_3ph_60Hz.xlsx</t>
        </is>
      </c>
      <c r="AC1673" t="inlineStr">
        <is>
          <t>Recip_2D-9R</t>
        </is>
      </c>
    </row>
    <row r="1674">
      <c r="A1674" t="inlineStr">
        <is>
          <t>COPELAND</t>
        </is>
      </c>
      <c r="B1674" t="inlineStr">
        <is>
          <t>6DP3A200E-TXK</t>
        </is>
      </c>
      <c r="D1674" t="inlineStr">
        <is>
          <t>Reciprocating Semi-hermetic</t>
        </is>
      </c>
      <c r="E1674" s="2" t="n">
        <v>3</v>
      </c>
      <c r="F1674" s="2" t="n">
        <v>60</v>
      </c>
      <c r="G1674" s="2" t="n">
        <v>460</v>
      </c>
      <c r="H1674" t="inlineStr">
        <is>
          <t>460</t>
        </is>
      </c>
      <c r="I1674" s="2" t="n">
        <v>460</v>
      </c>
      <c r="J1674" s="2" t="n">
        <v>460</v>
      </c>
      <c r="L1674" s="3" t="n"/>
      <c r="M1674" s="3" t="n"/>
      <c r="N1674" s="3" t="n"/>
      <c r="O1674" s="3" t="n"/>
      <c r="P1674" s="3">
        <f>IF(L1674&lt;&gt;"",L1674/1.4,"")</f>
        <v/>
      </c>
      <c r="Q1674" s="3">
        <f>IF(L1674&lt;&gt;"",L1674/1.56,"")</f>
        <v/>
      </c>
      <c r="R1674" s="3">
        <f>IF(M1674&lt;&gt;"",M1674/1.4,"")</f>
        <v/>
      </c>
      <c r="S1674" s="3">
        <f>IF(M1674&lt;&gt;"",M1674/1.56,"")</f>
        <v/>
      </c>
      <c r="T1674" s="3">
        <f>IF(N1674&lt;&gt;"",N1674,IF(O1674&lt;&gt;"",O1674,IF(L1674&lt;&gt;"",L1674/1.56,IF(M1674&lt;&gt;"",M1674/1.56,""))))</f>
        <v/>
      </c>
      <c r="U1674" s="3" t="n">
        <v>173</v>
      </c>
      <c r="V1674" s="3" t="n"/>
      <c r="W1674" s="3" t="n"/>
      <c r="X1674" s="4" t="n"/>
      <c r="Y1674" s="5" t="n">
        <v>0.5679999999999999</v>
      </c>
      <c r="Z1674" s="4">
        <f>IF(L1674&lt;&gt;"",SQRT(3)*G1674*L1674/1000,"")</f>
        <v/>
      </c>
      <c r="AA1674" t="inlineStr">
        <is>
          <t>Source=Copeland 2D/3D/4D/4R/6D/8D/9R compressors (pdf) p86</t>
        </is>
      </c>
      <c r="AB1674" t="inlineStr">
        <is>
          <t>Copeland_RLA_230_460_3ph_60Hz.xlsx</t>
        </is>
      </c>
      <c r="AC1674" t="inlineStr">
        <is>
          <t>Recip_2D-9R</t>
        </is>
      </c>
    </row>
    <row r="1675">
      <c r="A1675" t="inlineStr">
        <is>
          <t>COPELAND</t>
        </is>
      </c>
      <c r="B1675" t="inlineStr">
        <is>
          <t>6DP3A200L-TSK</t>
        </is>
      </c>
      <c r="D1675" t="inlineStr">
        <is>
          <t>Reciprocating Semi-hermetic</t>
        </is>
      </c>
      <c r="E1675" s="2" t="n">
        <v>3</v>
      </c>
      <c r="F1675" s="2" t="n">
        <v>60</v>
      </c>
      <c r="G1675" s="2" t="n">
        <v>230</v>
      </c>
      <c r="H1675" t="inlineStr">
        <is>
          <t>208/230</t>
        </is>
      </c>
      <c r="I1675" s="2" t="n">
        <v>208</v>
      </c>
      <c r="J1675" s="2" t="n">
        <v>230</v>
      </c>
      <c r="L1675" s="3" t="n"/>
      <c r="M1675" s="3" t="n"/>
      <c r="N1675" s="3" t="n">
        <v>75</v>
      </c>
      <c r="O1675" s="3" t="n"/>
      <c r="P1675" s="3">
        <f>IF(L1675&lt;&gt;"",L1675/1.4,"")</f>
        <v/>
      </c>
      <c r="Q1675" s="3">
        <f>IF(L1675&lt;&gt;"",L1675/1.56,"")</f>
        <v/>
      </c>
      <c r="R1675" s="3">
        <f>IF(M1675&lt;&gt;"",M1675/1.4,"")</f>
        <v/>
      </c>
      <c r="S1675" s="3">
        <f>IF(M1675&lt;&gt;"",M1675/1.56,"")</f>
        <v/>
      </c>
      <c r="T1675" s="3">
        <f>IF(N1675&lt;&gt;"",N1675,IF(O1675&lt;&gt;"",O1675,IF(L1675&lt;&gt;"",L1675/1.56,IF(M1675&lt;&gt;"",M1675/1.56,""))))</f>
        <v/>
      </c>
      <c r="U1675" s="3" t="n">
        <v>346</v>
      </c>
      <c r="V1675" s="3" t="n">
        <v>208</v>
      </c>
      <c r="W1675" s="3" t="n"/>
      <c r="X1675" s="4" t="n"/>
      <c r="Y1675" s="5" t="n">
        <v>0.142</v>
      </c>
      <c r="Z1675" s="4">
        <f>IF(L1675&lt;&gt;"",SQRT(3)*G1675*L1675/1000,"")</f>
        <v/>
      </c>
      <c r="AA1675" t="inlineStr">
        <is>
          <t>Source=Copeland 2D/3D/4D/4R/6D/8D/9R compressors (pdf) p86; PWS_RLA=37.5</t>
        </is>
      </c>
      <c r="AB1675" t="inlineStr">
        <is>
          <t>Copeland_RLA_230_460_3ph_60Hz.xlsx</t>
        </is>
      </c>
      <c r="AC1675" t="inlineStr">
        <is>
          <t>Recip_2D-9R</t>
        </is>
      </c>
    </row>
    <row r="1676">
      <c r="A1676" t="inlineStr">
        <is>
          <t>COPELAND</t>
        </is>
      </c>
      <c r="B1676" t="inlineStr">
        <is>
          <t>6DP3A200L-TSK</t>
        </is>
      </c>
      <c r="D1676" t="inlineStr">
        <is>
          <t>Reciprocating Semi-hermetic</t>
        </is>
      </c>
      <c r="E1676" s="2" t="n">
        <v>3</v>
      </c>
      <c r="F1676" s="2" t="n">
        <v>60</v>
      </c>
      <c r="G1676" s="2" t="n">
        <v>460</v>
      </c>
      <c r="H1676" t="inlineStr">
        <is>
          <t>460</t>
        </is>
      </c>
      <c r="I1676" s="2" t="n">
        <v>460</v>
      </c>
      <c r="J1676" s="2" t="n">
        <v>460</v>
      </c>
      <c r="L1676" s="3" t="n"/>
      <c r="M1676" s="3" t="n"/>
      <c r="N1676" s="3" t="n">
        <v>37.5</v>
      </c>
      <c r="O1676" s="3" t="n"/>
      <c r="P1676" s="3">
        <f>IF(L1676&lt;&gt;"",L1676/1.4,"")</f>
        <v/>
      </c>
      <c r="Q1676" s="3">
        <f>IF(L1676&lt;&gt;"",L1676/1.56,"")</f>
        <v/>
      </c>
      <c r="R1676" s="3">
        <f>IF(M1676&lt;&gt;"",M1676/1.4,"")</f>
        <v/>
      </c>
      <c r="S1676" s="3">
        <f>IF(M1676&lt;&gt;"",M1676/1.56,"")</f>
        <v/>
      </c>
      <c r="T1676" s="3">
        <f>IF(N1676&lt;&gt;"",N1676,IF(O1676&lt;&gt;"",O1676,IF(L1676&lt;&gt;"",L1676/1.56,IF(M1676&lt;&gt;"",M1676/1.56,""))))</f>
        <v/>
      </c>
      <c r="U1676" s="3" t="n">
        <v>173</v>
      </c>
      <c r="V1676" s="3" t="n"/>
      <c r="W1676" s="3" t="n"/>
      <c r="X1676" s="4" t="n"/>
      <c r="Y1676" s="5" t="n">
        <v>0.5679999999999999</v>
      </c>
      <c r="Z1676" s="4">
        <f>IF(L1676&lt;&gt;"",SQRT(3)*G1676*L1676/1000,"")</f>
        <v/>
      </c>
      <c r="AA1676" t="inlineStr">
        <is>
          <t>Source=Copeland 2D/3D/4D/4R/6D/8D/9R compressors (pdf) p86</t>
        </is>
      </c>
      <c r="AB1676" t="inlineStr">
        <is>
          <t>Copeland_RLA_230_460_3ph_60Hz.xlsx</t>
        </is>
      </c>
      <c r="AC1676" t="inlineStr">
        <is>
          <t>Recip_2D-9R</t>
        </is>
      </c>
    </row>
    <row r="1677">
      <c r="A1677" t="inlineStr">
        <is>
          <t>COPELAND</t>
        </is>
      </c>
      <c r="B1677" t="inlineStr">
        <is>
          <t>6DP3A3500-FSD</t>
        </is>
      </c>
      <c r="D1677" t="inlineStr">
        <is>
          <t>Reciprocating Semi-hermetic</t>
        </is>
      </c>
      <c r="E1677" s="2" t="n">
        <v>3</v>
      </c>
      <c r="F1677" s="2" t="n">
        <v>60</v>
      </c>
      <c r="G1677" s="2" t="n">
        <v>460</v>
      </c>
      <c r="H1677" t="inlineStr">
        <is>
          <t>460</t>
        </is>
      </c>
      <c r="I1677" s="2" t="n">
        <v>460</v>
      </c>
      <c r="J1677" s="2" t="n">
        <v>460</v>
      </c>
      <c r="L1677" s="3" t="n"/>
      <c r="M1677" s="3" t="n"/>
      <c r="N1677" s="3" t="n">
        <v>62.6</v>
      </c>
      <c r="O1677" s="3" t="n"/>
      <c r="P1677" s="3">
        <f>IF(L1677&lt;&gt;"",L1677/1.4,"")</f>
        <v/>
      </c>
      <c r="Q1677" s="3">
        <f>IF(L1677&lt;&gt;"",L1677/1.56,"")</f>
        <v/>
      </c>
      <c r="R1677" s="3">
        <f>IF(M1677&lt;&gt;"",M1677/1.4,"")</f>
        <v/>
      </c>
      <c r="S1677" s="3">
        <f>IF(M1677&lt;&gt;"",M1677/1.56,"")</f>
        <v/>
      </c>
      <c r="T1677" s="3">
        <f>IF(N1677&lt;&gt;"",N1677,IF(O1677&lt;&gt;"",O1677,IF(L1677&lt;&gt;"",L1677/1.56,IF(M1677&lt;&gt;"",M1677/1.56,""))))</f>
        <v/>
      </c>
      <c r="U1677" s="3" t="n">
        <v>260</v>
      </c>
      <c r="V1677" s="3" t="n">
        <v>156</v>
      </c>
      <c r="W1677" s="3" t="n"/>
      <c r="X1677" s="4" t="n"/>
      <c r="Y1677" s="5" t="n">
        <v>0.39</v>
      </c>
      <c r="Z1677" s="4">
        <f>IF(L1677&lt;&gt;"",SQRT(3)*G1677*L1677/1000,"")</f>
        <v/>
      </c>
      <c r="AA1677" t="inlineStr">
        <is>
          <t>Source=Copeland 2D/3D/4D/4R/6D/8D/9R compressors (pdf) p86; PWS_RLA=31.3</t>
        </is>
      </c>
      <c r="AB1677" t="inlineStr">
        <is>
          <t>Copeland_RLA_230_460_3ph_60Hz.xlsx</t>
        </is>
      </c>
      <c r="AC1677" t="inlineStr">
        <is>
          <t>Recip_2D-9R</t>
        </is>
      </c>
    </row>
    <row r="1678">
      <c r="A1678" t="inlineStr">
        <is>
          <t>COPELAND</t>
        </is>
      </c>
      <c r="B1678" t="inlineStr">
        <is>
          <t>6DP3A3500-TSK</t>
        </is>
      </c>
      <c r="D1678" t="inlineStr">
        <is>
          <t>Reciprocating Semi-hermetic</t>
        </is>
      </c>
      <c r="E1678" s="2" t="n">
        <v>3</v>
      </c>
      <c r="F1678" s="2" t="n">
        <v>60</v>
      </c>
      <c r="G1678" s="2" t="n">
        <v>230</v>
      </c>
      <c r="H1678" t="inlineStr">
        <is>
          <t>208/230</t>
        </is>
      </c>
      <c r="I1678" s="2" t="n">
        <v>208</v>
      </c>
      <c r="J1678" s="2" t="n">
        <v>230</v>
      </c>
      <c r="L1678" s="3" t="n"/>
      <c r="M1678" s="3" t="n"/>
      <c r="N1678" s="3" t="n">
        <v>125.1</v>
      </c>
      <c r="O1678" s="3" t="n"/>
      <c r="P1678" s="3">
        <f>IF(L1678&lt;&gt;"",L1678/1.4,"")</f>
        <v/>
      </c>
      <c r="Q1678" s="3">
        <f>IF(L1678&lt;&gt;"",L1678/1.56,"")</f>
        <v/>
      </c>
      <c r="R1678" s="3">
        <f>IF(M1678&lt;&gt;"",M1678/1.4,"")</f>
        <v/>
      </c>
      <c r="S1678" s="3">
        <f>IF(M1678&lt;&gt;"",M1678/1.56,"")</f>
        <v/>
      </c>
      <c r="T1678" s="3">
        <f>IF(N1678&lt;&gt;"",N1678,IF(O1678&lt;&gt;"",O1678,IF(L1678&lt;&gt;"",L1678/1.56,IF(M1678&lt;&gt;"",M1678/1.56,""))))</f>
        <v/>
      </c>
      <c r="U1678" s="3" t="n">
        <v>565</v>
      </c>
      <c r="V1678" s="3" t="n">
        <v>340</v>
      </c>
      <c r="W1678" s="3" t="n"/>
      <c r="X1678" s="4" t="n"/>
      <c r="Y1678" s="5" t="n">
        <v>0.08699999999999999</v>
      </c>
      <c r="Z1678" s="4">
        <f>IF(L1678&lt;&gt;"",SQRT(3)*G1678*L1678/1000,"")</f>
        <v/>
      </c>
      <c r="AA1678" t="inlineStr">
        <is>
          <t>Source=Copeland 2D/3D/4D/4R/6D/8D/9R compressors (pdf) p86; PWS_RLA=62.6</t>
        </is>
      </c>
      <c r="AB1678" t="inlineStr">
        <is>
          <t>Copeland_RLA_230_460_3ph_60Hz.xlsx</t>
        </is>
      </c>
      <c r="AC1678" t="inlineStr">
        <is>
          <t>Recip_2D-9R</t>
        </is>
      </c>
    </row>
    <row r="1679">
      <c r="A1679" t="inlineStr">
        <is>
          <t>COPELAND</t>
        </is>
      </c>
      <c r="B1679" t="inlineStr">
        <is>
          <t>6DP3A3500-TSK</t>
        </is>
      </c>
      <c r="D1679" t="inlineStr">
        <is>
          <t>Reciprocating Semi-hermetic</t>
        </is>
      </c>
      <c r="E1679" s="2" t="n">
        <v>3</v>
      </c>
      <c r="F1679" s="2" t="n">
        <v>60</v>
      </c>
      <c r="G1679" s="2" t="n">
        <v>460</v>
      </c>
      <c r="H1679" t="inlineStr">
        <is>
          <t>460</t>
        </is>
      </c>
      <c r="I1679" s="2" t="n">
        <v>460</v>
      </c>
      <c r="J1679" s="2" t="n">
        <v>460</v>
      </c>
      <c r="L1679" s="3" t="n"/>
      <c r="M1679" s="3" t="n"/>
      <c r="N1679" s="3" t="n">
        <v>62.6</v>
      </c>
      <c r="O1679" s="3" t="n"/>
      <c r="P1679" s="3">
        <f>IF(L1679&lt;&gt;"",L1679/1.4,"")</f>
        <v/>
      </c>
      <c r="Q1679" s="3">
        <f>IF(L1679&lt;&gt;"",L1679/1.56,"")</f>
        <v/>
      </c>
      <c r="R1679" s="3">
        <f>IF(M1679&lt;&gt;"",M1679/1.4,"")</f>
        <v/>
      </c>
      <c r="S1679" s="3">
        <f>IF(M1679&lt;&gt;"",M1679/1.56,"")</f>
        <v/>
      </c>
      <c r="T1679" s="3">
        <f>IF(N1679&lt;&gt;"",N1679,IF(O1679&lt;&gt;"",O1679,IF(L1679&lt;&gt;"",L1679/1.56,IF(M1679&lt;&gt;"",M1679/1.56,""))))</f>
        <v/>
      </c>
      <c r="U1679" s="3" t="n">
        <v>283</v>
      </c>
      <c r="V1679" s="3" t="n"/>
      <c r="W1679" s="3" t="n"/>
      <c r="X1679" s="4" t="n"/>
      <c r="Y1679" s="5" t="n">
        <v>0.348</v>
      </c>
      <c r="Z1679" s="4">
        <f>IF(L1679&lt;&gt;"",SQRT(3)*G1679*L1679/1000,"")</f>
        <v/>
      </c>
      <c r="AA1679" t="inlineStr">
        <is>
          <t>Source=Copeland 2D/3D/4D/4R/6D/8D/9R compressors (pdf) p86</t>
        </is>
      </c>
      <c r="AB1679" t="inlineStr">
        <is>
          <t>Copeland_RLA_230_460_3ph_60Hz.xlsx</t>
        </is>
      </c>
      <c r="AC1679" t="inlineStr">
        <is>
          <t>Recip_2D-9R</t>
        </is>
      </c>
    </row>
    <row r="1680">
      <c r="A1680" t="inlineStr">
        <is>
          <t>COPELAND</t>
        </is>
      </c>
      <c r="B1680" t="inlineStr">
        <is>
          <t>6DP3A350E-FSD</t>
        </is>
      </c>
      <c r="D1680" t="inlineStr">
        <is>
          <t>Reciprocating Semi-hermetic</t>
        </is>
      </c>
      <c r="E1680" s="2" t="n">
        <v>3</v>
      </c>
      <c r="F1680" s="2" t="n">
        <v>60</v>
      </c>
      <c r="G1680" s="2" t="n">
        <v>460</v>
      </c>
      <c r="H1680" t="inlineStr">
        <is>
          <t>460</t>
        </is>
      </c>
      <c r="I1680" s="2" t="n">
        <v>460</v>
      </c>
      <c r="J1680" s="2" t="n">
        <v>460</v>
      </c>
      <c r="L1680" s="3" t="n"/>
      <c r="M1680" s="3" t="n"/>
      <c r="N1680" s="3" t="n">
        <v>62.6</v>
      </c>
      <c r="O1680" s="3" t="n"/>
      <c r="P1680" s="3">
        <f>IF(L1680&lt;&gt;"",L1680/1.4,"")</f>
        <v/>
      </c>
      <c r="Q1680" s="3">
        <f>IF(L1680&lt;&gt;"",L1680/1.56,"")</f>
        <v/>
      </c>
      <c r="R1680" s="3">
        <f>IF(M1680&lt;&gt;"",M1680/1.4,"")</f>
        <v/>
      </c>
      <c r="S1680" s="3">
        <f>IF(M1680&lt;&gt;"",M1680/1.56,"")</f>
        <v/>
      </c>
      <c r="T1680" s="3">
        <f>IF(N1680&lt;&gt;"",N1680,IF(O1680&lt;&gt;"",O1680,IF(L1680&lt;&gt;"",L1680/1.56,IF(M1680&lt;&gt;"",M1680/1.56,""))))</f>
        <v/>
      </c>
      <c r="U1680" s="3" t="n">
        <v>260</v>
      </c>
      <c r="V1680" s="3" t="n">
        <v>156</v>
      </c>
      <c r="W1680" s="3" t="n"/>
      <c r="X1680" s="4" t="n"/>
      <c r="Y1680" s="5" t="n">
        <v>0.39</v>
      </c>
      <c r="Z1680" s="4">
        <f>IF(L1680&lt;&gt;"",SQRT(3)*G1680*L1680/1000,"")</f>
        <v/>
      </c>
      <c r="AA1680" t="inlineStr">
        <is>
          <t>Source=Copeland 2D/3D/4D/4R/6D/8D/9R compressors (pdf) p86; PWS_RLA=31.3</t>
        </is>
      </c>
      <c r="AB1680" t="inlineStr">
        <is>
          <t>Copeland_RLA_230_460_3ph_60Hz.xlsx</t>
        </is>
      </c>
      <c r="AC1680" t="inlineStr">
        <is>
          <t>Recip_2D-9R</t>
        </is>
      </c>
    </row>
    <row r="1681">
      <c r="A1681" t="inlineStr">
        <is>
          <t>COPELAND</t>
        </is>
      </c>
      <c r="B1681" t="inlineStr">
        <is>
          <t>6DP3A350E-TSK</t>
        </is>
      </c>
      <c r="D1681" t="inlineStr">
        <is>
          <t>Reciprocating Semi-hermetic</t>
        </is>
      </c>
      <c r="E1681" s="2" t="n">
        <v>3</v>
      </c>
      <c r="F1681" s="2" t="n">
        <v>60</v>
      </c>
      <c r="G1681" s="2" t="n">
        <v>230</v>
      </c>
      <c r="H1681" t="inlineStr">
        <is>
          <t>208/230</t>
        </is>
      </c>
      <c r="I1681" s="2" t="n">
        <v>208</v>
      </c>
      <c r="J1681" s="2" t="n">
        <v>230</v>
      </c>
      <c r="L1681" s="3" t="n"/>
      <c r="M1681" s="3" t="n"/>
      <c r="N1681" s="3" t="n">
        <v>147.1</v>
      </c>
      <c r="O1681" s="3" t="n"/>
      <c r="P1681" s="3">
        <f>IF(L1681&lt;&gt;"",L1681/1.4,"")</f>
        <v/>
      </c>
      <c r="Q1681" s="3">
        <f>IF(L1681&lt;&gt;"",L1681/1.56,"")</f>
        <v/>
      </c>
      <c r="R1681" s="3">
        <f>IF(M1681&lt;&gt;"",M1681/1.4,"")</f>
        <v/>
      </c>
      <c r="S1681" s="3">
        <f>IF(M1681&lt;&gt;"",M1681/1.56,"")</f>
        <v/>
      </c>
      <c r="T1681" s="3">
        <f>IF(N1681&lt;&gt;"",N1681,IF(O1681&lt;&gt;"",O1681,IF(L1681&lt;&gt;"",L1681/1.56,IF(M1681&lt;&gt;"",M1681/1.56,""))))</f>
        <v/>
      </c>
      <c r="U1681" s="3" t="n">
        <v>565</v>
      </c>
      <c r="V1681" s="3" t="n">
        <v>340</v>
      </c>
      <c r="W1681" s="3" t="n"/>
      <c r="X1681" s="4" t="n"/>
      <c r="Y1681" s="5" t="n">
        <v>0.08699999999999999</v>
      </c>
      <c r="Z1681" s="4">
        <f>IF(L1681&lt;&gt;"",SQRT(3)*G1681*L1681/1000,"")</f>
        <v/>
      </c>
      <c r="AA1681" t="inlineStr">
        <is>
          <t>Source=Copeland 2D/3D/4D/4R/6D/8D/9R compressors (pdf) p86; PWS_RLA=62.6</t>
        </is>
      </c>
      <c r="AB1681" t="inlineStr">
        <is>
          <t>Copeland_RLA_230_460_3ph_60Hz.xlsx</t>
        </is>
      </c>
      <c r="AC1681" t="inlineStr">
        <is>
          <t>Recip_2D-9R</t>
        </is>
      </c>
    </row>
    <row r="1682">
      <c r="A1682" t="inlineStr">
        <is>
          <t>COPELAND</t>
        </is>
      </c>
      <c r="B1682" t="inlineStr">
        <is>
          <t>6DP3A350E-TSK</t>
        </is>
      </c>
      <c r="D1682" t="inlineStr">
        <is>
          <t>Reciprocating Semi-hermetic</t>
        </is>
      </c>
      <c r="E1682" s="2" t="n">
        <v>3</v>
      </c>
      <c r="F1682" s="2" t="n">
        <v>60</v>
      </c>
      <c r="G1682" s="2" t="n">
        <v>460</v>
      </c>
      <c r="H1682" t="inlineStr">
        <is>
          <t>460</t>
        </is>
      </c>
      <c r="I1682" s="2" t="n">
        <v>460</v>
      </c>
      <c r="J1682" s="2" t="n">
        <v>460</v>
      </c>
      <c r="L1682" s="3" t="n"/>
      <c r="M1682" s="3" t="n"/>
      <c r="N1682" s="3" t="n">
        <v>73.59999999999999</v>
      </c>
      <c r="O1682" s="3" t="n"/>
      <c r="P1682" s="3">
        <f>IF(L1682&lt;&gt;"",L1682/1.4,"")</f>
        <v/>
      </c>
      <c r="Q1682" s="3">
        <f>IF(L1682&lt;&gt;"",L1682/1.56,"")</f>
        <v/>
      </c>
      <c r="R1682" s="3">
        <f>IF(M1682&lt;&gt;"",M1682/1.4,"")</f>
        <v/>
      </c>
      <c r="S1682" s="3">
        <f>IF(M1682&lt;&gt;"",M1682/1.56,"")</f>
        <v/>
      </c>
      <c r="T1682" s="3">
        <f>IF(N1682&lt;&gt;"",N1682,IF(O1682&lt;&gt;"",O1682,IF(L1682&lt;&gt;"",L1682/1.56,IF(M1682&lt;&gt;"",M1682/1.56,""))))</f>
        <v/>
      </c>
      <c r="U1682" s="3" t="n">
        <v>283</v>
      </c>
      <c r="V1682" s="3" t="n"/>
      <c r="W1682" s="3" t="n"/>
      <c r="X1682" s="4" t="n"/>
      <c r="Y1682" s="5" t="n">
        <v>0.348</v>
      </c>
      <c r="Z1682" s="4">
        <f>IF(L1682&lt;&gt;"",SQRT(3)*G1682*L1682/1000,"")</f>
        <v/>
      </c>
      <c r="AA1682" t="inlineStr">
        <is>
          <t>Source=Copeland 2D/3D/4D/4R/6D/8D/9R compressors (pdf) p86</t>
        </is>
      </c>
      <c r="AB1682" t="inlineStr">
        <is>
          <t>Copeland_RLA_230_460_3ph_60Hz.xlsx</t>
        </is>
      </c>
      <c r="AC1682" t="inlineStr">
        <is>
          <t>Recip_2D-9R</t>
        </is>
      </c>
    </row>
    <row r="1683">
      <c r="A1683" t="inlineStr">
        <is>
          <t>COPELAND</t>
        </is>
      </c>
      <c r="B1683" t="inlineStr">
        <is>
          <t>6DP3A350L-FSD</t>
        </is>
      </c>
      <c r="D1683" t="inlineStr">
        <is>
          <t>Reciprocating Semi-hermetic</t>
        </is>
      </c>
      <c r="E1683" s="2" t="n">
        <v>3</v>
      </c>
      <c r="F1683" s="2" t="n">
        <v>60</v>
      </c>
      <c r="G1683" s="2" t="n">
        <v>460</v>
      </c>
      <c r="H1683" t="inlineStr">
        <is>
          <t>460</t>
        </is>
      </c>
      <c r="I1683" s="2" t="n">
        <v>460</v>
      </c>
      <c r="J1683" s="2" t="n">
        <v>460</v>
      </c>
      <c r="L1683" s="3" t="n"/>
      <c r="M1683" s="3" t="n"/>
      <c r="N1683" s="3" t="n">
        <v>62.6</v>
      </c>
      <c r="O1683" s="3" t="n"/>
      <c r="P1683" s="3">
        <f>IF(L1683&lt;&gt;"",L1683/1.4,"")</f>
        <v/>
      </c>
      <c r="Q1683" s="3">
        <f>IF(L1683&lt;&gt;"",L1683/1.56,"")</f>
        <v/>
      </c>
      <c r="R1683" s="3">
        <f>IF(M1683&lt;&gt;"",M1683/1.4,"")</f>
        <v/>
      </c>
      <c r="S1683" s="3">
        <f>IF(M1683&lt;&gt;"",M1683/1.56,"")</f>
        <v/>
      </c>
      <c r="T1683" s="3">
        <f>IF(N1683&lt;&gt;"",N1683,IF(O1683&lt;&gt;"",O1683,IF(L1683&lt;&gt;"",L1683/1.56,IF(M1683&lt;&gt;"",M1683/1.56,""))))</f>
        <v/>
      </c>
      <c r="U1683" s="3" t="n">
        <v>260</v>
      </c>
      <c r="V1683" s="3" t="n">
        <v>156</v>
      </c>
      <c r="W1683" s="3" t="n"/>
      <c r="X1683" s="4" t="n"/>
      <c r="Y1683" s="5" t="n">
        <v>0.39</v>
      </c>
      <c r="Z1683" s="4">
        <f>IF(L1683&lt;&gt;"",SQRT(3)*G1683*L1683/1000,"")</f>
        <v/>
      </c>
      <c r="AA1683" t="inlineStr">
        <is>
          <t>Source=Copeland 2D/3D/4D/4R/6D/8D/9R compressors (pdf) p86; PWS_RLA=31.3</t>
        </is>
      </c>
      <c r="AB1683" t="inlineStr">
        <is>
          <t>Copeland_RLA_230_460_3ph_60Hz.xlsx</t>
        </is>
      </c>
      <c r="AC1683" t="inlineStr">
        <is>
          <t>Recip_2D-9R</t>
        </is>
      </c>
    </row>
    <row r="1684">
      <c r="A1684" t="inlineStr">
        <is>
          <t>COPELAND</t>
        </is>
      </c>
      <c r="B1684" t="inlineStr">
        <is>
          <t>6DP3A350L-TSK</t>
        </is>
      </c>
      <c r="D1684" t="inlineStr">
        <is>
          <t>Reciprocating Semi-hermetic</t>
        </is>
      </c>
      <c r="E1684" s="2" t="n">
        <v>3</v>
      </c>
      <c r="F1684" s="2" t="n">
        <v>60</v>
      </c>
      <c r="G1684" s="2" t="n">
        <v>230</v>
      </c>
      <c r="H1684" t="inlineStr">
        <is>
          <t>208/230</t>
        </is>
      </c>
      <c r="I1684" s="2" t="n">
        <v>208</v>
      </c>
      <c r="J1684" s="2" t="n">
        <v>230</v>
      </c>
      <c r="L1684" s="3" t="n"/>
      <c r="M1684" s="3" t="n"/>
      <c r="N1684" s="3" t="n">
        <v>147.1</v>
      </c>
      <c r="O1684" s="3" t="n"/>
      <c r="P1684" s="3">
        <f>IF(L1684&lt;&gt;"",L1684/1.4,"")</f>
        <v/>
      </c>
      <c r="Q1684" s="3">
        <f>IF(L1684&lt;&gt;"",L1684/1.56,"")</f>
        <v/>
      </c>
      <c r="R1684" s="3">
        <f>IF(M1684&lt;&gt;"",M1684/1.4,"")</f>
        <v/>
      </c>
      <c r="S1684" s="3">
        <f>IF(M1684&lt;&gt;"",M1684/1.56,"")</f>
        <v/>
      </c>
      <c r="T1684" s="3">
        <f>IF(N1684&lt;&gt;"",N1684,IF(O1684&lt;&gt;"",O1684,IF(L1684&lt;&gt;"",L1684/1.56,IF(M1684&lt;&gt;"",M1684/1.56,""))))</f>
        <v/>
      </c>
      <c r="U1684" s="3" t="n">
        <v>565</v>
      </c>
      <c r="V1684" s="3" t="n">
        <v>340</v>
      </c>
      <c r="W1684" s="3" t="n"/>
      <c r="X1684" s="4" t="n"/>
      <c r="Y1684" s="5" t="n">
        <v>0.08699999999999999</v>
      </c>
      <c r="Z1684" s="4">
        <f>IF(L1684&lt;&gt;"",SQRT(3)*G1684*L1684/1000,"")</f>
        <v/>
      </c>
      <c r="AA1684" t="inlineStr">
        <is>
          <t>Source=Copeland 2D/3D/4D/4R/6D/8D/9R compressors (pdf) p86; PWS_RLA=62.6</t>
        </is>
      </c>
      <c r="AB1684" t="inlineStr">
        <is>
          <t>Copeland_RLA_230_460_3ph_60Hz.xlsx</t>
        </is>
      </c>
      <c r="AC1684" t="inlineStr">
        <is>
          <t>Recip_2D-9R</t>
        </is>
      </c>
    </row>
    <row r="1685">
      <c r="A1685" t="inlineStr">
        <is>
          <t>COPELAND</t>
        </is>
      </c>
      <c r="B1685" t="inlineStr">
        <is>
          <t>6DP3A350L-TSK</t>
        </is>
      </c>
      <c r="D1685" t="inlineStr">
        <is>
          <t>Reciprocating Semi-hermetic</t>
        </is>
      </c>
      <c r="E1685" s="2" t="n">
        <v>3</v>
      </c>
      <c r="F1685" s="2" t="n">
        <v>60</v>
      </c>
      <c r="G1685" s="2" t="n">
        <v>460</v>
      </c>
      <c r="H1685" t="inlineStr">
        <is>
          <t>460</t>
        </is>
      </c>
      <c r="I1685" s="2" t="n">
        <v>460</v>
      </c>
      <c r="J1685" s="2" t="n">
        <v>460</v>
      </c>
      <c r="L1685" s="3" t="n"/>
      <c r="M1685" s="3" t="n"/>
      <c r="N1685" s="3" t="n">
        <v>73.59999999999999</v>
      </c>
      <c r="O1685" s="3" t="n"/>
      <c r="P1685" s="3">
        <f>IF(L1685&lt;&gt;"",L1685/1.4,"")</f>
        <v/>
      </c>
      <c r="Q1685" s="3">
        <f>IF(L1685&lt;&gt;"",L1685/1.56,"")</f>
        <v/>
      </c>
      <c r="R1685" s="3">
        <f>IF(M1685&lt;&gt;"",M1685/1.4,"")</f>
        <v/>
      </c>
      <c r="S1685" s="3">
        <f>IF(M1685&lt;&gt;"",M1685/1.56,"")</f>
        <v/>
      </c>
      <c r="T1685" s="3">
        <f>IF(N1685&lt;&gt;"",N1685,IF(O1685&lt;&gt;"",O1685,IF(L1685&lt;&gt;"",L1685/1.56,IF(M1685&lt;&gt;"",M1685/1.56,""))))</f>
        <v/>
      </c>
      <c r="U1685" s="3" t="n">
        <v>283</v>
      </c>
      <c r="V1685" s="3" t="n"/>
      <c r="W1685" s="3" t="n"/>
      <c r="X1685" s="4" t="n"/>
      <c r="Y1685" s="5" t="n">
        <v>0.348</v>
      </c>
      <c r="Z1685" s="4">
        <f>IF(L1685&lt;&gt;"",SQRT(3)*G1685*L1685/1000,"")</f>
        <v/>
      </c>
      <c r="AA1685" t="inlineStr">
        <is>
          <t>Source=Copeland 2D/3D/4D/4R/6D/8D/9R compressors (pdf) p86</t>
        </is>
      </c>
      <c r="AB1685" t="inlineStr">
        <is>
          <t>Copeland_RLA_230_460_3ph_60Hz.xlsx</t>
        </is>
      </c>
      <c r="AC1685" t="inlineStr">
        <is>
          <t>Recip_2D-9R</t>
        </is>
      </c>
    </row>
    <row r="1686">
      <c r="A1686" t="inlineStr">
        <is>
          <t>COPELAND</t>
        </is>
      </c>
      <c r="B1686" t="inlineStr">
        <is>
          <t>6DP3F93KE-FSD</t>
        </is>
      </c>
      <c r="D1686" t="inlineStr">
        <is>
          <t>Reciprocating Semi-hermetic</t>
        </is>
      </c>
      <c r="E1686" s="2" t="n">
        <v>3</v>
      </c>
      <c r="F1686" s="2" t="n">
        <v>60</v>
      </c>
      <c r="G1686" s="2" t="n">
        <v>460</v>
      </c>
      <c r="H1686" t="inlineStr">
        <is>
          <t>460</t>
        </is>
      </c>
      <c r="I1686" s="2" t="n">
        <v>460</v>
      </c>
      <c r="J1686" s="2" t="n">
        <v>460</v>
      </c>
      <c r="L1686" s="3" t="n"/>
      <c r="M1686" s="3" t="n"/>
      <c r="N1686" s="3" t="n">
        <v>44.6</v>
      </c>
      <c r="O1686" s="3" t="n"/>
      <c r="P1686" s="3">
        <f>IF(L1686&lt;&gt;"",L1686/1.4,"")</f>
        <v/>
      </c>
      <c r="Q1686" s="3">
        <f>IF(L1686&lt;&gt;"",L1686/1.56,"")</f>
        <v/>
      </c>
      <c r="R1686" s="3">
        <f>IF(M1686&lt;&gt;"",M1686/1.4,"")</f>
        <v/>
      </c>
      <c r="S1686" s="3">
        <f>IF(M1686&lt;&gt;"",M1686/1.56,"")</f>
        <v/>
      </c>
      <c r="T1686" s="3">
        <f>IF(N1686&lt;&gt;"",N1686,IF(O1686&lt;&gt;"",O1686,IF(L1686&lt;&gt;"",L1686/1.56,IF(M1686&lt;&gt;"",M1686/1.56,""))))</f>
        <v/>
      </c>
      <c r="U1686" s="3" t="n">
        <v>218</v>
      </c>
      <c r="V1686" s="3" t="n">
        <v>131</v>
      </c>
      <c r="W1686" s="3" t="n"/>
      <c r="X1686" s="4" t="n"/>
      <c r="Y1686" s="5" t="n">
        <v>0.457</v>
      </c>
      <c r="Z1686" s="4">
        <f>IF(L1686&lt;&gt;"",SQRT(3)*G1686*L1686/1000,"")</f>
        <v/>
      </c>
      <c r="AA1686" t="inlineStr">
        <is>
          <t>Source=Copeland 2D/3D/4D/4R/6D/8D/9R compressors (pdf) p86; PWS_RLA=22.3</t>
        </is>
      </c>
      <c r="AB1686" t="inlineStr">
        <is>
          <t>Copeland_RLA_230_460_3ph_60Hz.xlsx</t>
        </is>
      </c>
      <c r="AC1686" t="inlineStr">
        <is>
          <t>Recip_2D-9R</t>
        </is>
      </c>
    </row>
    <row r="1687">
      <c r="A1687" t="inlineStr">
        <is>
          <t>COPELAND</t>
        </is>
      </c>
      <c r="B1687" t="inlineStr">
        <is>
          <t>6DP3F93KE-TSK</t>
        </is>
      </c>
      <c r="D1687" t="inlineStr">
        <is>
          <t>Reciprocating Semi-hermetic</t>
        </is>
      </c>
      <c r="E1687" s="2" t="n">
        <v>3</v>
      </c>
      <c r="F1687" s="2" t="n">
        <v>60</v>
      </c>
      <c r="G1687" s="2" t="n">
        <v>230</v>
      </c>
      <c r="H1687" t="inlineStr">
        <is>
          <t>208/230</t>
        </is>
      </c>
      <c r="I1687" s="2" t="n">
        <v>208</v>
      </c>
      <c r="J1687" s="2" t="n">
        <v>230</v>
      </c>
      <c r="L1687" s="3" t="n"/>
      <c r="M1687" s="3" t="n"/>
      <c r="N1687" s="3" t="n">
        <v>80.7</v>
      </c>
      <c r="O1687" s="3" t="n"/>
      <c r="P1687" s="3">
        <f>IF(L1687&lt;&gt;"",L1687/1.4,"")</f>
        <v/>
      </c>
      <c r="Q1687" s="3">
        <f>IF(L1687&lt;&gt;"",L1687/1.56,"")</f>
        <v/>
      </c>
      <c r="R1687" s="3">
        <f>IF(M1687&lt;&gt;"",M1687/1.4,"")</f>
        <v/>
      </c>
      <c r="S1687" s="3">
        <f>IF(M1687&lt;&gt;"",M1687/1.56,"")</f>
        <v/>
      </c>
      <c r="T1687" s="3">
        <f>IF(N1687&lt;&gt;"",N1687,IF(O1687&lt;&gt;"",O1687,IF(L1687&lt;&gt;"",L1687/1.56,IF(M1687&lt;&gt;"",M1687/1.56,""))))</f>
        <v/>
      </c>
      <c r="U1687" s="3" t="n">
        <v>450</v>
      </c>
      <c r="V1687" s="3" t="n">
        <v>263</v>
      </c>
      <c r="W1687" s="3" t="n"/>
      <c r="X1687" s="4" t="n"/>
      <c r="Y1687" s="5" t="n">
        <v>0.114</v>
      </c>
      <c r="Z1687" s="4">
        <f>IF(L1687&lt;&gt;"",SQRT(3)*G1687*L1687/1000,"")</f>
        <v/>
      </c>
      <c r="AA1687" t="inlineStr">
        <is>
          <t>Source=Copeland 2D/3D/4D/4R/6D/8D/9R compressors (pdf) p86; PWS_RLA=40.4</t>
        </is>
      </c>
      <c r="AB1687" t="inlineStr">
        <is>
          <t>Copeland_RLA_230_460_3ph_60Hz.xlsx</t>
        </is>
      </c>
      <c r="AC1687" t="inlineStr">
        <is>
          <t>Recip_2D-9R</t>
        </is>
      </c>
    </row>
    <row r="1688">
      <c r="A1688" t="inlineStr">
        <is>
          <t>COPELAND</t>
        </is>
      </c>
      <c r="B1688" t="inlineStr">
        <is>
          <t>6DP3F93KE-TSK</t>
        </is>
      </c>
      <c r="D1688" t="inlineStr">
        <is>
          <t>Reciprocating Semi-hermetic</t>
        </is>
      </c>
      <c r="E1688" s="2" t="n">
        <v>3</v>
      </c>
      <c r="F1688" s="2" t="n">
        <v>60</v>
      </c>
      <c r="G1688" s="2" t="n">
        <v>460</v>
      </c>
      <c r="H1688" t="inlineStr">
        <is>
          <t>460</t>
        </is>
      </c>
      <c r="I1688" s="2" t="n">
        <v>460</v>
      </c>
      <c r="J1688" s="2" t="n">
        <v>460</v>
      </c>
      <c r="L1688" s="3" t="n"/>
      <c r="M1688" s="3" t="n"/>
      <c r="N1688" s="3" t="n">
        <v>40.4</v>
      </c>
      <c r="O1688" s="3" t="n"/>
      <c r="P1688" s="3">
        <f>IF(L1688&lt;&gt;"",L1688/1.4,"")</f>
        <v/>
      </c>
      <c r="Q1688" s="3">
        <f>IF(L1688&lt;&gt;"",L1688/1.56,"")</f>
        <v/>
      </c>
      <c r="R1688" s="3">
        <f>IF(M1688&lt;&gt;"",M1688/1.4,"")</f>
        <v/>
      </c>
      <c r="S1688" s="3">
        <f>IF(M1688&lt;&gt;"",M1688/1.56,"")</f>
        <v/>
      </c>
      <c r="T1688" s="3">
        <f>IF(N1688&lt;&gt;"",N1688,IF(O1688&lt;&gt;"",O1688,IF(L1688&lt;&gt;"",L1688/1.56,IF(M1688&lt;&gt;"",M1688/1.56,""))))</f>
        <v/>
      </c>
      <c r="U1688" s="3" t="n">
        <v>225</v>
      </c>
      <c r="V1688" s="3" t="n"/>
      <c r="W1688" s="3" t="n"/>
      <c r="X1688" s="4" t="n"/>
      <c r="Y1688" s="5" t="n">
        <v>0.456</v>
      </c>
      <c r="Z1688" s="4">
        <f>IF(L1688&lt;&gt;"",SQRT(3)*G1688*L1688/1000,"")</f>
        <v/>
      </c>
      <c r="AA1688" t="inlineStr">
        <is>
          <t>Source=Copeland 2D/3D/4D/4R/6D/8D/9R compressors (pdf) p86</t>
        </is>
      </c>
      <c r="AB1688" t="inlineStr">
        <is>
          <t>Copeland_RLA_230_460_3ph_60Hz.xlsx</t>
        </is>
      </c>
      <c r="AC1688" t="inlineStr">
        <is>
          <t>Recip_2D-9R</t>
        </is>
      </c>
    </row>
    <row r="1689">
      <c r="A1689" t="inlineStr">
        <is>
          <t>COPELAND</t>
        </is>
      </c>
      <c r="B1689" t="inlineStr">
        <is>
          <t>6DP3F93KL-FSD</t>
        </is>
      </c>
      <c r="D1689" t="inlineStr">
        <is>
          <t>Reciprocating Semi-hermetic</t>
        </is>
      </c>
      <c r="E1689" s="2" t="n">
        <v>3</v>
      </c>
      <c r="F1689" s="2" t="n">
        <v>60</v>
      </c>
      <c r="G1689" s="2" t="n">
        <v>460</v>
      </c>
      <c r="H1689" t="inlineStr">
        <is>
          <t>460</t>
        </is>
      </c>
      <c r="I1689" s="2" t="n">
        <v>460</v>
      </c>
      <c r="J1689" s="2" t="n">
        <v>460</v>
      </c>
      <c r="L1689" s="3" t="n"/>
      <c r="M1689" s="3" t="n"/>
      <c r="N1689" s="3" t="n">
        <v>44.6</v>
      </c>
      <c r="O1689" s="3" t="n"/>
      <c r="P1689" s="3">
        <f>IF(L1689&lt;&gt;"",L1689/1.4,"")</f>
        <v/>
      </c>
      <c r="Q1689" s="3">
        <f>IF(L1689&lt;&gt;"",L1689/1.56,"")</f>
        <v/>
      </c>
      <c r="R1689" s="3">
        <f>IF(M1689&lt;&gt;"",M1689/1.4,"")</f>
        <v/>
      </c>
      <c r="S1689" s="3">
        <f>IF(M1689&lt;&gt;"",M1689/1.56,"")</f>
        <v/>
      </c>
      <c r="T1689" s="3">
        <f>IF(N1689&lt;&gt;"",N1689,IF(O1689&lt;&gt;"",O1689,IF(L1689&lt;&gt;"",L1689/1.56,IF(M1689&lt;&gt;"",M1689/1.56,""))))</f>
        <v/>
      </c>
      <c r="U1689" s="3" t="n">
        <v>218</v>
      </c>
      <c r="V1689" s="3" t="n">
        <v>131</v>
      </c>
      <c r="W1689" s="3" t="n"/>
      <c r="X1689" s="4" t="n"/>
      <c r="Y1689" s="5" t="n">
        <v>0.457</v>
      </c>
      <c r="Z1689" s="4">
        <f>IF(L1689&lt;&gt;"",SQRT(3)*G1689*L1689/1000,"")</f>
        <v/>
      </c>
      <c r="AA1689" t="inlineStr">
        <is>
          <t>Source=Copeland 2D/3D/4D/4R/6D/8D/9R compressors (pdf) p86; PWS_RLA=22.3</t>
        </is>
      </c>
      <c r="AB1689" t="inlineStr">
        <is>
          <t>Copeland_RLA_230_460_3ph_60Hz.xlsx</t>
        </is>
      </c>
      <c r="AC1689" t="inlineStr">
        <is>
          <t>Recip_2D-9R</t>
        </is>
      </c>
    </row>
    <row r="1690">
      <c r="A1690" t="inlineStr">
        <is>
          <t>COPELAND</t>
        </is>
      </c>
      <c r="B1690" t="inlineStr">
        <is>
          <t>6DP3F93KL-TSK</t>
        </is>
      </c>
      <c r="D1690" t="inlineStr">
        <is>
          <t>Reciprocating Semi-hermetic</t>
        </is>
      </c>
      <c r="E1690" s="2" t="n">
        <v>3</v>
      </c>
      <c r="F1690" s="2" t="n">
        <v>60</v>
      </c>
      <c r="G1690" s="2" t="n">
        <v>230</v>
      </c>
      <c r="H1690" t="inlineStr">
        <is>
          <t>208/230</t>
        </is>
      </c>
      <c r="I1690" s="2" t="n">
        <v>208</v>
      </c>
      <c r="J1690" s="2" t="n">
        <v>230</v>
      </c>
      <c r="L1690" s="3" t="n"/>
      <c r="M1690" s="3" t="n"/>
      <c r="N1690" s="3" t="n">
        <v>80.7</v>
      </c>
      <c r="O1690" s="3" t="n"/>
      <c r="P1690" s="3">
        <f>IF(L1690&lt;&gt;"",L1690/1.4,"")</f>
        <v/>
      </c>
      <c r="Q1690" s="3">
        <f>IF(L1690&lt;&gt;"",L1690/1.56,"")</f>
        <v/>
      </c>
      <c r="R1690" s="3">
        <f>IF(M1690&lt;&gt;"",M1690/1.4,"")</f>
        <v/>
      </c>
      <c r="S1690" s="3">
        <f>IF(M1690&lt;&gt;"",M1690/1.56,"")</f>
        <v/>
      </c>
      <c r="T1690" s="3">
        <f>IF(N1690&lt;&gt;"",N1690,IF(O1690&lt;&gt;"",O1690,IF(L1690&lt;&gt;"",L1690/1.56,IF(M1690&lt;&gt;"",M1690/1.56,""))))</f>
        <v/>
      </c>
      <c r="U1690" s="3" t="n">
        <v>450</v>
      </c>
      <c r="V1690" s="3" t="n">
        <v>263</v>
      </c>
      <c r="W1690" s="3" t="n"/>
      <c r="X1690" s="4" t="n"/>
      <c r="Y1690" s="5" t="n">
        <v>0.114</v>
      </c>
      <c r="Z1690" s="4">
        <f>IF(L1690&lt;&gt;"",SQRT(3)*G1690*L1690/1000,"")</f>
        <v/>
      </c>
      <c r="AA1690" t="inlineStr">
        <is>
          <t>Source=Copeland 2D/3D/4D/4R/6D/8D/9R compressors (pdf) p87; PWS_RLA=40.4</t>
        </is>
      </c>
      <c r="AB1690" t="inlineStr">
        <is>
          <t>Copeland_RLA_230_460_3ph_60Hz.xlsx</t>
        </is>
      </c>
      <c r="AC1690" t="inlineStr">
        <is>
          <t>Recip_2D-9R</t>
        </is>
      </c>
    </row>
    <row r="1691">
      <c r="A1691" t="inlineStr">
        <is>
          <t>COPELAND</t>
        </is>
      </c>
      <c r="B1691" t="inlineStr">
        <is>
          <t>6DP3F93KL-TSK</t>
        </is>
      </c>
      <c r="D1691" t="inlineStr">
        <is>
          <t>Reciprocating Semi-hermetic</t>
        </is>
      </c>
      <c r="E1691" s="2" t="n">
        <v>3</v>
      </c>
      <c r="F1691" s="2" t="n">
        <v>60</v>
      </c>
      <c r="G1691" s="2" t="n">
        <v>460</v>
      </c>
      <c r="H1691" t="inlineStr">
        <is>
          <t>460</t>
        </is>
      </c>
      <c r="I1691" s="2" t="n">
        <v>460</v>
      </c>
      <c r="J1691" s="2" t="n">
        <v>460</v>
      </c>
      <c r="L1691" s="3" t="n"/>
      <c r="M1691" s="3" t="n"/>
      <c r="N1691" s="3" t="n">
        <v>40.4</v>
      </c>
      <c r="O1691" s="3" t="n"/>
      <c r="P1691" s="3">
        <f>IF(L1691&lt;&gt;"",L1691/1.4,"")</f>
        <v/>
      </c>
      <c r="Q1691" s="3">
        <f>IF(L1691&lt;&gt;"",L1691/1.56,"")</f>
        <v/>
      </c>
      <c r="R1691" s="3">
        <f>IF(M1691&lt;&gt;"",M1691/1.4,"")</f>
        <v/>
      </c>
      <c r="S1691" s="3">
        <f>IF(M1691&lt;&gt;"",M1691/1.56,"")</f>
        <v/>
      </c>
      <c r="T1691" s="3">
        <f>IF(N1691&lt;&gt;"",N1691,IF(O1691&lt;&gt;"",O1691,IF(L1691&lt;&gt;"",L1691/1.56,IF(M1691&lt;&gt;"",M1691/1.56,""))))</f>
        <v/>
      </c>
      <c r="U1691" s="3" t="n">
        <v>225</v>
      </c>
      <c r="V1691" s="3" t="n"/>
      <c r="W1691" s="3" t="n"/>
      <c r="X1691" s="4" t="n"/>
      <c r="Y1691" s="5" t="n">
        <v>0.456</v>
      </c>
      <c r="Z1691" s="4">
        <f>IF(L1691&lt;&gt;"",SQRT(3)*G1691*L1691/1000,"")</f>
        <v/>
      </c>
      <c r="AA1691" t="inlineStr">
        <is>
          <t>Source=Copeland 2D/3D/4D/4R/6D/8D/9R compressors (pdf) p87</t>
        </is>
      </c>
      <c r="AB1691" t="inlineStr">
        <is>
          <t>Copeland_RLA_230_460_3ph_60Hz.xlsx</t>
        </is>
      </c>
      <c r="AC1691" t="inlineStr">
        <is>
          <t>Recip_2D-9R</t>
        </is>
      </c>
    </row>
    <row r="1692">
      <c r="A1692" t="inlineStr">
        <is>
          <t>COPELAND</t>
        </is>
      </c>
      <c r="B1692" t="inlineStr">
        <is>
          <t>6DP3R23ME-TSK</t>
        </is>
      </c>
      <c r="D1692" t="inlineStr">
        <is>
          <t>Reciprocating Semi-hermetic</t>
        </is>
      </c>
      <c r="E1692" s="2" t="n">
        <v>3</v>
      </c>
      <c r="F1692" s="2" t="n">
        <v>60</v>
      </c>
      <c r="G1692" s="2" t="n">
        <v>230</v>
      </c>
      <c r="H1692" t="inlineStr">
        <is>
          <t>208/230</t>
        </is>
      </c>
      <c r="I1692" s="2" t="n">
        <v>208</v>
      </c>
      <c r="J1692" s="2" t="n">
        <v>230</v>
      </c>
      <c r="L1692" s="3" t="n"/>
      <c r="M1692" s="3" t="n"/>
      <c r="N1692" s="3" t="n">
        <v>75</v>
      </c>
      <c r="O1692" s="3" t="n"/>
      <c r="P1692" s="3">
        <f>IF(L1692&lt;&gt;"",L1692/1.4,"")</f>
        <v/>
      </c>
      <c r="Q1692" s="3">
        <f>IF(L1692&lt;&gt;"",L1692/1.56,"")</f>
        <v/>
      </c>
      <c r="R1692" s="3">
        <f>IF(M1692&lt;&gt;"",M1692/1.4,"")</f>
        <v/>
      </c>
      <c r="S1692" s="3">
        <f>IF(M1692&lt;&gt;"",M1692/1.56,"")</f>
        <v/>
      </c>
      <c r="T1692" s="3">
        <f>IF(N1692&lt;&gt;"",N1692,IF(O1692&lt;&gt;"",O1692,IF(L1692&lt;&gt;"",L1692/1.56,IF(M1692&lt;&gt;"",M1692/1.56,""))))</f>
        <v/>
      </c>
      <c r="U1692" s="3" t="n">
        <v>346</v>
      </c>
      <c r="V1692" s="3" t="n">
        <v>208</v>
      </c>
      <c r="W1692" s="3" t="n"/>
      <c r="X1692" s="4" t="n"/>
      <c r="Y1692" s="5" t="n">
        <v>0.142</v>
      </c>
      <c r="Z1692" s="4">
        <f>IF(L1692&lt;&gt;"",SQRT(3)*G1692*L1692/1000,"")</f>
        <v/>
      </c>
      <c r="AA1692" t="inlineStr">
        <is>
          <t>Source=Copeland 2D/3D/4D/4R/6D/8D/9R compressors (pdf) p87; PWS_RLA=37.5</t>
        </is>
      </c>
      <c r="AB1692" t="inlineStr">
        <is>
          <t>Copeland_RLA_230_460_3ph_60Hz.xlsx</t>
        </is>
      </c>
      <c r="AC1692" t="inlineStr">
        <is>
          <t>Recip_2D-9R</t>
        </is>
      </c>
    </row>
    <row r="1693">
      <c r="A1693" t="inlineStr">
        <is>
          <t>COPELAND</t>
        </is>
      </c>
      <c r="B1693" t="inlineStr">
        <is>
          <t>6DP3R23ME-TSK</t>
        </is>
      </c>
      <c r="D1693" t="inlineStr">
        <is>
          <t>Reciprocating Semi-hermetic</t>
        </is>
      </c>
      <c r="E1693" s="2" t="n">
        <v>3</v>
      </c>
      <c r="F1693" s="2" t="n">
        <v>60</v>
      </c>
      <c r="G1693" s="2" t="n">
        <v>460</v>
      </c>
      <c r="H1693" t="inlineStr">
        <is>
          <t>460</t>
        </is>
      </c>
      <c r="I1693" s="2" t="n">
        <v>460</v>
      </c>
      <c r="J1693" s="2" t="n">
        <v>460</v>
      </c>
      <c r="L1693" s="3" t="n"/>
      <c r="M1693" s="3" t="n"/>
      <c r="N1693" s="3" t="n">
        <v>37.5</v>
      </c>
      <c r="O1693" s="3" t="n"/>
      <c r="P1693" s="3">
        <f>IF(L1693&lt;&gt;"",L1693/1.4,"")</f>
        <v/>
      </c>
      <c r="Q1693" s="3">
        <f>IF(L1693&lt;&gt;"",L1693/1.56,"")</f>
        <v/>
      </c>
      <c r="R1693" s="3">
        <f>IF(M1693&lt;&gt;"",M1693/1.4,"")</f>
        <v/>
      </c>
      <c r="S1693" s="3">
        <f>IF(M1693&lt;&gt;"",M1693/1.56,"")</f>
        <v/>
      </c>
      <c r="T1693" s="3">
        <f>IF(N1693&lt;&gt;"",N1693,IF(O1693&lt;&gt;"",O1693,IF(L1693&lt;&gt;"",L1693/1.56,IF(M1693&lt;&gt;"",M1693/1.56,""))))</f>
        <v/>
      </c>
      <c r="U1693" s="3" t="n">
        <v>173</v>
      </c>
      <c r="V1693" s="3" t="n"/>
      <c r="W1693" s="3" t="n"/>
      <c r="X1693" s="4" t="n"/>
      <c r="Y1693" s="5" t="n">
        <v>0.5679999999999999</v>
      </c>
      <c r="Z1693" s="4">
        <f>IF(L1693&lt;&gt;"",SQRT(3)*G1693*L1693/1000,"")</f>
        <v/>
      </c>
      <c r="AA1693" t="inlineStr">
        <is>
          <t>Source=Copeland 2D/3D/4D/4R/6D/8D/9R compressors (pdf) p87</t>
        </is>
      </c>
      <c r="AB1693" t="inlineStr">
        <is>
          <t>Copeland_RLA_230_460_3ph_60Hz.xlsx</t>
        </is>
      </c>
      <c r="AC1693" t="inlineStr">
        <is>
          <t>Recip_2D-9R</t>
        </is>
      </c>
    </row>
    <row r="1694">
      <c r="A1694" t="inlineStr">
        <is>
          <t>COPELAND</t>
        </is>
      </c>
      <c r="B1694" t="inlineStr">
        <is>
          <t>6DP3R23ME-TXK</t>
        </is>
      </c>
      <c r="D1694" t="inlineStr">
        <is>
          <t>Reciprocating Semi-hermetic</t>
        </is>
      </c>
      <c r="E1694" s="2" t="n">
        <v>3</v>
      </c>
      <c r="F1694" s="2" t="n">
        <v>60</v>
      </c>
      <c r="G1694" s="2" t="n">
        <v>230</v>
      </c>
      <c r="H1694" t="inlineStr">
        <is>
          <t>208/230</t>
        </is>
      </c>
      <c r="I1694" s="2" t="n">
        <v>208</v>
      </c>
      <c r="J1694" s="2" t="n">
        <v>230</v>
      </c>
      <c r="L1694" s="3" t="n"/>
      <c r="M1694" s="3" t="n"/>
      <c r="N1694" s="3" t="n"/>
      <c r="O1694" s="3" t="n"/>
      <c r="P1694" s="3">
        <f>IF(L1694&lt;&gt;"",L1694/1.4,"")</f>
        <v/>
      </c>
      <c r="Q1694" s="3">
        <f>IF(L1694&lt;&gt;"",L1694/1.56,"")</f>
        <v/>
      </c>
      <c r="R1694" s="3">
        <f>IF(M1694&lt;&gt;"",M1694/1.4,"")</f>
        <v/>
      </c>
      <c r="S1694" s="3">
        <f>IF(M1694&lt;&gt;"",M1694/1.56,"")</f>
        <v/>
      </c>
      <c r="T1694" s="3">
        <f>IF(N1694&lt;&gt;"",N1694,IF(O1694&lt;&gt;"",O1694,IF(L1694&lt;&gt;"",L1694/1.56,IF(M1694&lt;&gt;"",M1694/1.56,""))))</f>
        <v/>
      </c>
      <c r="U1694" s="3" t="n">
        <v>346</v>
      </c>
      <c r="V1694" s="3" t="n">
        <v>208</v>
      </c>
      <c r="W1694" s="3" t="n"/>
      <c r="X1694" s="4" t="n"/>
      <c r="Y1694" s="5" t="n">
        <v>0.142</v>
      </c>
      <c r="Z1694" s="4">
        <f>IF(L1694&lt;&gt;"",SQRT(3)*G1694*L1694/1000,"")</f>
        <v/>
      </c>
      <c r="AA1694" t="inlineStr">
        <is>
          <t>Source=Copeland 2D/3D/4D/4R/6D/8D/9R compressors (pdf) p87</t>
        </is>
      </c>
      <c r="AB1694" t="inlineStr">
        <is>
          <t>Copeland_RLA_230_460_3ph_60Hz.xlsx</t>
        </is>
      </c>
      <c r="AC1694" t="inlineStr">
        <is>
          <t>Recip_2D-9R</t>
        </is>
      </c>
    </row>
    <row r="1695">
      <c r="A1695" t="inlineStr">
        <is>
          <t>COPELAND</t>
        </is>
      </c>
      <c r="B1695" t="inlineStr">
        <is>
          <t>6DP3R23ME-TXK</t>
        </is>
      </c>
      <c r="D1695" t="inlineStr">
        <is>
          <t>Reciprocating Semi-hermetic</t>
        </is>
      </c>
      <c r="E1695" s="2" t="n">
        <v>3</v>
      </c>
      <c r="F1695" s="2" t="n">
        <v>60</v>
      </c>
      <c r="G1695" s="2" t="n">
        <v>460</v>
      </c>
      <c r="H1695" t="inlineStr">
        <is>
          <t>460</t>
        </is>
      </c>
      <c r="I1695" s="2" t="n">
        <v>460</v>
      </c>
      <c r="J1695" s="2" t="n">
        <v>460</v>
      </c>
      <c r="L1695" s="3" t="n"/>
      <c r="M1695" s="3" t="n"/>
      <c r="N1695" s="3" t="n"/>
      <c r="O1695" s="3" t="n"/>
      <c r="P1695" s="3">
        <f>IF(L1695&lt;&gt;"",L1695/1.4,"")</f>
        <v/>
      </c>
      <c r="Q1695" s="3">
        <f>IF(L1695&lt;&gt;"",L1695/1.56,"")</f>
        <v/>
      </c>
      <c r="R1695" s="3">
        <f>IF(M1695&lt;&gt;"",M1695/1.4,"")</f>
        <v/>
      </c>
      <c r="S1695" s="3">
        <f>IF(M1695&lt;&gt;"",M1695/1.56,"")</f>
        <v/>
      </c>
      <c r="T1695" s="3">
        <f>IF(N1695&lt;&gt;"",N1695,IF(O1695&lt;&gt;"",O1695,IF(L1695&lt;&gt;"",L1695/1.56,IF(M1695&lt;&gt;"",M1695/1.56,""))))</f>
        <v/>
      </c>
      <c r="U1695" s="3" t="n">
        <v>173</v>
      </c>
      <c r="V1695" s="3" t="n"/>
      <c r="W1695" s="3" t="n"/>
      <c r="X1695" s="4" t="n"/>
      <c r="Y1695" s="5" t="n">
        <v>0.5679999999999999</v>
      </c>
      <c r="Z1695" s="4">
        <f>IF(L1695&lt;&gt;"",SQRT(3)*G1695*L1695/1000,"")</f>
        <v/>
      </c>
      <c r="AA1695" t="inlineStr">
        <is>
          <t>Source=Copeland 2D/3D/4D/4R/6D/8D/9R compressors (pdf) p87</t>
        </is>
      </c>
      <c r="AB1695" t="inlineStr">
        <is>
          <t>Copeland_RLA_230_460_3ph_60Hz.xlsx</t>
        </is>
      </c>
      <c r="AC1695" t="inlineStr">
        <is>
          <t>Recip_2D-9R</t>
        </is>
      </c>
    </row>
    <row r="1696">
      <c r="A1696" t="inlineStr">
        <is>
          <t>COPELAND</t>
        </is>
      </c>
      <c r="B1696" t="inlineStr">
        <is>
          <t>6DP3R35M0-FSD</t>
        </is>
      </c>
      <c r="D1696" t="inlineStr">
        <is>
          <t>Reciprocating Semi-hermetic</t>
        </is>
      </c>
      <c r="E1696" s="2" t="n">
        <v>3</v>
      </c>
      <c r="F1696" s="2" t="n">
        <v>60</v>
      </c>
      <c r="G1696" s="2" t="n">
        <v>460</v>
      </c>
      <c r="H1696" t="inlineStr">
        <is>
          <t>460</t>
        </is>
      </c>
      <c r="I1696" s="2" t="n">
        <v>460</v>
      </c>
      <c r="J1696" s="2" t="n">
        <v>460</v>
      </c>
      <c r="L1696" s="3" t="n"/>
      <c r="M1696" s="3" t="n"/>
      <c r="N1696" s="3" t="n">
        <v>62.6</v>
      </c>
      <c r="O1696" s="3" t="n"/>
      <c r="P1696" s="3">
        <f>IF(L1696&lt;&gt;"",L1696/1.4,"")</f>
        <v/>
      </c>
      <c r="Q1696" s="3">
        <f>IF(L1696&lt;&gt;"",L1696/1.56,"")</f>
        <v/>
      </c>
      <c r="R1696" s="3">
        <f>IF(M1696&lt;&gt;"",M1696/1.4,"")</f>
        <v/>
      </c>
      <c r="S1696" s="3">
        <f>IF(M1696&lt;&gt;"",M1696/1.56,"")</f>
        <v/>
      </c>
      <c r="T1696" s="3">
        <f>IF(N1696&lt;&gt;"",N1696,IF(O1696&lt;&gt;"",O1696,IF(L1696&lt;&gt;"",L1696/1.56,IF(M1696&lt;&gt;"",M1696/1.56,""))))</f>
        <v/>
      </c>
      <c r="U1696" s="3" t="n">
        <v>260</v>
      </c>
      <c r="V1696" s="3" t="n">
        <v>156</v>
      </c>
      <c r="W1696" s="3" t="n"/>
      <c r="X1696" s="4" t="n"/>
      <c r="Y1696" s="5" t="n">
        <v>0.39</v>
      </c>
      <c r="Z1696" s="4">
        <f>IF(L1696&lt;&gt;"",SQRT(3)*G1696*L1696/1000,"")</f>
        <v/>
      </c>
      <c r="AA1696" t="inlineStr">
        <is>
          <t>Source=Copeland 2D/3D/4D/4R/6D/8D/9R compressors (pdf) p87; PWS_RLA=31.3</t>
        </is>
      </c>
      <c r="AB1696" t="inlineStr">
        <is>
          <t>Copeland_RLA_230_460_3ph_60Hz.xlsx</t>
        </is>
      </c>
      <c r="AC1696" t="inlineStr">
        <is>
          <t>Recip_2D-9R</t>
        </is>
      </c>
    </row>
    <row r="1697">
      <c r="A1697" t="inlineStr">
        <is>
          <t>COPELAND</t>
        </is>
      </c>
      <c r="B1697" t="inlineStr">
        <is>
          <t>6DP3R35M0-TSK</t>
        </is>
      </c>
      <c r="D1697" t="inlineStr">
        <is>
          <t>Reciprocating Semi-hermetic</t>
        </is>
      </c>
      <c r="E1697" s="2" t="n">
        <v>3</v>
      </c>
      <c r="F1697" s="2" t="n">
        <v>60</v>
      </c>
      <c r="G1697" s="2" t="n">
        <v>230</v>
      </c>
      <c r="H1697" t="inlineStr">
        <is>
          <t>208/230</t>
        </is>
      </c>
      <c r="I1697" s="2" t="n">
        <v>208</v>
      </c>
      <c r="J1697" s="2" t="n">
        <v>230</v>
      </c>
      <c r="L1697" s="3" t="n"/>
      <c r="M1697" s="3" t="n"/>
      <c r="N1697" s="3" t="n">
        <v>125.1</v>
      </c>
      <c r="O1697" s="3" t="n"/>
      <c r="P1697" s="3">
        <f>IF(L1697&lt;&gt;"",L1697/1.4,"")</f>
        <v/>
      </c>
      <c r="Q1697" s="3">
        <f>IF(L1697&lt;&gt;"",L1697/1.56,"")</f>
        <v/>
      </c>
      <c r="R1697" s="3">
        <f>IF(M1697&lt;&gt;"",M1697/1.4,"")</f>
        <v/>
      </c>
      <c r="S1697" s="3">
        <f>IF(M1697&lt;&gt;"",M1697/1.56,"")</f>
        <v/>
      </c>
      <c r="T1697" s="3">
        <f>IF(N1697&lt;&gt;"",N1697,IF(O1697&lt;&gt;"",O1697,IF(L1697&lt;&gt;"",L1697/1.56,IF(M1697&lt;&gt;"",M1697/1.56,""))))</f>
        <v/>
      </c>
      <c r="U1697" s="3" t="n">
        <v>565</v>
      </c>
      <c r="V1697" s="3" t="n">
        <v>340</v>
      </c>
      <c r="W1697" s="3" t="n"/>
      <c r="X1697" s="4" t="n"/>
      <c r="Y1697" s="5" t="n">
        <v>0.08699999999999999</v>
      </c>
      <c r="Z1697" s="4">
        <f>IF(L1697&lt;&gt;"",SQRT(3)*G1697*L1697/1000,"")</f>
        <v/>
      </c>
      <c r="AA1697" t="inlineStr">
        <is>
          <t>Source=Copeland 2D/3D/4D/4R/6D/8D/9R compressors (pdf) p87; PWS_RLA=62.6</t>
        </is>
      </c>
      <c r="AB1697" t="inlineStr">
        <is>
          <t>Copeland_RLA_230_460_3ph_60Hz.xlsx</t>
        </is>
      </c>
      <c r="AC1697" t="inlineStr">
        <is>
          <t>Recip_2D-9R</t>
        </is>
      </c>
    </row>
    <row r="1698">
      <c r="A1698" t="inlineStr">
        <is>
          <t>COPELAND</t>
        </is>
      </c>
      <c r="B1698" t="inlineStr">
        <is>
          <t>6DP3R35M0-TSK</t>
        </is>
      </c>
      <c r="D1698" t="inlineStr">
        <is>
          <t>Reciprocating Semi-hermetic</t>
        </is>
      </c>
      <c r="E1698" s="2" t="n">
        <v>3</v>
      </c>
      <c r="F1698" s="2" t="n">
        <v>60</v>
      </c>
      <c r="G1698" s="2" t="n">
        <v>460</v>
      </c>
      <c r="H1698" t="inlineStr">
        <is>
          <t>460</t>
        </is>
      </c>
      <c r="I1698" s="2" t="n">
        <v>460</v>
      </c>
      <c r="J1698" s="2" t="n">
        <v>460</v>
      </c>
      <c r="L1698" s="3" t="n"/>
      <c r="M1698" s="3" t="n"/>
      <c r="N1698" s="3" t="n">
        <v>62.6</v>
      </c>
      <c r="O1698" s="3" t="n"/>
      <c r="P1698" s="3">
        <f>IF(L1698&lt;&gt;"",L1698/1.4,"")</f>
        <v/>
      </c>
      <c r="Q1698" s="3">
        <f>IF(L1698&lt;&gt;"",L1698/1.56,"")</f>
        <v/>
      </c>
      <c r="R1698" s="3">
        <f>IF(M1698&lt;&gt;"",M1698/1.4,"")</f>
        <v/>
      </c>
      <c r="S1698" s="3">
        <f>IF(M1698&lt;&gt;"",M1698/1.56,"")</f>
        <v/>
      </c>
      <c r="T1698" s="3">
        <f>IF(N1698&lt;&gt;"",N1698,IF(O1698&lt;&gt;"",O1698,IF(L1698&lt;&gt;"",L1698/1.56,IF(M1698&lt;&gt;"",M1698/1.56,""))))</f>
        <v/>
      </c>
      <c r="U1698" s="3" t="n">
        <v>283</v>
      </c>
      <c r="V1698" s="3" t="n"/>
      <c r="W1698" s="3" t="n"/>
      <c r="X1698" s="4" t="n"/>
      <c r="Y1698" s="5" t="n">
        <v>0.348</v>
      </c>
      <c r="Z1698" s="4">
        <f>IF(L1698&lt;&gt;"",SQRT(3)*G1698*L1698/1000,"")</f>
        <v/>
      </c>
      <c r="AA1698" t="inlineStr">
        <is>
          <t>Source=Copeland 2D/3D/4D/4R/6D/8D/9R compressors (pdf) p87</t>
        </is>
      </c>
      <c r="AB1698" t="inlineStr">
        <is>
          <t>Copeland_RLA_230_460_3ph_60Hz.xlsx</t>
        </is>
      </c>
      <c r="AC1698" t="inlineStr">
        <is>
          <t>Recip_2D-9R</t>
        </is>
      </c>
    </row>
    <row r="1699">
      <c r="A1699" t="inlineStr">
        <is>
          <t>COPELAND</t>
        </is>
      </c>
      <c r="B1699" t="inlineStr">
        <is>
          <t>6DP3R35ME-FSD</t>
        </is>
      </c>
      <c r="D1699" t="inlineStr">
        <is>
          <t>Reciprocating Semi-hermetic</t>
        </is>
      </c>
      <c r="E1699" s="2" t="n">
        <v>3</v>
      </c>
      <c r="F1699" s="2" t="n">
        <v>60</v>
      </c>
      <c r="G1699" s="2" t="n">
        <v>460</v>
      </c>
      <c r="H1699" t="inlineStr">
        <is>
          <t>460</t>
        </is>
      </c>
      <c r="I1699" s="2" t="n">
        <v>460</v>
      </c>
      <c r="J1699" s="2" t="n">
        <v>460</v>
      </c>
      <c r="L1699" s="3" t="n"/>
      <c r="M1699" s="3" t="n"/>
      <c r="N1699" s="3" t="n">
        <v>79.3</v>
      </c>
      <c r="O1699" s="3" t="n"/>
      <c r="P1699" s="3">
        <f>IF(L1699&lt;&gt;"",L1699/1.4,"")</f>
        <v/>
      </c>
      <c r="Q1699" s="3">
        <f>IF(L1699&lt;&gt;"",L1699/1.56,"")</f>
        <v/>
      </c>
      <c r="R1699" s="3">
        <f>IF(M1699&lt;&gt;"",M1699/1.4,"")</f>
        <v/>
      </c>
      <c r="S1699" s="3">
        <f>IF(M1699&lt;&gt;"",M1699/1.56,"")</f>
        <v/>
      </c>
      <c r="T1699" s="3">
        <f>IF(N1699&lt;&gt;"",N1699,IF(O1699&lt;&gt;"",O1699,IF(L1699&lt;&gt;"",L1699/1.56,IF(M1699&lt;&gt;"",M1699/1.56,""))))</f>
        <v/>
      </c>
      <c r="U1699" s="3" t="n">
        <v>260</v>
      </c>
      <c r="V1699" s="3" t="n">
        <v>156</v>
      </c>
      <c r="W1699" s="3" t="n"/>
      <c r="X1699" s="4" t="n"/>
      <c r="Y1699" s="5" t="n">
        <v>0.39</v>
      </c>
      <c r="Z1699" s="4">
        <f>IF(L1699&lt;&gt;"",SQRT(3)*G1699*L1699/1000,"")</f>
        <v/>
      </c>
      <c r="AA1699" t="inlineStr">
        <is>
          <t>Source=Copeland 2D/3D/4D/4R/6D/8D/9R compressors (pdf) p87; PWS_RLA=39.6</t>
        </is>
      </c>
      <c r="AB1699" t="inlineStr">
        <is>
          <t>Copeland_RLA_230_460_3ph_60Hz.xlsx</t>
        </is>
      </c>
      <c r="AC1699" t="inlineStr">
        <is>
          <t>Recip_2D-9R</t>
        </is>
      </c>
    </row>
    <row r="1700">
      <c r="A1700" t="inlineStr">
        <is>
          <t>COPELAND</t>
        </is>
      </c>
      <c r="B1700" t="inlineStr">
        <is>
          <t>6DP3R35ME-TSK</t>
        </is>
      </c>
      <c r="D1700" t="inlineStr">
        <is>
          <t>Reciprocating Semi-hermetic</t>
        </is>
      </c>
      <c r="E1700" s="2" t="n">
        <v>3</v>
      </c>
      <c r="F1700" s="2" t="n">
        <v>60</v>
      </c>
      <c r="G1700" s="2" t="n">
        <v>230</v>
      </c>
      <c r="H1700" t="inlineStr">
        <is>
          <t>208/230</t>
        </is>
      </c>
      <c r="I1700" s="2" t="n">
        <v>208</v>
      </c>
      <c r="J1700" s="2" t="n">
        <v>230</v>
      </c>
      <c r="L1700" s="3" t="n"/>
      <c r="M1700" s="3" t="n"/>
      <c r="N1700" s="3" t="n">
        <v>147.1</v>
      </c>
      <c r="O1700" s="3" t="n"/>
      <c r="P1700" s="3">
        <f>IF(L1700&lt;&gt;"",L1700/1.4,"")</f>
        <v/>
      </c>
      <c r="Q1700" s="3">
        <f>IF(L1700&lt;&gt;"",L1700/1.56,"")</f>
        <v/>
      </c>
      <c r="R1700" s="3">
        <f>IF(M1700&lt;&gt;"",M1700/1.4,"")</f>
        <v/>
      </c>
      <c r="S1700" s="3">
        <f>IF(M1700&lt;&gt;"",M1700/1.56,"")</f>
        <v/>
      </c>
      <c r="T1700" s="3">
        <f>IF(N1700&lt;&gt;"",N1700,IF(O1700&lt;&gt;"",O1700,IF(L1700&lt;&gt;"",L1700/1.56,IF(M1700&lt;&gt;"",M1700/1.56,""))))</f>
        <v/>
      </c>
      <c r="U1700" s="3" t="n">
        <v>565</v>
      </c>
      <c r="V1700" s="3" t="n">
        <v>340</v>
      </c>
      <c r="W1700" s="3" t="n"/>
      <c r="X1700" s="4" t="n"/>
      <c r="Y1700" s="5" t="n">
        <v>0.08699999999999999</v>
      </c>
      <c r="Z1700" s="4">
        <f>IF(L1700&lt;&gt;"",SQRT(3)*G1700*L1700/1000,"")</f>
        <v/>
      </c>
      <c r="AA1700" t="inlineStr">
        <is>
          <t>Source=Copeland 2D/3D/4D/4R/6D/8D/9R compressors (pdf) p87; PWS_RLA=73.6</t>
        </is>
      </c>
      <c r="AB1700" t="inlineStr">
        <is>
          <t>Copeland_RLA_230_460_3ph_60Hz.xlsx</t>
        </is>
      </c>
      <c r="AC1700" t="inlineStr">
        <is>
          <t>Recip_2D-9R</t>
        </is>
      </c>
    </row>
    <row r="1701">
      <c r="A1701" t="inlineStr">
        <is>
          <t>COPELAND</t>
        </is>
      </c>
      <c r="B1701" t="inlineStr">
        <is>
          <t>6DP3R35ME-TSK</t>
        </is>
      </c>
      <c r="D1701" t="inlineStr">
        <is>
          <t>Reciprocating Semi-hermetic</t>
        </is>
      </c>
      <c r="E1701" s="2" t="n">
        <v>3</v>
      </c>
      <c r="F1701" s="2" t="n">
        <v>60</v>
      </c>
      <c r="G1701" s="2" t="n">
        <v>460</v>
      </c>
      <c r="H1701" t="inlineStr">
        <is>
          <t>460</t>
        </is>
      </c>
      <c r="I1701" s="2" t="n">
        <v>460</v>
      </c>
      <c r="J1701" s="2" t="n">
        <v>460</v>
      </c>
      <c r="L1701" s="3" t="n"/>
      <c r="M1701" s="3" t="n"/>
      <c r="N1701" s="3" t="n">
        <v>73.59999999999999</v>
      </c>
      <c r="O1701" s="3" t="n"/>
      <c r="P1701" s="3">
        <f>IF(L1701&lt;&gt;"",L1701/1.4,"")</f>
        <v/>
      </c>
      <c r="Q1701" s="3">
        <f>IF(L1701&lt;&gt;"",L1701/1.56,"")</f>
        <v/>
      </c>
      <c r="R1701" s="3">
        <f>IF(M1701&lt;&gt;"",M1701/1.4,"")</f>
        <v/>
      </c>
      <c r="S1701" s="3">
        <f>IF(M1701&lt;&gt;"",M1701/1.56,"")</f>
        <v/>
      </c>
      <c r="T1701" s="3">
        <f>IF(N1701&lt;&gt;"",N1701,IF(O1701&lt;&gt;"",O1701,IF(L1701&lt;&gt;"",L1701/1.56,IF(M1701&lt;&gt;"",M1701/1.56,""))))</f>
        <v/>
      </c>
      <c r="U1701" s="3" t="n">
        <v>283</v>
      </c>
      <c r="V1701" s="3" t="n"/>
      <c r="W1701" s="3" t="n"/>
      <c r="X1701" s="4" t="n"/>
      <c r="Y1701" s="5" t="n">
        <v>0.348</v>
      </c>
      <c r="Z1701" s="4">
        <f>IF(L1701&lt;&gt;"",SQRT(3)*G1701*L1701/1000,"")</f>
        <v/>
      </c>
      <c r="AA1701" t="inlineStr">
        <is>
          <t>Source=Copeland 2D/3D/4D/4R/6D/8D/9R compressors (pdf) p87</t>
        </is>
      </c>
      <c r="AB1701" t="inlineStr">
        <is>
          <t>Copeland_RLA_230_460_3ph_60Hz.xlsx</t>
        </is>
      </c>
      <c r="AC1701" t="inlineStr">
        <is>
          <t>Recip_2D-9R</t>
        </is>
      </c>
    </row>
    <row r="1702">
      <c r="A1702" t="inlineStr">
        <is>
          <t>COPELAND</t>
        </is>
      </c>
      <c r="B1702" t="inlineStr">
        <is>
          <t>6DP3R35ML-FSD</t>
        </is>
      </c>
      <c r="D1702" t="inlineStr">
        <is>
          <t>Reciprocating Semi-hermetic</t>
        </is>
      </c>
      <c r="E1702" s="2" t="n">
        <v>3</v>
      </c>
      <c r="F1702" s="2" t="n">
        <v>60</v>
      </c>
      <c r="G1702" s="2" t="n">
        <v>460</v>
      </c>
      <c r="H1702" t="inlineStr">
        <is>
          <t>460</t>
        </is>
      </c>
      <c r="I1702" s="2" t="n">
        <v>460</v>
      </c>
      <c r="J1702" s="2" t="n">
        <v>460</v>
      </c>
      <c r="L1702" s="3" t="n"/>
      <c r="M1702" s="3" t="n"/>
      <c r="N1702" s="3" t="n">
        <v>79.3</v>
      </c>
      <c r="O1702" s="3" t="n"/>
      <c r="P1702" s="3">
        <f>IF(L1702&lt;&gt;"",L1702/1.4,"")</f>
        <v/>
      </c>
      <c r="Q1702" s="3">
        <f>IF(L1702&lt;&gt;"",L1702/1.56,"")</f>
        <v/>
      </c>
      <c r="R1702" s="3">
        <f>IF(M1702&lt;&gt;"",M1702/1.4,"")</f>
        <v/>
      </c>
      <c r="S1702" s="3">
        <f>IF(M1702&lt;&gt;"",M1702/1.56,"")</f>
        <v/>
      </c>
      <c r="T1702" s="3">
        <f>IF(N1702&lt;&gt;"",N1702,IF(O1702&lt;&gt;"",O1702,IF(L1702&lt;&gt;"",L1702/1.56,IF(M1702&lt;&gt;"",M1702/1.56,""))))</f>
        <v/>
      </c>
      <c r="U1702" s="3" t="n">
        <v>260</v>
      </c>
      <c r="V1702" s="3" t="n">
        <v>156</v>
      </c>
      <c r="W1702" s="3" t="n"/>
      <c r="X1702" s="4" t="n"/>
      <c r="Y1702" s="5" t="n">
        <v>0.39</v>
      </c>
      <c r="Z1702" s="4">
        <f>IF(L1702&lt;&gt;"",SQRT(3)*G1702*L1702/1000,"")</f>
        <v/>
      </c>
      <c r="AA1702" t="inlineStr">
        <is>
          <t>Source=Copeland 2D/3D/4D/4R/6D/8D/9R compressors (pdf) p87; PWS_RLA=39.6</t>
        </is>
      </c>
      <c r="AB1702" t="inlineStr">
        <is>
          <t>Copeland_RLA_230_460_3ph_60Hz.xlsx</t>
        </is>
      </c>
      <c r="AC1702" t="inlineStr">
        <is>
          <t>Recip_2D-9R</t>
        </is>
      </c>
    </row>
    <row r="1703">
      <c r="A1703" t="inlineStr">
        <is>
          <t>COPELAND</t>
        </is>
      </c>
      <c r="B1703" t="inlineStr">
        <is>
          <t>6DP3R35ML-TSK</t>
        </is>
      </c>
      <c r="D1703" t="inlineStr">
        <is>
          <t>Reciprocating Semi-hermetic</t>
        </is>
      </c>
      <c r="E1703" s="2" t="n">
        <v>3</v>
      </c>
      <c r="F1703" s="2" t="n">
        <v>60</v>
      </c>
      <c r="G1703" s="2" t="n">
        <v>230</v>
      </c>
      <c r="H1703" t="inlineStr">
        <is>
          <t>208/230</t>
        </is>
      </c>
      <c r="I1703" s="2" t="n">
        <v>208</v>
      </c>
      <c r="J1703" s="2" t="n">
        <v>230</v>
      </c>
      <c r="L1703" s="3" t="n"/>
      <c r="M1703" s="3" t="n"/>
      <c r="N1703" s="3" t="n">
        <v>147.1</v>
      </c>
      <c r="O1703" s="3" t="n"/>
      <c r="P1703" s="3">
        <f>IF(L1703&lt;&gt;"",L1703/1.4,"")</f>
        <v/>
      </c>
      <c r="Q1703" s="3">
        <f>IF(L1703&lt;&gt;"",L1703/1.56,"")</f>
        <v/>
      </c>
      <c r="R1703" s="3">
        <f>IF(M1703&lt;&gt;"",M1703/1.4,"")</f>
        <v/>
      </c>
      <c r="S1703" s="3">
        <f>IF(M1703&lt;&gt;"",M1703/1.56,"")</f>
        <v/>
      </c>
      <c r="T1703" s="3">
        <f>IF(N1703&lt;&gt;"",N1703,IF(O1703&lt;&gt;"",O1703,IF(L1703&lt;&gt;"",L1703/1.56,IF(M1703&lt;&gt;"",M1703/1.56,""))))</f>
        <v/>
      </c>
      <c r="U1703" s="3" t="n">
        <v>565</v>
      </c>
      <c r="V1703" s="3" t="n">
        <v>340</v>
      </c>
      <c r="W1703" s="3" t="n"/>
      <c r="X1703" s="4" t="n"/>
      <c r="Y1703" s="5" t="n">
        <v>0.08699999999999999</v>
      </c>
      <c r="Z1703" s="4">
        <f>IF(L1703&lt;&gt;"",SQRT(3)*G1703*L1703/1000,"")</f>
        <v/>
      </c>
      <c r="AA1703" t="inlineStr">
        <is>
          <t>Source=Copeland 2D/3D/4D/4R/6D/8D/9R compressors (pdf) p87; PWS_RLA=73.6</t>
        </is>
      </c>
      <c r="AB1703" t="inlineStr">
        <is>
          <t>Copeland_RLA_230_460_3ph_60Hz.xlsx</t>
        </is>
      </c>
      <c r="AC1703" t="inlineStr">
        <is>
          <t>Recip_2D-9R</t>
        </is>
      </c>
    </row>
    <row r="1704">
      <c r="A1704" t="inlineStr">
        <is>
          <t>COPELAND</t>
        </is>
      </c>
      <c r="B1704" t="inlineStr">
        <is>
          <t>6DP3R35ML-TSK</t>
        </is>
      </c>
      <c r="D1704" t="inlineStr">
        <is>
          <t>Reciprocating Semi-hermetic</t>
        </is>
      </c>
      <c r="E1704" s="2" t="n">
        <v>3</v>
      </c>
      <c r="F1704" s="2" t="n">
        <v>60</v>
      </c>
      <c r="G1704" s="2" t="n">
        <v>460</v>
      </c>
      <c r="H1704" t="inlineStr">
        <is>
          <t>460</t>
        </is>
      </c>
      <c r="I1704" s="2" t="n">
        <v>460</v>
      </c>
      <c r="J1704" s="2" t="n">
        <v>460</v>
      </c>
      <c r="L1704" s="3" t="n"/>
      <c r="M1704" s="3" t="n"/>
      <c r="N1704" s="3" t="n">
        <v>73.59999999999999</v>
      </c>
      <c r="O1704" s="3" t="n"/>
      <c r="P1704" s="3">
        <f>IF(L1704&lt;&gt;"",L1704/1.4,"")</f>
        <v/>
      </c>
      <c r="Q1704" s="3">
        <f>IF(L1704&lt;&gt;"",L1704/1.56,"")</f>
        <v/>
      </c>
      <c r="R1704" s="3">
        <f>IF(M1704&lt;&gt;"",M1704/1.4,"")</f>
        <v/>
      </c>
      <c r="S1704" s="3">
        <f>IF(M1704&lt;&gt;"",M1704/1.56,"")</f>
        <v/>
      </c>
      <c r="T1704" s="3">
        <f>IF(N1704&lt;&gt;"",N1704,IF(O1704&lt;&gt;"",O1704,IF(L1704&lt;&gt;"",L1704/1.56,IF(M1704&lt;&gt;"",M1704/1.56,""))))</f>
        <v/>
      </c>
      <c r="U1704" s="3" t="n">
        <v>283</v>
      </c>
      <c r="V1704" s="3" t="n"/>
      <c r="W1704" s="3" t="n"/>
      <c r="X1704" s="4" t="n"/>
      <c r="Y1704" s="5" t="n">
        <v>0.348</v>
      </c>
      <c r="Z1704" s="4">
        <f>IF(L1704&lt;&gt;"",SQRT(3)*G1704*L1704/1000,"")</f>
        <v/>
      </c>
      <c r="AA1704" t="inlineStr">
        <is>
          <t>Source=Copeland 2D/3D/4D/4R/6D/8D/9R compressors (pdf) p87</t>
        </is>
      </c>
      <c r="AB1704" t="inlineStr">
        <is>
          <t>Copeland_RLA_230_460_3ph_60Hz.xlsx</t>
        </is>
      </c>
      <c r="AC1704" t="inlineStr">
        <is>
          <t>Recip_2D-9R</t>
        </is>
      </c>
    </row>
    <row r="1705">
      <c r="A1705" t="inlineStr">
        <is>
          <t>COPELAND</t>
        </is>
      </c>
      <c r="B1705" t="inlineStr">
        <is>
          <t>6DP5-3500-FSD</t>
        </is>
      </c>
      <c r="D1705" t="inlineStr">
        <is>
          <t>Reciprocating Semi-hermetic</t>
        </is>
      </c>
      <c r="E1705" s="2" t="n">
        <v>3</v>
      </c>
      <c r="F1705" s="2" t="n">
        <v>60</v>
      </c>
      <c r="G1705" s="2" t="n">
        <v>460</v>
      </c>
      <c r="H1705" t="inlineStr">
        <is>
          <t>460</t>
        </is>
      </c>
      <c r="I1705" s="2" t="n">
        <v>460</v>
      </c>
      <c r="J1705" s="2" t="n">
        <v>460</v>
      </c>
      <c r="L1705" s="3" t="n"/>
      <c r="M1705" s="3" t="n"/>
      <c r="N1705" s="3" t="n">
        <v>67.5</v>
      </c>
      <c r="O1705" s="3" t="n"/>
      <c r="P1705" s="3">
        <f>IF(L1705&lt;&gt;"",L1705/1.4,"")</f>
        <v/>
      </c>
      <c r="Q1705" s="3">
        <f>IF(L1705&lt;&gt;"",L1705/1.56,"")</f>
        <v/>
      </c>
      <c r="R1705" s="3">
        <f>IF(M1705&lt;&gt;"",M1705/1.4,"")</f>
        <v/>
      </c>
      <c r="S1705" s="3">
        <f>IF(M1705&lt;&gt;"",M1705/1.56,"")</f>
        <v/>
      </c>
      <c r="T1705" s="3">
        <f>IF(N1705&lt;&gt;"",N1705,IF(O1705&lt;&gt;"",O1705,IF(L1705&lt;&gt;"",L1705/1.56,IF(M1705&lt;&gt;"",M1705/1.56,""))))</f>
        <v/>
      </c>
      <c r="U1705" s="3" t="n">
        <v>260</v>
      </c>
      <c r="V1705" s="3" t="n">
        <v>156</v>
      </c>
      <c r="W1705" s="3" t="n"/>
      <c r="X1705" s="4" t="n"/>
      <c r="Y1705" s="5" t="n">
        <v>0.4</v>
      </c>
      <c r="Z1705" s="4">
        <f>IF(L1705&lt;&gt;"",SQRT(3)*G1705*L1705/1000,"")</f>
        <v/>
      </c>
      <c r="AA1705" t="inlineStr">
        <is>
          <t>Source=Copeland 2D/3D/4D/4R/6D/8D/9R compressors (pdf) p87; PWS_RLA=33.8</t>
        </is>
      </c>
      <c r="AB1705" t="inlineStr">
        <is>
          <t>Copeland_RLA_230_460_3ph_60Hz.xlsx</t>
        </is>
      </c>
      <c r="AC1705" t="inlineStr">
        <is>
          <t>Recip_2D-9R</t>
        </is>
      </c>
    </row>
    <row r="1706">
      <c r="A1706" t="inlineStr">
        <is>
          <t>COPELAND</t>
        </is>
      </c>
      <c r="B1706" t="inlineStr">
        <is>
          <t>6DP5A3500-FSD</t>
        </is>
      </c>
      <c r="D1706" t="inlineStr">
        <is>
          <t>Reciprocating Semi-hermetic</t>
        </is>
      </c>
      <c r="E1706" s="2" t="n">
        <v>3</v>
      </c>
      <c r="F1706" s="2" t="n">
        <v>60</v>
      </c>
      <c r="G1706" s="2" t="n">
        <v>460</v>
      </c>
      <c r="H1706" t="inlineStr">
        <is>
          <t>460</t>
        </is>
      </c>
      <c r="I1706" s="2" t="n">
        <v>460</v>
      </c>
      <c r="J1706" s="2" t="n">
        <v>460</v>
      </c>
      <c r="L1706" s="3" t="n"/>
      <c r="M1706" s="3" t="n"/>
      <c r="N1706" s="3" t="n">
        <v>67.5</v>
      </c>
      <c r="O1706" s="3" t="n"/>
      <c r="P1706" s="3">
        <f>IF(L1706&lt;&gt;"",L1706/1.4,"")</f>
        <v/>
      </c>
      <c r="Q1706" s="3">
        <f>IF(L1706&lt;&gt;"",L1706/1.56,"")</f>
        <v/>
      </c>
      <c r="R1706" s="3">
        <f>IF(M1706&lt;&gt;"",M1706/1.4,"")</f>
        <v/>
      </c>
      <c r="S1706" s="3">
        <f>IF(M1706&lt;&gt;"",M1706/1.56,"")</f>
        <v/>
      </c>
      <c r="T1706" s="3">
        <f>IF(N1706&lt;&gt;"",N1706,IF(O1706&lt;&gt;"",O1706,IF(L1706&lt;&gt;"",L1706/1.56,IF(M1706&lt;&gt;"",M1706/1.56,""))))</f>
        <v/>
      </c>
      <c r="U1706" s="3" t="n">
        <v>260</v>
      </c>
      <c r="V1706" s="3" t="n">
        <v>156</v>
      </c>
      <c r="W1706" s="3" t="n"/>
      <c r="X1706" s="4" t="n"/>
      <c r="Y1706" s="5" t="n">
        <v>0.4</v>
      </c>
      <c r="Z1706" s="4">
        <f>IF(L1706&lt;&gt;"",SQRT(3)*G1706*L1706/1000,"")</f>
        <v/>
      </c>
      <c r="AA1706" t="inlineStr">
        <is>
          <t>Source=Copeland 2D/3D/4D/4R/6D/8D/9R compressors (pdf) p87; PWS_RLA=33.8</t>
        </is>
      </c>
      <c r="AB1706" t="inlineStr">
        <is>
          <t>Copeland_RLA_230_460_3ph_60Hz.xlsx</t>
        </is>
      </c>
      <c r="AC1706" t="inlineStr">
        <is>
          <t>Recip_2D-9R</t>
        </is>
      </c>
    </row>
    <row r="1707">
      <c r="A1707" t="inlineStr">
        <is>
          <t>COPELAND</t>
        </is>
      </c>
      <c r="B1707" t="inlineStr">
        <is>
          <t>6DPG-3500-FSD</t>
        </is>
      </c>
      <c r="D1707" t="inlineStr">
        <is>
          <t>Reciprocating Semi-hermetic</t>
        </is>
      </c>
      <c r="E1707" s="2" t="n">
        <v>3</v>
      </c>
      <c r="F1707" s="2" t="n">
        <v>60</v>
      </c>
      <c r="G1707" s="2" t="n">
        <v>460</v>
      </c>
      <c r="H1707" t="inlineStr">
        <is>
          <t>460</t>
        </is>
      </c>
      <c r="I1707" s="2" t="n">
        <v>460</v>
      </c>
      <c r="J1707" s="2" t="n">
        <v>460</v>
      </c>
      <c r="L1707" s="3" t="n"/>
      <c r="M1707" s="3" t="n"/>
      <c r="N1707" s="3" t="n">
        <v>62.6</v>
      </c>
      <c r="O1707" s="3" t="n"/>
      <c r="P1707" s="3">
        <f>IF(L1707&lt;&gt;"",L1707/1.4,"")</f>
        <v/>
      </c>
      <c r="Q1707" s="3">
        <f>IF(L1707&lt;&gt;"",L1707/1.56,"")</f>
        <v/>
      </c>
      <c r="R1707" s="3">
        <f>IF(M1707&lt;&gt;"",M1707/1.4,"")</f>
        <v/>
      </c>
      <c r="S1707" s="3">
        <f>IF(M1707&lt;&gt;"",M1707/1.56,"")</f>
        <v/>
      </c>
      <c r="T1707" s="3">
        <f>IF(N1707&lt;&gt;"",N1707,IF(O1707&lt;&gt;"",O1707,IF(L1707&lt;&gt;"",L1707/1.56,IF(M1707&lt;&gt;"",M1707/1.56,""))))</f>
        <v/>
      </c>
      <c r="U1707" s="3" t="n">
        <v>260</v>
      </c>
      <c r="V1707" s="3" t="n">
        <v>156</v>
      </c>
      <c r="W1707" s="3" t="n"/>
      <c r="X1707" s="4" t="n"/>
      <c r="Y1707" s="5" t="n">
        <v>0.39</v>
      </c>
      <c r="Z1707" s="4">
        <f>IF(L1707&lt;&gt;"",SQRT(3)*G1707*L1707/1000,"")</f>
        <v/>
      </c>
      <c r="AA1707" t="inlineStr">
        <is>
          <t>Source=Copeland 2D/3D/4D/4R/6D/8D/9R compressors (pdf) p87; PWS_RLA=31.3</t>
        </is>
      </c>
      <c r="AB1707" t="inlineStr">
        <is>
          <t>Copeland_RLA_230_460_3ph_60Hz.xlsx</t>
        </is>
      </c>
      <c r="AC1707" t="inlineStr">
        <is>
          <t>Recip_2D-9R</t>
        </is>
      </c>
    </row>
    <row r="1708">
      <c r="A1708" t="inlineStr">
        <is>
          <t>COPELAND</t>
        </is>
      </c>
      <c r="B1708" t="inlineStr">
        <is>
          <t>6DPG-3500-TSK</t>
        </is>
      </c>
      <c r="D1708" t="inlineStr">
        <is>
          <t>Reciprocating Semi-hermetic</t>
        </is>
      </c>
      <c r="E1708" s="2" t="n">
        <v>3</v>
      </c>
      <c r="F1708" s="2" t="n">
        <v>60</v>
      </c>
      <c r="G1708" s="2" t="n">
        <v>230</v>
      </c>
      <c r="H1708" t="inlineStr">
        <is>
          <t>208/230</t>
        </is>
      </c>
      <c r="I1708" s="2" t="n">
        <v>208</v>
      </c>
      <c r="J1708" s="2" t="n">
        <v>230</v>
      </c>
      <c r="L1708" s="3" t="n"/>
      <c r="M1708" s="3" t="n"/>
      <c r="N1708" s="3" t="n">
        <v>125.1</v>
      </c>
      <c r="O1708" s="3" t="n"/>
      <c r="P1708" s="3">
        <f>IF(L1708&lt;&gt;"",L1708/1.4,"")</f>
        <v/>
      </c>
      <c r="Q1708" s="3">
        <f>IF(L1708&lt;&gt;"",L1708/1.56,"")</f>
        <v/>
      </c>
      <c r="R1708" s="3">
        <f>IF(M1708&lt;&gt;"",M1708/1.4,"")</f>
        <v/>
      </c>
      <c r="S1708" s="3">
        <f>IF(M1708&lt;&gt;"",M1708/1.56,"")</f>
        <v/>
      </c>
      <c r="T1708" s="3">
        <f>IF(N1708&lt;&gt;"",N1708,IF(O1708&lt;&gt;"",O1708,IF(L1708&lt;&gt;"",L1708/1.56,IF(M1708&lt;&gt;"",M1708/1.56,""))))</f>
        <v/>
      </c>
      <c r="U1708" s="3" t="n">
        <v>565</v>
      </c>
      <c r="V1708" s="3" t="n">
        <v>340</v>
      </c>
      <c r="W1708" s="3" t="n"/>
      <c r="X1708" s="4" t="n"/>
      <c r="Y1708" s="5" t="n">
        <v>0.08699999999999999</v>
      </c>
      <c r="Z1708" s="4">
        <f>IF(L1708&lt;&gt;"",SQRT(3)*G1708*L1708/1000,"")</f>
        <v/>
      </c>
      <c r="AA1708" t="inlineStr">
        <is>
          <t>Source=Copeland 2D/3D/4D/4R/6D/8D/9R compressors (pdf) p88; PWS_RLA=62.6</t>
        </is>
      </c>
      <c r="AB1708" t="inlineStr">
        <is>
          <t>Copeland_RLA_230_460_3ph_60Hz.xlsx</t>
        </is>
      </c>
      <c r="AC1708" t="inlineStr">
        <is>
          <t>Recip_2D-9R</t>
        </is>
      </c>
    </row>
    <row r="1709">
      <c r="A1709" t="inlineStr">
        <is>
          <t>COPELAND</t>
        </is>
      </c>
      <c r="B1709" t="inlineStr">
        <is>
          <t>6DPG-3500-TSK</t>
        </is>
      </c>
      <c r="D1709" t="inlineStr">
        <is>
          <t>Reciprocating Semi-hermetic</t>
        </is>
      </c>
      <c r="E1709" s="2" t="n">
        <v>3</v>
      </c>
      <c r="F1709" s="2" t="n">
        <v>60</v>
      </c>
      <c r="G1709" s="2" t="n">
        <v>460</v>
      </c>
      <c r="H1709" t="inlineStr">
        <is>
          <t>460</t>
        </is>
      </c>
      <c r="I1709" s="2" t="n">
        <v>460</v>
      </c>
      <c r="J1709" s="2" t="n">
        <v>460</v>
      </c>
      <c r="L1709" s="3" t="n"/>
      <c r="M1709" s="3" t="n"/>
      <c r="N1709" s="3" t="n">
        <v>62.6</v>
      </c>
      <c r="O1709" s="3" t="n"/>
      <c r="P1709" s="3">
        <f>IF(L1709&lt;&gt;"",L1709/1.4,"")</f>
        <v/>
      </c>
      <c r="Q1709" s="3">
        <f>IF(L1709&lt;&gt;"",L1709/1.56,"")</f>
        <v/>
      </c>
      <c r="R1709" s="3">
        <f>IF(M1709&lt;&gt;"",M1709/1.4,"")</f>
        <v/>
      </c>
      <c r="S1709" s="3">
        <f>IF(M1709&lt;&gt;"",M1709/1.56,"")</f>
        <v/>
      </c>
      <c r="T1709" s="3">
        <f>IF(N1709&lt;&gt;"",N1709,IF(O1709&lt;&gt;"",O1709,IF(L1709&lt;&gt;"",L1709/1.56,IF(M1709&lt;&gt;"",M1709/1.56,""))))</f>
        <v/>
      </c>
      <c r="U1709" s="3" t="n">
        <v>283</v>
      </c>
      <c r="V1709" s="3" t="n"/>
      <c r="W1709" s="3" t="n"/>
      <c r="X1709" s="4" t="n"/>
      <c r="Y1709" s="5" t="n">
        <v>0.348</v>
      </c>
      <c r="Z1709" s="4">
        <f>IF(L1709&lt;&gt;"",SQRT(3)*G1709*L1709/1000,"")</f>
        <v/>
      </c>
      <c r="AA1709" t="inlineStr">
        <is>
          <t>Source=Copeland 2D/3D/4D/4R/6D/8D/9R compressors (pdf) p88</t>
        </is>
      </c>
      <c r="AB1709" t="inlineStr">
        <is>
          <t>Copeland_RLA_230_460_3ph_60Hz.xlsx</t>
        </is>
      </c>
      <c r="AC1709" t="inlineStr">
        <is>
          <t>Recip_2D-9R</t>
        </is>
      </c>
    </row>
    <row r="1710">
      <c r="A1710" t="inlineStr">
        <is>
          <t>COPELAND</t>
        </is>
      </c>
      <c r="B1710" t="inlineStr">
        <is>
          <t>6DPG-350E-FSD</t>
        </is>
      </c>
      <c r="D1710" t="inlineStr">
        <is>
          <t>Reciprocating Semi-hermetic</t>
        </is>
      </c>
      <c r="E1710" s="2" t="n">
        <v>3</v>
      </c>
      <c r="F1710" s="2" t="n">
        <v>60</v>
      </c>
      <c r="G1710" s="2" t="n">
        <v>460</v>
      </c>
      <c r="H1710" t="inlineStr">
        <is>
          <t>460</t>
        </is>
      </c>
      <c r="I1710" s="2" t="n">
        <v>460</v>
      </c>
      <c r="J1710" s="2" t="n">
        <v>460</v>
      </c>
      <c r="L1710" s="3" t="n"/>
      <c r="M1710" s="3" t="n"/>
      <c r="N1710" s="3" t="n">
        <v>62.6</v>
      </c>
      <c r="O1710" s="3" t="n"/>
      <c r="P1710" s="3">
        <f>IF(L1710&lt;&gt;"",L1710/1.4,"")</f>
        <v/>
      </c>
      <c r="Q1710" s="3">
        <f>IF(L1710&lt;&gt;"",L1710/1.56,"")</f>
        <v/>
      </c>
      <c r="R1710" s="3">
        <f>IF(M1710&lt;&gt;"",M1710/1.4,"")</f>
        <v/>
      </c>
      <c r="S1710" s="3">
        <f>IF(M1710&lt;&gt;"",M1710/1.56,"")</f>
        <v/>
      </c>
      <c r="T1710" s="3">
        <f>IF(N1710&lt;&gt;"",N1710,IF(O1710&lt;&gt;"",O1710,IF(L1710&lt;&gt;"",L1710/1.56,IF(M1710&lt;&gt;"",M1710/1.56,""))))</f>
        <v/>
      </c>
      <c r="U1710" s="3" t="n">
        <v>260</v>
      </c>
      <c r="V1710" s="3" t="n">
        <v>156</v>
      </c>
      <c r="W1710" s="3" t="n"/>
      <c r="X1710" s="4" t="n"/>
      <c r="Y1710" s="5" t="n">
        <v>0.39</v>
      </c>
      <c r="Z1710" s="4">
        <f>IF(L1710&lt;&gt;"",SQRT(3)*G1710*L1710/1000,"")</f>
        <v/>
      </c>
      <c r="AA1710" t="inlineStr">
        <is>
          <t>Source=Copeland 2D/3D/4D/4R/6D/8D/9R compressors (pdf) p88; PWS_RLA=31.3</t>
        </is>
      </c>
      <c r="AB1710" t="inlineStr">
        <is>
          <t>Copeland_RLA_230_460_3ph_60Hz.xlsx</t>
        </is>
      </c>
      <c r="AC1710" t="inlineStr">
        <is>
          <t>Recip_2D-9R</t>
        </is>
      </c>
    </row>
    <row r="1711">
      <c r="A1711" t="inlineStr">
        <is>
          <t>COPELAND</t>
        </is>
      </c>
      <c r="B1711" t="inlineStr">
        <is>
          <t>6DR1-4000-FSD</t>
        </is>
      </c>
      <c r="D1711" t="inlineStr">
        <is>
          <t>Reciprocating Semi-hermetic</t>
        </is>
      </c>
      <c r="E1711" s="2" t="n">
        <v>3</v>
      </c>
      <c r="F1711" s="2" t="n">
        <v>60</v>
      </c>
      <c r="G1711" s="2" t="n">
        <v>460</v>
      </c>
      <c r="H1711" t="inlineStr">
        <is>
          <t>460</t>
        </is>
      </c>
      <c r="I1711" s="2" t="n">
        <v>460</v>
      </c>
      <c r="J1711" s="2" t="n">
        <v>460</v>
      </c>
      <c r="L1711" s="3" t="n"/>
      <c r="M1711" s="3" t="n"/>
      <c r="N1711" s="3" t="n">
        <v>69.3</v>
      </c>
      <c r="O1711" s="3" t="n"/>
      <c r="P1711" s="3">
        <f>IF(L1711&lt;&gt;"",L1711/1.4,"")</f>
        <v/>
      </c>
      <c r="Q1711" s="3">
        <f>IF(L1711&lt;&gt;"",L1711/1.56,"")</f>
        <v/>
      </c>
      <c r="R1711" s="3">
        <f>IF(M1711&lt;&gt;"",M1711/1.4,"")</f>
        <v/>
      </c>
      <c r="S1711" s="3">
        <f>IF(M1711&lt;&gt;"",M1711/1.56,"")</f>
        <v/>
      </c>
      <c r="T1711" s="3">
        <f>IF(N1711&lt;&gt;"",N1711,IF(O1711&lt;&gt;"",O1711,IF(L1711&lt;&gt;"",L1711/1.56,IF(M1711&lt;&gt;"",M1711/1.56,""))))</f>
        <v/>
      </c>
      <c r="U1711" s="3" t="n">
        <v>300</v>
      </c>
      <c r="V1711" s="3" t="n">
        <v>170</v>
      </c>
      <c r="W1711" s="3" t="n"/>
      <c r="X1711" s="4" t="n"/>
      <c r="Y1711" s="5" t="n">
        <v>0.352</v>
      </c>
      <c r="Z1711" s="4">
        <f>IF(L1711&lt;&gt;"",SQRT(3)*G1711*L1711/1000,"")</f>
        <v/>
      </c>
      <c r="AA1711" t="inlineStr">
        <is>
          <t>Source=Copeland 2D/3D/4D/4R/6D/8D/9R compressors (pdf) p88; PWS_RLA=34.7</t>
        </is>
      </c>
      <c r="AB1711" t="inlineStr">
        <is>
          <t>Copeland_RLA_230_460_3ph_60Hz.xlsx</t>
        </is>
      </c>
      <c r="AC1711" t="inlineStr">
        <is>
          <t>Recip_2D-9R</t>
        </is>
      </c>
    </row>
    <row r="1712">
      <c r="A1712" t="inlineStr">
        <is>
          <t>COPELAND</t>
        </is>
      </c>
      <c r="B1712" t="inlineStr">
        <is>
          <t>6DR1-4000-TSN</t>
        </is>
      </c>
      <c r="D1712" t="inlineStr">
        <is>
          <t>Reciprocating Semi-hermetic</t>
        </is>
      </c>
      <c r="E1712" s="2" t="n">
        <v>3</v>
      </c>
      <c r="F1712" s="2" t="n">
        <v>60</v>
      </c>
      <c r="G1712" s="2" t="n">
        <v>230</v>
      </c>
      <c r="H1712" t="inlineStr">
        <is>
          <t>230</t>
        </is>
      </c>
      <c r="I1712" s="2" t="n">
        <v>230</v>
      </c>
      <c r="J1712" s="2" t="n">
        <v>230</v>
      </c>
      <c r="L1712" s="3" t="n"/>
      <c r="M1712" s="3" t="n"/>
      <c r="N1712" s="3" t="n">
        <v>141.4</v>
      </c>
      <c r="O1712" s="3" t="n"/>
      <c r="P1712" s="3">
        <f>IF(L1712&lt;&gt;"",L1712/1.4,"")</f>
        <v/>
      </c>
      <c r="Q1712" s="3">
        <f>IF(L1712&lt;&gt;"",L1712/1.56,"")</f>
        <v/>
      </c>
      <c r="R1712" s="3">
        <f>IF(M1712&lt;&gt;"",M1712/1.4,"")</f>
        <v/>
      </c>
      <c r="S1712" s="3">
        <f>IF(M1712&lt;&gt;"",M1712/1.56,"")</f>
        <v/>
      </c>
      <c r="T1712" s="3">
        <f>IF(N1712&lt;&gt;"",N1712,IF(O1712&lt;&gt;"",O1712,IF(L1712&lt;&gt;"",L1712/1.56,IF(M1712&lt;&gt;"",M1712/1.56,""))))</f>
        <v/>
      </c>
      <c r="U1712" s="3" t="n">
        <v>594</v>
      </c>
      <c r="V1712" s="3" t="n">
        <v>340</v>
      </c>
      <c r="W1712" s="3" t="n"/>
      <c r="X1712" s="4" t="n"/>
      <c r="Y1712" s="5" t="n">
        <v>0.08500000000000001</v>
      </c>
      <c r="Z1712" s="4">
        <f>IF(L1712&lt;&gt;"",SQRT(3)*G1712*L1712/1000,"")</f>
        <v/>
      </c>
      <c r="AA1712" t="inlineStr">
        <is>
          <t>Source=Copeland 2D/3D/4D/4R/6D/8D/9R compressors (pdf) p88; PWS_RLA=70.5</t>
        </is>
      </c>
      <c r="AB1712" t="inlineStr">
        <is>
          <t>Copeland_RLA_230_460_3ph_60Hz.xlsx</t>
        </is>
      </c>
      <c r="AC1712" t="inlineStr">
        <is>
          <t>Recip_2D-9R</t>
        </is>
      </c>
    </row>
    <row r="1713">
      <c r="A1713" t="inlineStr">
        <is>
          <t>COPELAND</t>
        </is>
      </c>
      <c r="B1713" t="inlineStr">
        <is>
          <t>6DR1-4000-TSN</t>
        </is>
      </c>
      <c r="D1713" t="inlineStr">
        <is>
          <t>Reciprocating Semi-hermetic</t>
        </is>
      </c>
      <c r="E1713" s="2" t="n">
        <v>3</v>
      </c>
      <c r="F1713" s="2" t="n">
        <v>60</v>
      </c>
      <c r="G1713" s="2" t="n">
        <v>460</v>
      </c>
      <c r="H1713" t="inlineStr">
        <is>
          <t>460</t>
        </is>
      </c>
      <c r="I1713" s="2" t="n">
        <v>460</v>
      </c>
      <c r="J1713" s="2" t="n">
        <v>460</v>
      </c>
      <c r="L1713" s="3" t="n"/>
      <c r="M1713" s="3" t="n"/>
      <c r="N1713" s="3" t="n">
        <v>70.7</v>
      </c>
      <c r="O1713" s="3" t="n"/>
      <c r="P1713" s="3">
        <f>IF(L1713&lt;&gt;"",L1713/1.4,"")</f>
        <v/>
      </c>
      <c r="Q1713" s="3">
        <f>IF(L1713&lt;&gt;"",L1713/1.56,"")</f>
        <v/>
      </c>
      <c r="R1713" s="3">
        <f>IF(M1713&lt;&gt;"",M1713/1.4,"")</f>
        <v/>
      </c>
      <c r="S1713" s="3">
        <f>IF(M1713&lt;&gt;"",M1713/1.56,"")</f>
        <v/>
      </c>
      <c r="T1713" s="3">
        <f>IF(N1713&lt;&gt;"",N1713,IF(O1713&lt;&gt;"",O1713,IF(L1713&lt;&gt;"",L1713/1.56,IF(M1713&lt;&gt;"",M1713/1.56,""))))</f>
        <v/>
      </c>
      <c r="U1713" s="3" t="n">
        <v>297</v>
      </c>
      <c r="V1713" s="3" t="n"/>
      <c r="W1713" s="3" t="n"/>
      <c r="X1713" s="4" t="n"/>
      <c r="Y1713" s="5" t="n">
        <v>0.34</v>
      </c>
      <c r="Z1713" s="4">
        <f>IF(L1713&lt;&gt;"",SQRT(3)*G1713*L1713/1000,"")</f>
        <v/>
      </c>
      <c r="AA1713" t="inlineStr">
        <is>
          <t>Source=Copeland 2D/3D/4D/4R/6D/8D/9R compressors (pdf) p88</t>
        </is>
      </c>
      <c r="AB1713" t="inlineStr">
        <is>
          <t>Copeland_RLA_230_460_3ph_60Hz.xlsx</t>
        </is>
      </c>
      <c r="AC1713" t="inlineStr">
        <is>
          <t>Recip_2D-9R</t>
        </is>
      </c>
    </row>
    <row r="1714">
      <c r="A1714" t="inlineStr">
        <is>
          <t>COPELAND</t>
        </is>
      </c>
      <c r="B1714" t="inlineStr">
        <is>
          <t>6DR1-4000-TXN</t>
        </is>
      </c>
      <c r="D1714" t="inlineStr">
        <is>
          <t>Reciprocating Semi-hermetic</t>
        </is>
      </c>
      <c r="E1714" s="2" t="n">
        <v>3</v>
      </c>
      <c r="F1714" s="2" t="n">
        <v>60</v>
      </c>
      <c r="G1714" s="2" t="n">
        <v>230</v>
      </c>
      <c r="H1714" t="inlineStr">
        <is>
          <t>230</t>
        </is>
      </c>
      <c r="I1714" s="2" t="n">
        <v>230</v>
      </c>
      <c r="J1714" s="2" t="n">
        <v>230</v>
      </c>
      <c r="L1714" s="3" t="n"/>
      <c r="M1714" s="3" t="n"/>
      <c r="N1714" s="3" t="n"/>
      <c r="O1714" s="3" t="n"/>
      <c r="P1714" s="3">
        <f>IF(L1714&lt;&gt;"",L1714/1.4,"")</f>
        <v/>
      </c>
      <c r="Q1714" s="3">
        <f>IF(L1714&lt;&gt;"",L1714/1.56,"")</f>
        <v/>
      </c>
      <c r="R1714" s="3">
        <f>IF(M1714&lt;&gt;"",M1714/1.4,"")</f>
        <v/>
      </c>
      <c r="S1714" s="3">
        <f>IF(M1714&lt;&gt;"",M1714/1.56,"")</f>
        <v/>
      </c>
      <c r="T1714" s="3">
        <f>IF(N1714&lt;&gt;"",N1714,IF(O1714&lt;&gt;"",O1714,IF(L1714&lt;&gt;"",L1714/1.56,IF(M1714&lt;&gt;"",M1714/1.56,""))))</f>
        <v/>
      </c>
      <c r="U1714" s="3" t="n">
        <v>594</v>
      </c>
      <c r="V1714" s="3" t="n">
        <v>340</v>
      </c>
      <c r="W1714" s="3" t="n"/>
      <c r="X1714" s="4" t="n"/>
      <c r="Y1714" s="5" t="n">
        <v>0.08500000000000001</v>
      </c>
      <c r="Z1714" s="4">
        <f>IF(L1714&lt;&gt;"",SQRT(3)*G1714*L1714/1000,"")</f>
        <v/>
      </c>
      <c r="AA1714" t="inlineStr">
        <is>
          <t>Source=Copeland 2D/3D/4D/4R/6D/8D/9R compressors (pdf) p88</t>
        </is>
      </c>
      <c r="AB1714" t="inlineStr">
        <is>
          <t>Copeland_RLA_230_460_3ph_60Hz.xlsx</t>
        </is>
      </c>
      <c r="AC1714" t="inlineStr">
        <is>
          <t>Recip_2D-9R</t>
        </is>
      </c>
    </row>
    <row r="1715">
      <c r="A1715" t="inlineStr">
        <is>
          <t>COPELAND</t>
        </is>
      </c>
      <c r="B1715" t="inlineStr">
        <is>
          <t>6DR1-4000-TXN</t>
        </is>
      </c>
      <c r="D1715" t="inlineStr">
        <is>
          <t>Reciprocating Semi-hermetic</t>
        </is>
      </c>
      <c r="E1715" s="2" t="n">
        <v>3</v>
      </c>
      <c r="F1715" s="2" t="n">
        <v>60</v>
      </c>
      <c r="G1715" s="2" t="n">
        <v>460</v>
      </c>
      <c r="H1715" t="inlineStr">
        <is>
          <t>460</t>
        </is>
      </c>
      <c r="I1715" s="2" t="n">
        <v>460</v>
      </c>
      <c r="J1715" s="2" t="n">
        <v>460</v>
      </c>
      <c r="L1715" s="3" t="n"/>
      <c r="M1715" s="3" t="n"/>
      <c r="N1715" s="3" t="n"/>
      <c r="O1715" s="3" t="n"/>
      <c r="P1715" s="3">
        <f>IF(L1715&lt;&gt;"",L1715/1.4,"")</f>
        <v/>
      </c>
      <c r="Q1715" s="3">
        <f>IF(L1715&lt;&gt;"",L1715/1.56,"")</f>
        <v/>
      </c>
      <c r="R1715" s="3">
        <f>IF(M1715&lt;&gt;"",M1715/1.4,"")</f>
        <v/>
      </c>
      <c r="S1715" s="3">
        <f>IF(M1715&lt;&gt;"",M1715/1.56,"")</f>
        <v/>
      </c>
      <c r="T1715" s="3">
        <f>IF(N1715&lt;&gt;"",N1715,IF(O1715&lt;&gt;"",O1715,IF(L1715&lt;&gt;"",L1715/1.56,IF(M1715&lt;&gt;"",M1715/1.56,""))))</f>
        <v/>
      </c>
      <c r="U1715" s="3" t="n">
        <v>297</v>
      </c>
      <c r="V1715" s="3" t="n"/>
      <c r="W1715" s="3" t="n"/>
      <c r="X1715" s="4" t="n"/>
      <c r="Y1715" s="5" t="n">
        <v>0.34</v>
      </c>
      <c r="Z1715" s="4">
        <f>IF(L1715&lt;&gt;"",SQRT(3)*G1715*L1715/1000,"")</f>
        <v/>
      </c>
      <c r="AA1715" t="inlineStr">
        <is>
          <t>Source=Copeland 2D/3D/4D/4R/6D/8D/9R compressors (pdf) p88</t>
        </is>
      </c>
      <c r="AB1715" t="inlineStr">
        <is>
          <t>Copeland_RLA_230_460_3ph_60Hz.xlsx</t>
        </is>
      </c>
      <c r="AC1715" t="inlineStr">
        <is>
          <t>Recip_2D-9R</t>
        </is>
      </c>
    </row>
    <row r="1716">
      <c r="A1716" t="inlineStr">
        <is>
          <t>COPELAND</t>
        </is>
      </c>
      <c r="B1716" t="inlineStr">
        <is>
          <t>6DR1A4000-FSD</t>
        </is>
      </c>
      <c r="D1716" t="inlineStr">
        <is>
          <t>Reciprocating Semi-hermetic</t>
        </is>
      </c>
      <c r="E1716" s="2" t="n">
        <v>3</v>
      </c>
      <c r="F1716" s="2" t="n">
        <v>60</v>
      </c>
      <c r="G1716" s="2" t="n">
        <v>460</v>
      </c>
      <c r="H1716" t="inlineStr">
        <is>
          <t>460</t>
        </is>
      </c>
      <c r="I1716" s="2" t="n">
        <v>460</v>
      </c>
      <c r="J1716" s="2" t="n">
        <v>460</v>
      </c>
      <c r="L1716" s="3" t="n"/>
      <c r="M1716" s="3" t="n"/>
      <c r="N1716" s="3" t="n">
        <v>69.3</v>
      </c>
      <c r="O1716" s="3" t="n"/>
      <c r="P1716" s="3">
        <f>IF(L1716&lt;&gt;"",L1716/1.4,"")</f>
        <v/>
      </c>
      <c r="Q1716" s="3">
        <f>IF(L1716&lt;&gt;"",L1716/1.56,"")</f>
        <v/>
      </c>
      <c r="R1716" s="3">
        <f>IF(M1716&lt;&gt;"",M1716/1.4,"")</f>
        <v/>
      </c>
      <c r="S1716" s="3">
        <f>IF(M1716&lt;&gt;"",M1716/1.56,"")</f>
        <v/>
      </c>
      <c r="T1716" s="3">
        <f>IF(N1716&lt;&gt;"",N1716,IF(O1716&lt;&gt;"",O1716,IF(L1716&lt;&gt;"",L1716/1.56,IF(M1716&lt;&gt;"",M1716/1.56,""))))</f>
        <v/>
      </c>
      <c r="U1716" s="3" t="n">
        <v>300</v>
      </c>
      <c r="V1716" s="3" t="n">
        <v>170</v>
      </c>
      <c r="W1716" s="3" t="n"/>
      <c r="X1716" s="4" t="n"/>
      <c r="Y1716" s="5" t="n">
        <v>0.352</v>
      </c>
      <c r="Z1716" s="4">
        <f>IF(L1716&lt;&gt;"",SQRT(3)*G1716*L1716/1000,"")</f>
        <v/>
      </c>
      <c r="AA1716" t="inlineStr">
        <is>
          <t>Source=Copeland 2D/3D/4D/4R/6D/8D/9R compressors (pdf) p88; PWS_RLA=34.7</t>
        </is>
      </c>
      <c r="AB1716" t="inlineStr">
        <is>
          <t>Copeland_RLA_230_460_3ph_60Hz.xlsx</t>
        </is>
      </c>
      <c r="AC1716" t="inlineStr">
        <is>
          <t>Recip_2D-9R</t>
        </is>
      </c>
    </row>
    <row r="1717">
      <c r="A1717" t="inlineStr">
        <is>
          <t>COPELAND</t>
        </is>
      </c>
      <c r="B1717" t="inlineStr">
        <is>
          <t>6DR1A4000-TSN</t>
        </is>
      </c>
      <c r="D1717" t="inlineStr">
        <is>
          <t>Reciprocating Semi-hermetic</t>
        </is>
      </c>
      <c r="E1717" s="2" t="n">
        <v>3</v>
      </c>
      <c r="F1717" s="2" t="n">
        <v>60</v>
      </c>
      <c r="G1717" s="2" t="n">
        <v>230</v>
      </c>
      <c r="H1717" t="inlineStr">
        <is>
          <t>230</t>
        </is>
      </c>
      <c r="I1717" s="2" t="n">
        <v>230</v>
      </c>
      <c r="J1717" s="2" t="n">
        <v>230</v>
      </c>
      <c r="L1717" s="3" t="n"/>
      <c r="M1717" s="3" t="n"/>
      <c r="N1717" s="3" t="n">
        <v>141.4</v>
      </c>
      <c r="O1717" s="3" t="n"/>
      <c r="P1717" s="3">
        <f>IF(L1717&lt;&gt;"",L1717/1.4,"")</f>
        <v/>
      </c>
      <c r="Q1717" s="3">
        <f>IF(L1717&lt;&gt;"",L1717/1.56,"")</f>
        <v/>
      </c>
      <c r="R1717" s="3">
        <f>IF(M1717&lt;&gt;"",M1717/1.4,"")</f>
        <v/>
      </c>
      <c r="S1717" s="3">
        <f>IF(M1717&lt;&gt;"",M1717/1.56,"")</f>
        <v/>
      </c>
      <c r="T1717" s="3">
        <f>IF(N1717&lt;&gt;"",N1717,IF(O1717&lt;&gt;"",O1717,IF(L1717&lt;&gt;"",L1717/1.56,IF(M1717&lt;&gt;"",M1717/1.56,""))))</f>
        <v/>
      </c>
      <c r="U1717" s="3" t="n">
        <v>594</v>
      </c>
      <c r="V1717" s="3" t="n">
        <v>340</v>
      </c>
      <c r="W1717" s="3" t="n"/>
      <c r="X1717" s="4" t="n"/>
      <c r="Y1717" s="5" t="n">
        <v>0.08500000000000001</v>
      </c>
      <c r="Z1717" s="4">
        <f>IF(L1717&lt;&gt;"",SQRT(3)*G1717*L1717/1000,"")</f>
        <v/>
      </c>
      <c r="AA1717" t="inlineStr">
        <is>
          <t>Source=Copeland 2D/3D/4D/4R/6D/8D/9R compressors (pdf) p88; PWS_RLA=70.5</t>
        </is>
      </c>
      <c r="AB1717" t="inlineStr">
        <is>
          <t>Copeland_RLA_230_460_3ph_60Hz.xlsx</t>
        </is>
      </c>
      <c r="AC1717" t="inlineStr">
        <is>
          <t>Recip_2D-9R</t>
        </is>
      </c>
    </row>
    <row r="1718">
      <c r="A1718" t="inlineStr">
        <is>
          <t>COPELAND</t>
        </is>
      </c>
      <c r="B1718" t="inlineStr">
        <is>
          <t>6DR1A4000-TSN</t>
        </is>
      </c>
      <c r="D1718" t="inlineStr">
        <is>
          <t>Reciprocating Semi-hermetic</t>
        </is>
      </c>
      <c r="E1718" s="2" t="n">
        <v>3</v>
      </c>
      <c r="F1718" s="2" t="n">
        <v>60</v>
      </c>
      <c r="G1718" s="2" t="n">
        <v>460</v>
      </c>
      <c r="H1718" t="inlineStr">
        <is>
          <t>460</t>
        </is>
      </c>
      <c r="I1718" s="2" t="n">
        <v>460</v>
      </c>
      <c r="J1718" s="2" t="n">
        <v>460</v>
      </c>
      <c r="L1718" s="3" t="n"/>
      <c r="M1718" s="3" t="n"/>
      <c r="N1718" s="3" t="n">
        <v>70.7</v>
      </c>
      <c r="O1718" s="3" t="n"/>
      <c r="P1718" s="3">
        <f>IF(L1718&lt;&gt;"",L1718/1.4,"")</f>
        <v/>
      </c>
      <c r="Q1718" s="3">
        <f>IF(L1718&lt;&gt;"",L1718/1.56,"")</f>
        <v/>
      </c>
      <c r="R1718" s="3">
        <f>IF(M1718&lt;&gt;"",M1718/1.4,"")</f>
        <v/>
      </c>
      <c r="S1718" s="3">
        <f>IF(M1718&lt;&gt;"",M1718/1.56,"")</f>
        <v/>
      </c>
      <c r="T1718" s="3">
        <f>IF(N1718&lt;&gt;"",N1718,IF(O1718&lt;&gt;"",O1718,IF(L1718&lt;&gt;"",L1718/1.56,IF(M1718&lt;&gt;"",M1718/1.56,""))))</f>
        <v/>
      </c>
      <c r="U1718" s="3" t="n">
        <v>297</v>
      </c>
      <c r="V1718" s="3" t="n"/>
      <c r="W1718" s="3" t="n"/>
      <c r="X1718" s="4" t="n"/>
      <c r="Y1718" s="5" t="n">
        <v>0.34</v>
      </c>
      <c r="Z1718" s="4">
        <f>IF(L1718&lt;&gt;"",SQRT(3)*G1718*L1718/1000,"")</f>
        <v/>
      </c>
      <c r="AA1718" t="inlineStr">
        <is>
          <t>Source=Copeland 2D/3D/4D/4R/6D/8D/9R compressors (pdf) p88</t>
        </is>
      </c>
      <c r="AB1718" t="inlineStr">
        <is>
          <t>Copeland_RLA_230_460_3ph_60Hz.xlsx</t>
        </is>
      </c>
      <c r="AC1718" t="inlineStr">
        <is>
          <t>Recip_2D-9R</t>
        </is>
      </c>
    </row>
    <row r="1719">
      <c r="A1719" t="inlineStr">
        <is>
          <t>COPELAND</t>
        </is>
      </c>
      <c r="B1719" t="inlineStr">
        <is>
          <t>6DR1A4000-TXN</t>
        </is>
      </c>
      <c r="D1719" t="inlineStr">
        <is>
          <t>Reciprocating Semi-hermetic</t>
        </is>
      </c>
      <c r="E1719" s="2" t="n">
        <v>3</v>
      </c>
      <c r="F1719" s="2" t="n">
        <v>60</v>
      </c>
      <c r="G1719" s="2" t="n">
        <v>230</v>
      </c>
      <c r="H1719" t="inlineStr">
        <is>
          <t>230</t>
        </is>
      </c>
      <c r="I1719" s="2" t="n">
        <v>230</v>
      </c>
      <c r="J1719" s="2" t="n">
        <v>230</v>
      </c>
      <c r="L1719" s="3" t="n"/>
      <c r="M1719" s="3" t="n"/>
      <c r="N1719" s="3" t="n"/>
      <c r="O1719" s="3" t="n"/>
      <c r="P1719" s="3">
        <f>IF(L1719&lt;&gt;"",L1719/1.4,"")</f>
        <v/>
      </c>
      <c r="Q1719" s="3">
        <f>IF(L1719&lt;&gt;"",L1719/1.56,"")</f>
        <v/>
      </c>
      <c r="R1719" s="3">
        <f>IF(M1719&lt;&gt;"",M1719/1.4,"")</f>
        <v/>
      </c>
      <c r="S1719" s="3">
        <f>IF(M1719&lt;&gt;"",M1719/1.56,"")</f>
        <v/>
      </c>
      <c r="T1719" s="3">
        <f>IF(N1719&lt;&gt;"",N1719,IF(O1719&lt;&gt;"",O1719,IF(L1719&lt;&gt;"",L1719/1.56,IF(M1719&lt;&gt;"",M1719/1.56,""))))</f>
        <v/>
      </c>
      <c r="U1719" s="3" t="n">
        <v>594</v>
      </c>
      <c r="V1719" s="3" t="n">
        <v>340</v>
      </c>
      <c r="W1719" s="3" t="n"/>
      <c r="X1719" s="4" t="n"/>
      <c r="Y1719" s="5" t="n">
        <v>0.08500000000000001</v>
      </c>
      <c r="Z1719" s="4">
        <f>IF(L1719&lt;&gt;"",SQRT(3)*G1719*L1719/1000,"")</f>
        <v/>
      </c>
      <c r="AA1719" t="inlineStr">
        <is>
          <t>Source=Copeland 2D/3D/4D/4R/6D/8D/9R compressors (pdf) p89</t>
        </is>
      </c>
      <c r="AB1719" t="inlineStr">
        <is>
          <t>Copeland_RLA_230_460_3ph_60Hz.xlsx</t>
        </is>
      </c>
      <c r="AC1719" t="inlineStr">
        <is>
          <t>Recip_2D-9R</t>
        </is>
      </c>
    </row>
    <row r="1720">
      <c r="A1720" t="inlineStr">
        <is>
          <t>COPELAND</t>
        </is>
      </c>
      <c r="B1720" t="inlineStr">
        <is>
          <t>6DR1A4000-TXN</t>
        </is>
      </c>
      <c r="D1720" t="inlineStr">
        <is>
          <t>Reciprocating Semi-hermetic</t>
        </is>
      </c>
      <c r="E1720" s="2" t="n">
        <v>3</v>
      </c>
      <c r="F1720" s="2" t="n">
        <v>60</v>
      </c>
      <c r="G1720" s="2" t="n">
        <v>460</v>
      </c>
      <c r="H1720" t="inlineStr">
        <is>
          <t>460</t>
        </is>
      </c>
      <c r="I1720" s="2" t="n">
        <v>460</v>
      </c>
      <c r="J1720" s="2" t="n">
        <v>460</v>
      </c>
      <c r="L1720" s="3" t="n"/>
      <c r="M1720" s="3" t="n"/>
      <c r="N1720" s="3" t="n"/>
      <c r="O1720" s="3" t="n"/>
      <c r="P1720" s="3">
        <f>IF(L1720&lt;&gt;"",L1720/1.4,"")</f>
        <v/>
      </c>
      <c r="Q1720" s="3">
        <f>IF(L1720&lt;&gt;"",L1720/1.56,"")</f>
        <v/>
      </c>
      <c r="R1720" s="3">
        <f>IF(M1720&lt;&gt;"",M1720/1.4,"")</f>
        <v/>
      </c>
      <c r="S1720" s="3">
        <f>IF(M1720&lt;&gt;"",M1720/1.56,"")</f>
        <v/>
      </c>
      <c r="T1720" s="3">
        <f>IF(N1720&lt;&gt;"",N1720,IF(O1720&lt;&gt;"",O1720,IF(L1720&lt;&gt;"",L1720/1.56,IF(M1720&lt;&gt;"",M1720/1.56,""))))</f>
        <v/>
      </c>
      <c r="U1720" s="3" t="n">
        <v>297</v>
      </c>
      <c r="V1720" s="3" t="n"/>
      <c r="W1720" s="3" t="n"/>
      <c r="X1720" s="4" t="n"/>
      <c r="Y1720" s="5" t="n">
        <v>0.34</v>
      </c>
      <c r="Z1720" s="4">
        <f>IF(L1720&lt;&gt;"",SQRT(3)*G1720*L1720/1000,"")</f>
        <v/>
      </c>
      <c r="AA1720" t="inlineStr">
        <is>
          <t>Source=Copeland 2D/3D/4D/4R/6D/8D/9R compressors (pdf) p89</t>
        </is>
      </c>
      <c r="AB1720" t="inlineStr">
        <is>
          <t>Copeland_RLA_230_460_3ph_60Hz.xlsx</t>
        </is>
      </c>
      <c r="AC1720" t="inlineStr">
        <is>
          <t>Recip_2D-9R</t>
        </is>
      </c>
    </row>
    <row r="1721">
      <c r="A1721" t="inlineStr">
        <is>
          <t>COPELAND</t>
        </is>
      </c>
      <c r="B1721" t="inlineStr">
        <is>
          <t>6DR1R40M0-FSD</t>
        </is>
      </c>
      <c r="D1721" t="inlineStr">
        <is>
          <t>Reciprocating Semi-hermetic</t>
        </is>
      </c>
      <c r="E1721" s="2" t="n">
        <v>3</v>
      </c>
      <c r="F1721" s="2" t="n">
        <v>60</v>
      </c>
      <c r="G1721" s="2" t="n">
        <v>460</v>
      </c>
      <c r="H1721" t="inlineStr">
        <is>
          <t>460</t>
        </is>
      </c>
      <c r="I1721" s="2" t="n">
        <v>460</v>
      </c>
      <c r="J1721" s="2" t="n">
        <v>460</v>
      </c>
      <c r="L1721" s="3" t="n"/>
      <c r="M1721" s="3" t="n"/>
      <c r="N1721" s="3" t="n">
        <v>69.3</v>
      </c>
      <c r="O1721" s="3" t="n"/>
      <c r="P1721" s="3">
        <f>IF(L1721&lt;&gt;"",L1721/1.4,"")</f>
        <v/>
      </c>
      <c r="Q1721" s="3">
        <f>IF(L1721&lt;&gt;"",L1721/1.56,"")</f>
        <v/>
      </c>
      <c r="R1721" s="3">
        <f>IF(M1721&lt;&gt;"",M1721/1.4,"")</f>
        <v/>
      </c>
      <c r="S1721" s="3">
        <f>IF(M1721&lt;&gt;"",M1721/1.56,"")</f>
        <v/>
      </c>
      <c r="T1721" s="3">
        <f>IF(N1721&lt;&gt;"",N1721,IF(O1721&lt;&gt;"",O1721,IF(L1721&lt;&gt;"",L1721/1.56,IF(M1721&lt;&gt;"",M1721/1.56,""))))</f>
        <v/>
      </c>
      <c r="U1721" s="3" t="n">
        <v>300</v>
      </c>
      <c r="V1721" s="3" t="n">
        <v>170</v>
      </c>
      <c r="W1721" s="3" t="n"/>
      <c r="X1721" s="4" t="n"/>
      <c r="Y1721" s="5" t="n">
        <v>0.352</v>
      </c>
      <c r="Z1721" s="4">
        <f>IF(L1721&lt;&gt;"",SQRT(3)*G1721*L1721/1000,"")</f>
        <v/>
      </c>
      <c r="AA1721" t="inlineStr">
        <is>
          <t>Source=Copeland 2D/3D/4D/4R/6D/8D/9R compressors (pdf) p89; PWS_RLA=34.7</t>
        </is>
      </c>
      <c r="AB1721" t="inlineStr">
        <is>
          <t>Copeland_RLA_230_460_3ph_60Hz.xlsx</t>
        </is>
      </c>
      <c r="AC1721" t="inlineStr">
        <is>
          <t>Recip_2D-9R</t>
        </is>
      </c>
    </row>
    <row r="1722">
      <c r="A1722" t="inlineStr">
        <is>
          <t>COPELAND</t>
        </is>
      </c>
      <c r="B1722" t="inlineStr">
        <is>
          <t>6DR1R40M0-TSN</t>
        </is>
      </c>
      <c r="D1722" t="inlineStr">
        <is>
          <t>Reciprocating Semi-hermetic</t>
        </is>
      </c>
      <c r="E1722" s="2" t="n">
        <v>3</v>
      </c>
      <c r="F1722" s="2" t="n">
        <v>60</v>
      </c>
      <c r="G1722" s="2" t="n">
        <v>230</v>
      </c>
      <c r="H1722" t="inlineStr">
        <is>
          <t>230</t>
        </is>
      </c>
      <c r="I1722" s="2" t="n">
        <v>230</v>
      </c>
      <c r="J1722" s="2" t="n">
        <v>230</v>
      </c>
      <c r="L1722" s="3" t="n"/>
      <c r="M1722" s="3" t="n"/>
      <c r="N1722" s="3" t="n">
        <v>141.4</v>
      </c>
      <c r="O1722" s="3" t="n"/>
      <c r="P1722" s="3">
        <f>IF(L1722&lt;&gt;"",L1722/1.4,"")</f>
        <v/>
      </c>
      <c r="Q1722" s="3">
        <f>IF(L1722&lt;&gt;"",L1722/1.56,"")</f>
        <v/>
      </c>
      <c r="R1722" s="3">
        <f>IF(M1722&lt;&gt;"",M1722/1.4,"")</f>
        <v/>
      </c>
      <c r="S1722" s="3">
        <f>IF(M1722&lt;&gt;"",M1722/1.56,"")</f>
        <v/>
      </c>
      <c r="T1722" s="3">
        <f>IF(N1722&lt;&gt;"",N1722,IF(O1722&lt;&gt;"",O1722,IF(L1722&lt;&gt;"",L1722/1.56,IF(M1722&lt;&gt;"",M1722/1.56,""))))</f>
        <v/>
      </c>
      <c r="U1722" s="3" t="n">
        <v>594</v>
      </c>
      <c r="V1722" s="3" t="n">
        <v>340</v>
      </c>
      <c r="W1722" s="3" t="n"/>
      <c r="X1722" s="4" t="n"/>
      <c r="Y1722" s="5" t="n">
        <v>0.08500000000000001</v>
      </c>
      <c r="Z1722" s="4">
        <f>IF(L1722&lt;&gt;"",SQRT(3)*G1722*L1722/1000,"")</f>
        <v/>
      </c>
      <c r="AA1722" t="inlineStr">
        <is>
          <t>Source=Copeland 2D/3D/4D/4R/6D/8D/9R compressors (pdf) p89; PWS_RLA=70.5</t>
        </is>
      </c>
      <c r="AB1722" t="inlineStr">
        <is>
          <t>Copeland_RLA_230_460_3ph_60Hz.xlsx</t>
        </is>
      </c>
      <c r="AC1722" t="inlineStr">
        <is>
          <t>Recip_2D-9R</t>
        </is>
      </c>
    </row>
    <row r="1723">
      <c r="A1723" t="inlineStr">
        <is>
          <t>COPELAND</t>
        </is>
      </c>
      <c r="B1723" t="inlineStr">
        <is>
          <t>6DR1R40M0-TSN</t>
        </is>
      </c>
      <c r="D1723" t="inlineStr">
        <is>
          <t>Reciprocating Semi-hermetic</t>
        </is>
      </c>
      <c r="E1723" s="2" t="n">
        <v>3</v>
      </c>
      <c r="F1723" s="2" t="n">
        <v>60</v>
      </c>
      <c r="G1723" s="2" t="n">
        <v>460</v>
      </c>
      <c r="H1723" t="inlineStr">
        <is>
          <t>460</t>
        </is>
      </c>
      <c r="I1723" s="2" t="n">
        <v>460</v>
      </c>
      <c r="J1723" s="2" t="n">
        <v>460</v>
      </c>
      <c r="L1723" s="3" t="n"/>
      <c r="M1723" s="3" t="n"/>
      <c r="N1723" s="3" t="n">
        <v>70.7</v>
      </c>
      <c r="O1723" s="3" t="n"/>
      <c r="P1723" s="3">
        <f>IF(L1723&lt;&gt;"",L1723/1.4,"")</f>
        <v/>
      </c>
      <c r="Q1723" s="3">
        <f>IF(L1723&lt;&gt;"",L1723/1.56,"")</f>
        <v/>
      </c>
      <c r="R1723" s="3">
        <f>IF(M1723&lt;&gt;"",M1723/1.4,"")</f>
        <v/>
      </c>
      <c r="S1723" s="3">
        <f>IF(M1723&lt;&gt;"",M1723/1.56,"")</f>
        <v/>
      </c>
      <c r="T1723" s="3">
        <f>IF(N1723&lt;&gt;"",N1723,IF(O1723&lt;&gt;"",O1723,IF(L1723&lt;&gt;"",L1723/1.56,IF(M1723&lt;&gt;"",M1723/1.56,""))))</f>
        <v/>
      </c>
      <c r="U1723" s="3" t="n">
        <v>297</v>
      </c>
      <c r="V1723" s="3" t="n"/>
      <c r="W1723" s="3" t="n"/>
      <c r="X1723" s="4" t="n"/>
      <c r="Y1723" s="5" t="n">
        <v>0.34</v>
      </c>
      <c r="Z1723" s="4">
        <f>IF(L1723&lt;&gt;"",SQRT(3)*G1723*L1723/1000,"")</f>
        <v/>
      </c>
      <c r="AA1723" t="inlineStr">
        <is>
          <t>Source=Copeland 2D/3D/4D/4R/6D/8D/9R compressors (pdf) p89</t>
        </is>
      </c>
      <c r="AB1723" t="inlineStr">
        <is>
          <t>Copeland_RLA_230_460_3ph_60Hz.xlsx</t>
        </is>
      </c>
      <c r="AC1723" t="inlineStr">
        <is>
          <t>Recip_2D-9R</t>
        </is>
      </c>
    </row>
    <row r="1724">
      <c r="A1724" t="inlineStr">
        <is>
          <t>COPELAND</t>
        </is>
      </c>
      <c r="B1724" t="inlineStr">
        <is>
          <t>6DR3-300E-TSK</t>
        </is>
      </c>
      <c r="D1724" t="inlineStr">
        <is>
          <t>Reciprocating Semi-hermetic</t>
        </is>
      </c>
      <c r="E1724" s="2" t="n">
        <v>3</v>
      </c>
      <c r="F1724" s="2" t="n">
        <v>60</v>
      </c>
      <c r="G1724" s="2" t="n">
        <v>230</v>
      </c>
      <c r="H1724" t="inlineStr">
        <is>
          <t>208/230</t>
        </is>
      </c>
      <c r="I1724" s="2" t="n">
        <v>208</v>
      </c>
      <c r="J1724" s="2" t="n">
        <v>230</v>
      </c>
      <c r="L1724" s="3" t="n"/>
      <c r="M1724" s="3" t="n"/>
      <c r="N1724" s="3" t="n">
        <v>100</v>
      </c>
      <c r="O1724" s="3" t="n"/>
      <c r="P1724" s="3">
        <f>IF(L1724&lt;&gt;"",L1724/1.4,"")</f>
        <v/>
      </c>
      <c r="Q1724" s="3">
        <f>IF(L1724&lt;&gt;"",L1724/1.56,"")</f>
        <v/>
      </c>
      <c r="R1724" s="3">
        <f>IF(M1724&lt;&gt;"",M1724/1.4,"")</f>
        <v/>
      </c>
      <c r="S1724" s="3">
        <f>IF(M1724&lt;&gt;"",M1724/1.56,"")</f>
        <v/>
      </c>
      <c r="T1724" s="3">
        <f>IF(N1724&lt;&gt;"",N1724,IF(O1724&lt;&gt;"",O1724,IF(L1724&lt;&gt;"",L1724/1.56,IF(M1724&lt;&gt;"",M1724/1.56,""))))</f>
        <v/>
      </c>
      <c r="U1724" s="3" t="n">
        <v>470</v>
      </c>
      <c r="V1724" s="3" t="n">
        <v>292</v>
      </c>
      <c r="W1724" s="3" t="n"/>
      <c r="X1724" s="4" t="n"/>
      <c r="Y1724" s="5" t="n">
        <v>0.111</v>
      </c>
      <c r="Z1724" s="4">
        <f>IF(L1724&lt;&gt;"",SQRT(3)*G1724*L1724/1000,"")</f>
        <v/>
      </c>
      <c r="AA1724" t="inlineStr">
        <is>
          <t>Source=Copeland 2D/3D/4D/4R/6D/8D/9R compressors (pdf) p89; PWS_RLA=50.0</t>
        </is>
      </c>
      <c r="AB1724" t="inlineStr">
        <is>
          <t>Copeland_RLA_230_460_3ph_60Hz.xlsx</t>
        </is>
      </c>
      <c r="AC1724" t="inlineStr">
        <is>
          <t>Recip_2D-9R</t>
        </is>
      </c>
    </row>
    <row r="1725">
      <c r="A1725" t="inlineStr">
        <is>
          <t>COPELAND</t>
        </is>
      </c>
      <c r="B1725" t="inlineStr">
        <is>
          <t>6DR3-300E-TSK</t>
        </is>
      </c>
      <c r="D1725" t="inlineStr">
        <is>
          <t>Reciprocating Semi-hermetic</t>
        </is>
      </c>
      <c r="E1725" s="2" t="n">
        <v>3</v>
      </c>
      <c r="F1725" s="2" t="n">
        <v>60</v>
      </c>
      <c r="G1725" s="2" t="n">
        <v>460</v>
      </c>
      <c r="H1725" t="inlineStr">
        <is>
          <t>460</t>
        </is>
      </c>
      <c r="I1725" s="2" t="n">
        <v>460</v>
      </c>
      <c r="J1725" s="2" t="n">
        <v>460</v>
      </c>
      <c r="L1725" s="3" t="n"/>
      <c r="M1725" s="3" t="n"/>
      <c r="N1725" s="3" t="n">
        <v>50</v>
      </c>
      <c r="O1725" s="3" t="n"/>
      <c r="P1725" s="3">
        <f>IF(L1725&lt;&gt;"",L1725/1.4,"")</f>
        <v/>
      </c>
      <c r="Q1725" s="3">
        <f>IF(L1725&lt;&gt;"",L1725/1.56,"")</f>
        <v/>
      </c>
      <c r="R1725" s="3">
        <f>IF(M1725&lt;&gt;"",M1725/1.4,"")</f>
        <v/>
      </c>
      <c r="S1725" s="3">
        <f>IF(M1725&lt;&gt;"",M1725/1.56,"")</f>
        <v/>
      </c>
      <c r="T1725" s="3">
        <f>IF(N1725&lt;&gt;"",N1725,IF(O1725&lt;&gt;"",O1725,IF(L1725&lt;&gt;"",L1725/1.56,IF(M1725&lt;&gt;"",M1725/1.56,""))))</f>
        <v/>
      </c>
      <c r="U1725" s="3" t="n">
        <v>235</v>
      </c>
      <c r="V1725" s="3" t="n"/>
      <c r="W1725" s="3" t="n"/>
      <c r="X1725" s="4" t="n"/>
      <c r="Y1725" s="5" t="n">
        <v>0.444</v>
      </c>
      <c r="Z1725" s="4">
        <f>IF(L1725&lt;&gt;"",SQRT(3)*G1725*L1725/1000,"")</f>
        <v/>
      </c>
      <c r="AA1725" t="inlineStr">
        <is>
          <t>Source=Copeland 2D/3D/4D/4R/6D/8D/9R compressors (pdf) p89</t>
        </is>
      </c>
      <c r="AB1725" t="inlineStr">
        <is>
          <t>Copeland_RLA_230_460_3ph_60Hz.xlsx</t>
        </is>
      </c>
      <c r="AC1725" t="inlineStr">
        <is>
          <t>Recip_2D-9R</t>
        </is>
      </c>
    </row>
    <row r="1726">
      <c r="A1726" t="inlineStr">
        <is>
          <t>COPELAND</t>
        </is>
      </c>
      <c r="B1726" t="inlineStr">
        <is>
          <t>6DR3-300L-TSK</t>
        </is>
      </c>
      <c r="D1726" t="inlineStr">
        <is>
          <t>Reciprocating Semi-hermetic</t>
        </is>
      </c>
      <c r="E1726" s="2" t="n">
        <v>3</v>
      </c>
      <c r="F1726" s="2" t="n">
        <v>60</v>
      </c>
      <c r="G1726" s="2" t="n">
        <v>230</v>
      </c>
      <c r="H1726" t="inlineStr">
        <is>
          <t>208/230</t>
        </is>
      </c>
      <c r="I1726" s="2" t="n">
        <v>208</v>
      </c>
      <c r="J1726" s="2" t="n">
        <v>230</v>
      </c>
      <c r="L1726" s="3" t="n"/>
      <c r="M1726" s="3" t="n"/>
      <c r="N1726" s="3" t="n">
        <v>100</v>
      </c>
      <c r="O1726" s="3" t="n"/>
      <c r="P1726" s="3">
        <f>IF(L1726&lt;&gt;"",L1726/1.4,"")</f>
        <v/>
      </c>
      <c r="Q1726" s="3">
        <f>IF(L1726&lt;&gt;"",L1726/1.56,"")</f>
        <v/>
      </c>
      <c r="R1726" s="3">
        <f>IF(M1726&lt;&gt;"",M1726/1.4,"")</f>
        <v/>
      </c>
      <c r="S1726" s="3">
        <f>IF(M1726&lt;&gt;"",M1726/1.56,"")</f>
        <v/>
      </c>
      <c r="T1726" s="3">
        <f>IF(N1726&lt;&gt;"",N1726,IF(O1726&lt;&gt;"",O1726,IF(L1726&lt;&gt;"",L1726/1.56,IF(M1726&lt;&gt;"",M1726/1.56,""))))</f>
        <v/>
      </c>
      <c r="U1726" s="3" t="n">
        <v>470</v>
      </c>
      <c r="V1726" s="3" t="n">
        <v>292</v>
      </c>
      <c r="W1726" s="3" t="n"/>
      <c r="X1726" s="4" t="n"/>
      <c r="Y1726" s="5" t="n">
        <v>0.111</v>
      </c>
      <c r="Z1726" s="4">
        <f>IF(L1726&lt;&gt;"",SQRT(3)*G1726*L1726/1000,"")</f>
        <v/>
      </c>
      <c r="AA1726" t="inlineStr">
        <is>
          <t>Source=Copeland 2D/3D/4D/4R/6D/8D/9R compressors (pdf) p89; PWS_RLA=50.0</t>
        </is>
      </c>
      <c r="AB1726" t="inlineStr">
        <is>
          <t>Copeland_RLA_230_460_3ph_60Hz.xlsx</t>
        </is>
      </c>
      <c r="AC1726" t="inlineStr">
        <is>
          <t>Recip_2D-9R</t>
        </is>
      </c>
    </row>
    <row r="1727">
      <c r="A1727" t="inlineStr">
        <is>
          <t>COPELAND</t>
        </is>
      </c>
      <c r="B1727" t="inlineStr">
        <is>
          <t>6DR3-300L-TSK</t>
        </is>
      </c>
      <c r="D1727" t="inlineStr">
        <is>
          <t>Reciprocating Semi-hermetic</t>
        </is>
      </c>
      <c r="E1727" s="2" t="n">
        <v>3</v>
      </c>
      <c r="F1727" s="2" t="n">
        <v>60</v>
      </c>
      <c r="G1727" s="2" t="n">
        <v>460</v>
      </c>
      <c r="H1727" t="inlineStr">
        <is>
          <t>460</t>
        </is>
      </c>
      <c r="I1727" s="2" t="n">
        <v>460</v>
      </c>
      <c r="J1727" s="2" t="n">
        <v>460</v>
      </c>
      <c r="L1727" s="3" t="n"/>
      <c r="M1727" s="3" t="n"/>
      <c r="N1727" s="3" t="n">
        <v>50</v>
      </c>
      <c r="O1727" s="3" t="n"/>
      <c r="P1727" s="3">
        <f>IF(L1727&lt;&gt;"",L1727/1.4,"")</f>
        <v/>
      </c>
      <c r="Q1727" s="3">
        <f>IF(L1727&lt;&gt;"",L1727/1.56,"")</f>
        <v/>
      </c>
      <c r="R1727" s="3">
        <f>IF(M1727&lt;&gt;"",M1727/1.4,"")</f>
        <v/>
      </c>
      <c r="S1727" s="3">
        <f>IF(M1727&lt;&gt;"",M1727/1.56,"")</f>
        <v/>
      </c>
      <c r="T1727" s="3">
        <f>IF(N1727&lt;&gt;"",N1727,IF(O1727&lt;&gt;"",O1727,IF(L1727&lt;&gt;"",L1727/1.56,IF(M1727&lt;&gt;"",M1727/1.56,""))))</f>
        <v/>
      </c>
      <c r="U1727" s="3" t="n">
        <v>235</v>
      </c>
      <c r="V1727" s="3" t="n"/>
      <c r="W1727" s="3" t="n"/>
      <c r="X1727" s="4" t="n"/>
      <c r="Y1727" s="5" t="n">
        <v>0.444</v>
      </c>
      <c r="Z1727" s="4">
        <f>IF(L1727&lt;&gt;"",SQRT(3)*G1727*L1727/1000,"")</f>
        <v/>
      </c>
      <c r="AA1727" t="inlineStr">
        <is>
          <t>Source=Copeland 2D/3D/4D/4R/6D/8D/9R compressors (pdf) p89</t>
        </is>
      </c>
      <c r="AB1727" t="inlineStr">
        <is>
          <t>Copeland_RLA_230_460_3ph_60Hz.xlsx</t>
        </is>
      </c>
      <c r="AC1727" t="inlineStr">
        <is>
          <t>Recip_2D-9R</t>
        </is>
      </c>
    </row>
    <row r="1728">
      <c r="A1728" t="inlineStr">
        <is>
          <t>COPELAND</t>
        </is>
      </c>
      <c r="B1728" t="inlineStr">
        <is>
          <t>6DR3-4000-FSD</t>
        </is>
      </c>
      <c r="D1728" t="inlineStr">
        <is>
          <t>Reciprocating Semi-hermetic</t>
        </is>
      </c>
      <c r="E1728" s="2" t="n">
        <v>3</v>
      </c>
      <c r="F1728" s="2" t="n">
        <v>60</v>
      </c>
      <c r="G1728" s="2" t="n">
        <v>460</v>
      </c>
      <c r="H1728" t="inlineStr">
        <is>
          <t>460</t>
        </is>
      </c>
      <c r="I1728" s="2" t="n">
        <v>460</v>
      </c>
      <c r="J1728" s="2" t="n">
        <v>460</v>
      </c>
      <c r="L1728" s="3" t="n"/>
      <c r="M1728" s="3" t="n"/>
      <c r="N1728" s="3" t="n">
        <v>70</v>
      </c>
      <c r="O1728" s="3" t="n"/>
      <c r="P1728" s="3">
        <f>IF(L1728&lt;&gt;"",L1728/1.4,"")</f>
        <v/>
      </c>
      <c r="Q1728" s="3">
        <f>IF(L1728&lt;&gt;"",L1728/1.56,"")</f>
        <v/>
      </c>
      <c r="R1728" s="3">
        <f>IF(M1728&lt;&gt;"",M1728/1.4,"")</f>
        <v/>
      </c>
      <c r="S1728" s="3">
        <f>IF(M1728&lt;&gt;"",M1728/1.56,"")</f>
        <v/>
      </c>
      <c r="T1728" s="3">
        <f>IF(N1728&lt;&gt;"",N1728,IF(O1728&lt;&gt;"",O1728,IF(L1728&lt;&gt;"",L1728/1.56,IF(M1728&lt;&gt;"",M1728/1.56,""))))</f>
        <v/>
      </c>
      <c r="U1728" s="3" t="n">
        <v>315</v>
      </c>
      <c r="V1728" s="3" t="n">
        <v>195</v>
      </c>
      <c r="W1728" s="3" t="n"/>
      <c r="X1728" s="4" t="n"/>
      <c r="Y1728" s="5" t="n">
        <v>0.32</v>
      </c>
      <c r="Z1728" s="4">
        <f>IF(L1728&lt;&gt;"",SQRT(3)*G1728*L1728/1000,"")</f>
        <v/>
      </c>
      <c r="AA1728" t="inlineStr">
        <is>
          <t>Source=Copeland 2D/3D/4D/4R/6D/8D/9R compressors (pdf) p89; PWS_RLA=35.0</t>
        </is>
      </c>
      <c r="AB1728" t="inlineStr">
        <is>
          <t>Copeland_RLA_230_460_3ph_60Hz.xlsx</t>
        </is>
      </c>
      <c r="AC1728" t="inlineStr">
        <is>
          <t>Recip_2D-9R</t>
        </is>
      </c>
    </row>
    <row r="1729">
      <c r="A1729" t="inlineStr">
        <is>
          <t>COPELAND</t>
        </is>
      </c>
      <c r="B1729" t="inlineStr">
        <is>
          <t>6DR3-4000-FXD</t>
        </is>
      </c>
      <c r="D1729" t="inlineStr">
        <is>
          <t>Reciprocating Semi-hermetic</t>
        </is>
      </c>
      <c r="E1729" s="2" t="n">
        <v>3</v>
      </c>
      <c r="F1729" s="2" t="n">
        <v>60</v>
      </c>
      <c r="G1729" s="2" t="n">
        <v>460</v>
      </c>
      <c r="H1729" t="inlineStr">
        <is>
          <t>460</t>
        </is>
      </c>
      <c r="I1729" s="2" t="n">
        <v>460</v>
      </c>
      <c r="J1729" s="2" t="n">
        <v>460</v>
      </c>
      <c r="L1729" s="3" t="n"/>
      <c r="M1729" s="3" t="n"/>
      <c r="N1729" s="3" t="n"/>
      <c r="O1729" s="3" t="n"/>
      <c r="P1729" s="3">
        <f>IF(L1729&lt;&gt;"",L1729/1.4,"")</f>
        <v/>
      </c>
      <c r="Q1729" s="3">
        <f>IF(L1729&lt;&gt;"",L1729/1.56,"")</f>
        <v/>
      </c>
      <c r="R1729" s="3">
        <f>IF(M1729&lt;&gt;"",M1729/1.4,"")</f>
        <v/>
      </c>
      <c r="S1729" s="3">
        <f>IF(M1729&lt;&gt;"",M1729/1.56,"")</f>
        <v/>
      </c>
      <c r="T1729" s="3">
        <f>IF(N1729&lt;&gt;"",N1729,IF(O1729&lt;&gt;"",O1729,IF(L1729&lt;&gt;"",L1729/1.56,IF(M1729&lt;&gt;"",M1729/1.56,""))))</f>
        <v/>
      </c>
      <c r="U1729" s="3" t="n">
        <v>315</v>
      </c>
      <c r="V1729" s="3" t="n">
        <v>195</v>
      </c>
      <c r="W1729" s="3" t="n"/>
      <c r="X1729" s="4" t="n"/>
      <c r="Y1729" s="5" t="n">
        <v>0.32</v>
      </c>
      <c r="Z1729" s="4">
        <f>IF(L1729&lt;&gt;"",SQRT(3)*G1729*L1729/1000,"")</f>
        <v/>
      </c>
      <c r="AA1729" t="inlineStr">
        <is>
          <t>Source=Copeland 2D/3D/4D/4R/6D/8D/9R compressors (pdf) p89</t>
        </is>
      </c>
      <c r="AB1729" t="inlineStr">
        <is>
          <t>Copeland_RLA_230_460_3ph_60Hz.xlsx</t>
        </is>
      </c>
      <c r="AC1729" t="inlineStr">
        <is>
          <t>Recip_2D-9R</t>
        </is>
      </c>
    </row>
    <row r="1730">
      <c r="A1730" t="inlineStr">
        <is>
          <t>COPELAND</t>
        </is>
      </c>
      <c r="B1730" t="inlineStr">
        <is>
          <t>6DR3-4000-TSN</t>
        </is>
      </c>
      <c r="D1730" t="inlineStr">
        <is>
          <t>Reciprocating Semi-hermetic</t>
        </is>
      </c>
      <c r="E1730" s="2" t="n">
        <v>3</v>
      </c>
      <c r="F1730" s="2" t="n">
        <v>60</v>
      </c>
      <c r="G1730" s="2" t="n">
        <v>230</v>
      </c>
      <c r="H1730" t="inlineStr">
        <is>
          <t>230</t>
        </is>
      </c>
      <c r="I1730" s="2" t="n">
        <v>230</v>
      </c>
      <c r="J1730" s="2" t="n">
        <v>230</v>
      </c>
      <c r="L1730" s="3" t="n"/>
      <c r="M1730" s="3" t="n"/>
      <c r="N1730" s="3" t="n">
        <v>141.4</v>
      </c>
      <c r="O1730" s="3" t="n"/>
      <c r="P1730" s="3">
        <f>IF(L1730&lt;&gt;"",L1730/1.4,"")</f>
        <v/>
      </c>
      <c r="Q1730" s="3">
        <f>IF(L1730&lt;&gt;"",L1730/1.56,"")</f>
        <v/>
      </c>
      <c r="R1730" s="3">
        <f>IF(M1730&lt;&gt;"",M1730/1.4,"")</f>
        <v/>
      </c>
      <c r="S1730" s="3">
        <f>IF(M1730&lt;&gt;"",M1730/1.56,"")</f>
        <v/>
      </c>
      <c r="T1730" s="3">
        <f>IF(N1730&lt;&gt;"",N1730,IF(O1730&lt;&gt;"",O1730,IF(L1730&lt;&gt;"",L1730/1.56,IF(M1730&lt;&gt;"",M1730/1.56,""))))</f>
        <v/>
      </c>
      <c r="U1730" s="3" t="n">
        <v>594</v>
      </c>
      <c r="V1730" s="3" t="n">
        <v>340</v>
      </c>
      <c r="W1730" s="3" t="n"/>
      <c r="X1730" s="4" t="n"/>
      <c r="Y1730" s="5" t="n">
        <v>0.08500000000000001</v>
      </c>
      <c r="Z1730" s="4">
        <f>IF(L1730&lt;&gt;"",SQRT(3)*G1730*L1730/1000,"")</f>
        <v/>
      </c>
      <c r="AA1730" t="inlineStr">
        <is>
          <t>Source=Copeland 2D/3D/4D/4R/6D/8D/9R compressors (pdf) p89; PWS_RLA=71.0</t>
        </is>
      </c>
      <c r="AB1730" t="inlineStr">
        <is>
          <t>Copeland_RLA_230_460_3ph_60Hz.xlsx</t>
        </is>
      </c>
      <c r="AC1730" t="inlineStr">
        <is>
          <t>Recip_2D-9R</t>
        </is>
      </c>
    </row>
    <row r="1731">
      <c r="A1731" t="inlineStr">
        <is>
          <t>COPELAND</t>
        </is>
      </c>
      <c r="B1731" t="inlineStr">
        <is>
          <t>6DR3-4000-TSN</t>
        </is>
      </c>
      <c r="D1731" t="inlineStr">
        <is>
          <t>Reciprocating Semi-hermetic</t>
        </is>
      </c>
      <c r="E1731" s="2" t="n">
        <v>3</v>
      </c>
      <c r="F1731" s="2" t="n">
        <v>60</v>
      </c>
      <c r="G1731" s="2" t="n">
        <v>460</v>
      </c>
      <c r="H1731" t="inlineStr">
        <is>
          <t>460</t>
        </is>
      </c>
      <c r="I1731" s="2" t="n">
        <v>460</v>
      </c>
      <c r="J1731" s="2" t="n">
        <v>460</v>
      </c>
      <c r="L1731" s="3" t="n"/>
      <c r="M1731" s="3" t="n"/>
      <c r="N1731" s="3" t="n">
        <v>70.7</v>
      </c>
      <c r="O1731" s="3" t="n"/>
      <c r="P1731" s="3">
        <f>IF(L1731&lt;&gt;"",L1731/1.4,"")</f>
        <v/>
      </c>
      <c r="Q1731" s="3">
        <f>IF(L1731&lt;&gt;"",L1731/1.56,"")</f>
        <v/>
      </c>
      <c r="R1731" s="3">
        <f>IF(M1731&lt;&gt;"",M1731/1.4,"")</f>
        <v/>
      </c>
      <c r="S1731" s="3">
        <f>IF(M1731&lt;&gt;"",M1731/1.56,"")</f>
        <v/>
      </c>
      <c r="T1731" s="3">
        <f>IF(N1731&lt;&gt;"",N1731,IF(O1731&lt;&gt;"",O1731,IF(L1731&lt;&gt;"",L1731/1.56,IF(M1731&lt;&gt;"",M1731/1.56,""))))</f>
        <v/>
      </c>
      <c r="U1731" s="3" t="n">
        <v>297</v>
      </c>
      <c r="V1731" s="3" t="n"/>
      <c r="W1731" s="3" t="n"/>
      <c r="X1731" s="4" t="n"/>
      <c r="Y1731" s="5" t="n">
        <v>0.34</v>
      </c>
      <c r="Z1731" s="4">
        <f>IF(L1731&lt;&gt;"",SQRT(3)*G1731*L1731/1000,"")</f>
        <v/>
      </c>
      <c r="AA1731" t="inlineStr">
        <is>
          <t>Source=Copeland 2D/3D/4D/4R/6D/8D/9R compressors (pdf) p89</t>
        </is>
      </c>
      <c r="AB1731" t="inlineStr">
        <is>
          <t>Copeland_RLA_230_460_3ph_60Hz.xlsx</t>
        </is>
      </c>
      <c r="AC1731" t="inlineStr">
        <is>
          <t>Recip_2D-9R</t>
        </is>
      </c>
    </row>
    <row r="1732">
      <c r="A1732" t="inlineStr">
        <is>
          <t>COPELAND</t>
        </is>
      </c>
      <c r="B1732" t="inlineStr">
        <is>
          <t>6DR3-4000-TXN</t>
        </is>
      </c>
      <c r="D1732" t="inlineStr">
        <is>
          <t>Reciprocating Semi-hermetic</t>
        </is>
      </c>
      <c r="E1732" s="2" t="n">
        <v>3</v>
      </c>
      <c r="F1732" s="2" t="n">
        <v>60</v>
      </c>
      <c r="G1732" s="2" t="n">
        <v>230</v>
      </c>
      <c r="H1732" t="inlineStr">
        <is>
          <t>230</t>
        </is>
      </c>
      <c r="I1732" s="2" t="n">
        <v>230</v>
      </c>
      <c r="J1732" s="2" t="n">
        <v>230</v>
      </c>
      <c r="L1732" s="3" t="n"/>
      <c r="M1732" s="3" t="n"/>
      <c r="N1732" s="3" t="n"/>
      <c r="O1732" s="3" t="n"/>
      <c r="P1732" s="3">
        <f>IF(L1732&lt;&gt;"",L1732/1.4,"")</f>
        <v/>
      </c>
      <c r="Q1732" s="3">
        <f>IF(L1732&lt;&gt;"",L1732/1.56,"")</f>
        <v/>
      </c>
      <c r="R1732" s="3">
        <f>IF(M1732&lt;&gt;"",M1732/1.4,"")</f>
        <v/>
      </c>
      <c r="S1732" s="3">
        <f>IF(M1732&lt;&gt;"",M1732/1.56,"")</f>
        <v/>
      </c>
      <c r="T1732" s="3">
        <f>IF(N1732&lt;&gt;"",N1732,IF(O1732&lt;&gt;"",O1732,IF(L1732&lt;&gt;"",L1732/1.56,IF(M1732&lt;&gt;"",M1732/1.56,""))))</f>
        <v/>
      </c>
      <c r="U1732" s="3" t="n">
        <v>594</v>
      </c>
      <c r="V1732" s="3" t="n">
        <v>340</v>
      </c>
      <c r="W1732" s="3" t="n"/>
      <c r="X1732" s="4" t="n"/>
      <c r="Y1732" s="5" t="n">
        <v>0.08500000000000001</v>
      </c>
      <c r="Z1732" s="4">
        <f>IF(L1732&lt;&gt;"",SQRT(3)*G1732*L1732/1000,"")</f>
        <v/>
      </c>
      <c r="AA1732" t="inlineStr">
        <is>
          <t>Source=Copeland 2D/3D/4D/4R/6D/8D/9R compressors (pdf) p90</t>
        </is>
      </c>
      <c r="AB1732" t="inlineStr">
        <is>
          <t>Copeland_RLA_230_460_3ph_60Hz.xlsx</t>
        </is>
      </c>
      <c r="AC1732" t="inlineStr">
        <is>
          <t>Recip_2D-9R</t>
        </is>
      </c>
    </row>
    <row r="1733">
      <c r="A1733" t="inlineStr">
        <is>
          <t>COPELAND</t>
        </is>
      </c>
      <c r="B1733" t="inlineStr">
        <is>
          <t>6DR3-4000-TXN</t>
        </is>
      </c>
      <c r="D1733" t="inlineStr">
        <is>
          <t>Reciprocating Semi-hermetic</t>
        </is>
      </c>
      <c r="E1733" s="2" t="n">
        <v>3</v>
      </c>
      <c r="F1733" s="2" t="n">
        <v>60</v>
      </c>
      <c r="G1733" s="2" t="n">
        <v>460</v>
      </c>
      <c r="H1733" t="inlineStr">
        <is>
          <t>460</t>
        </is>
      </c>
      <c r="I1733" s="2" t="n">
        <v>460</v>
      </c>
      <c r="J1733" s="2" t="n">
        <v>460</v>
      </c>
      <c r="L1733" s="3" t="n"/>
      <c r="M1733" s="3" t="n"/>
      <c r="N1733" s="3" t="n"/>
      <c r="O1733" s="3" t="n"/>
      <c r="P1733" s="3">
        <f>IF(L1733&lt;&gt;"",L1733/1.4,"")</f>
        <v/>
      </c>
      <c r="Q1733" s="3">
        <f>IF(L1733&lt;&gt;"",L1733/1.56,"")</f>
        <v/>
      </c>
      <c r="R1733" s="3">
        <f>IF(M1733&lt;&gt;"",M1733/1.4,"")</f>
        <v/>
      </c>
      <c r="S1733" s="3">
        <f>IF(M1733&lt;&gt;"",M1733/1.56,"")</f>
        <v/>
      </c>
      <c r="T1733" s="3">
        <f>IF(N1733&lt;&gt;"",N1733,IF(O1733&lt;&gt;"",O1733,IF(L1733&lt;&gt;"",L1733/1.56,IF(M1733&lt;&gt;"",M1733/1.56,""))))</f>
        <v/>
      </c>
      <c r="U1733" s="3" t="n">
        <v>297</v>
      </c>
      <c r="V1733" s="3" t="n"/>
      <c r="W1733" s="3" t="n"/>
      <c r="X1733" s="4" t="n"/>
      <c r="Y1733" s="5" t="n">
        <v>0.34</v>
      </c>
      <c r="Z1733" s="4">
        <f>IF(L1733&lt;&gt;"",SQRT(3)*G1733*L1733/1000,"")</f>
        <v/>
      </c>
      <c r="AA1733" t="inlineStr">
        <is>
          <t>Source=Copeland 2D/3D/4D/4R/6D/8D/9R compressors (pdf) p90</t>
        </is>
      </c>
      <c r="AB1733" t="inlineStr">
        <is>
          <t>Copeland_RLA_230_460_3ph_60Hz.xlsx</t>
        </is>
      </c>
      <c r="AC1733" t="inlineStr">
        <is>
          <t>Recip_2D-9R</t>
        </is>
      </c>
    </row>
    <row r="1734">
      <c r="A1734" t="inlineStr">
        <is>
          <t>COPELAND</t>
        </is>
      </c>
      <c r="B1734" t="inlineStr">
        <is>
          <t>6DR3-400E-FSD</t>
        </is>
      </c>
      <c r="D1734" t="inlineStr">
        <is>
          <t>Reciprocating Semi-hermetic</t>
        </is>
      </c>
      <c r="E1734" s="2" t="n">
        <v>3</v>
      </c>
      <c r="F1734" s="2" t="n">
        <v>60</v>
      </c>
      <c r="G1734" s="2" t="n">
        <v>460</v>
      </c>
      <c r="H1734" t="inlineStr">
        <is>
          <t>460</t>
        </is>
      </c>
      <c r="I1734" s="2" t="n">
        <v>460</v>
      </c>
      <c r="J1734" s="2" t="n">
        <v>460</v>
      </c>
      <c r="L1734" s="3" t="n"/>
      <c r="M1734" s="3" t="n"/>
      <c r="N1734" s="3" t="n">
        <v>70</v>
      </c>
      <c r="O1734" s="3" t="n"/>
      <c r="P1734" s="3">
        <f>IF(L1734&lt;&gt;"",L1734/1.4,"")</f>
        <v/>
      </c>
      <c r="Q1734" s="3">
        <f>IF(L1734&lt;&gt;"",L1734/1.56,"")</f>
        <v/>
      </c>
      <c r="R1734" s="3">
        <f>IF(M1734&lt;&gt;"",M1734/1.4,"")</f>
        <v/>
      </c>
      <c r="S1734" s="3">
        <f>IF(M1734&lt;&gt;"",M1734/1.56,"")</f>
        <v/>
      </c>
      <c r="T1734" s="3">
        <f>IF(N1734&lt;&gt;"",N1734,IF(O1734&lt;&gt;"",O1734,IF(L1734&lt;&gt;"",L1734/1.56,IF(M1734&lt;&gt;"",M1734/1.56,""))))</f>
        <v/>
      </c>
      <c r="U1734" s="3" t="n">
        <v>315</v>
      </c>
      <c r="V1734" s="3" t="n">
        <v>195</v>
      </c>
      <c r="W1734" s="3" t="n"/>
      <c r="X1734" s="4" t="n"/>
      <c r="Y1734" s="5" t="n">
        <v>0.32</v>
      </c>
      <c r="Z1734" s="4">
        <f>IF(L1734&lt;&gt;"",SQRT(3)*G1734*L1734/1000,"")</f>
        <v/>
      </c>
      <c r="AA1734" t="inlineStr">
        <is>
          <t>Source=Copeland 2D/3D/4D/4R/6D/8D/9R compressors (pdf) p90; PWS_RLA=35.0</t>
        </is>
      </c>
      <c r="AB1734" t="inlineStr">
        <is>
          <t>Copeland_RLA_230_460_3ph_60Hz.xlsx</t>
        </is>
      </c>
      <c r="AC1734" t="inlineStr">
        <is>
          <t>Recip_2D-9R</t>
        </is>
      </c>
    </row>
    <row r="1735">
      <c r="A1735" t="inlineStr">
        <is>
          <t>COPELAND</t>
        </is>
      </c>
      <c r="B1735" t="inlineStr">
        <is>
          <t>6DR3-400E-TSN</t>
        </is>
      </c>
      <c r="D1735" t="inlineStr">
        <is>
          <t>Reciprocating Semi-hermetic</t>
        </is>
      </c>
      <c r="E1735" s="2" t="n">
        <v>3</v>
      </c>
      <c r="F1735" s="2" t="n">
        <v>60</v>
      </c>
      <c r="G1735" s="2" t="n">
        <v>230</v>
      </c>
      <c r="H1735" t="inlineStr">
        <is>
          <t>230</t>
        </is>
      </c>
      <c r="I1735" s="2" t="n">
        <v>230</v>
      </c>
      <c r="J1735" s="2" t="n">
        <v>230</v>
      </c>
      <c r="L1735" s="3" t="n"/>
      <c r="M1735" s="3" t="n"/>
      <c r="N1735" s="3" t="n">
        <v>141.4</v>
      </c>
      <c r="O1735" s="3" t="n"/>
      <c r="P1735" s="3">
        <f>IF(L1735&lt;&gt;"",L1735/1.4,"")</f>
        <v/>
      </c>
      <c r="Q1735" s="3">
        <f>IF(L1735&lt;&gt;"",L1735/1.56,"")</f>
        <v/>
      </c>
      <c r="R1735" s="3">
        <f>IF(M1735&lt;&gt;"",M1735/1.4,"")</f>
        <v/>
      </c>
      <c r="S1735" s="3">
        <f>IF(M1735&lt;&gt;"",M1735/1.56,"")</f>
        <v/>
      </c>
      <c r="T1735" s="3">
        <f>IF(N1735&lt;&gt;"",N1735,IF(O1735&lt;&gt;"",O1735,IF(L1735&lt;&gt;"",L1735/1.56,IF(M1735&lt;&gt;"",M1735/1.56,""))))</f>
        <v/>
      </c>
      <c r="U1735" s="3" t="n">
        <v>594</v>
      </c>
      <c r="V1735" s="3" t="n">
        <v>340</v>
      </c>
      <c r="W1735" s="3" t="n"/>
      <c r="X1735" s="4" t="n"/>
      <c r="Y1735" s="5" t="n">
        <v>0.08500000000000001</v>
      </c>
      <c r="Z1735" s="4">
        <f>IF(L1735&lt;&gt;"",SQRT(3)*G1735*L1735/1000,"")</f>
        <v/>
      </c>
      <c r="AA1735" t="inlineStr">
        <is>
          <t>Source=Copeland 2D/3D/4D/4R/6D/8D/9R compressors (pdf) p90; PWS_RLA=71.0</t>
        </is>
      </c>
      <c r="AB1735" t="inlineStr">
        <is>
          <t>Copeland_RLA_230_460_3ph_60Hz.xlsx</t>
        </is>
      </c>
      <c r="AC1735" t="inlineStr">
        <is>
          <t>Recip_2D-9R</t>
        </is>
      </c>
    </row>
    <row r="1736">
      <c r="A1736" t="inlineStr">
        <is>
          <t>COPELAND</t>
        </is>
      </c>
      <c r="B1736" t="inlineStr">
        <is>
          <t>6DR3-400E-TSN</t>
        </is>
      </c>
      <c r="D1736" t="inlineStr">
        <is>
          <t>Reciprocating Semi-hermetic</t>
        </is>
      </c>
      <c r="E1736" s="2" t="n">
        <v>3</v>
      </c>
      <c r="F1736" s="2" t="n">
        <v>60</v>
      </c>
      <c r="G1736" s="2" t="n">
        <v>460</v>
      </c>
      <c r="H1736" t="inlineStr">
        <is>
          <t>460</t>
        </is>
      </c>
      <c r="I1736" s="2" t="n">
        <v>460</v>
      </c>
      <c r="J1736" s="2" t="n">
        <v>460</v>
      </c>
      <c r="L1736" s="3" t="n"/>
      <c r="M1736" s="3" t="n"/>
      <c r="N1736" s="3" t="n">
        <v>70.7</v>
      </c>
      <c r="O1736" s="3" t="n"/>
      <c r="P1736" s="3">
        <f>IF(L1736&lt;&gt;"",L1736/1.4,"")</f>
        <v/>
      </c>
      <c r="Q1736" s="3">
        <f>IF(L1736&lt;&gt;"",L1736/1.56,"")</f>
        <v/>
      </c>
      <c r="R1736" s="3">
        <f>IF(M1736&lt;&gt;"",M1736/1.4,"")</f>
        <v/>
      </c>
      <c r="S1736" s="3">
        <f>IF(M1736&lt;&gt;"",M1736/1.56,"")</f>
        <v/>
      </c>
      <c r="T1736" s="3">
        <f>IF(N1736&lt;&gt;"",N1736,IF(O1736&lt;&gt;"",O1736,IF(L1736&lt;&gt;"",L1736/1.56,IF(M1736&lt;&gt;"",M1736/1.56,""))))</f>
        <v/>
      </c>
      <c r="U1736" s="3" t="n">
        <v>297</v>
      </c>
      <c r="V1736" s="3" t="n"/>
      <c r="W1736" s="3" t="n"/>
      <c r="X1736" s="4" t="n"/>
      <c r="Y1736" s="5" t="n">
        <v>0.34</v>
      </c>
      <c r="Z1736" s="4">
        <f>IF(L1736&lt;&gt;"",SQRT(3)*G1736*L1736/1000,"")</f>
        <v/>
      </c>
      <c r="AA1736" t="inlineStr">
        <is>
          <t>Source=Copeland 2D/3D/4D/4R/6D/8D/9R compressors (pdf) p90</t>
        </is>
      </c>
      <c r="AB1736" t="inlineStr">
        <is>
          <t>Copeland_RLA_230_460_3ph_60Hz.xlsx</t>
        </is>
      </c>
      <c r="AC1736" t="inlineStr">
        <is>
          <t>Recip_2D-9R</t>
        </is>
      </c>
    </row>
    <row r="1737">
      <c r="A1737" t="inlineStr">
        <is>
          <t>COPELAND</t>
        </is>
      </c>
      <c r="B1737" t="inlineStr">
        <is>
          <t>6DR3-400L-FSD</t>
        </is>
      </c>
      <c r="D1737" t="inlineStr">
        <is>
          <t>Reciprocating Semi-hermetic</t>
        </is>
      </c>
      <c r="E1737" s="2" t="n">
        <v>3</v>
      </c>
      <c r="F1737" s="2" t="n">
        <v>60</v>
      </c>
      <c r="G1737" s="2" t="n">
        <v>460</v>
      </c>
      <c r="H1737" t="inlineStr">
        <is>
          <t>460</t>
        </is>
      </c>
      <c r="I1737" s="2" t="n">
        <v>460</v>
      </c>
      <c r="J1737" s="2" t="n">
        <v>460</v>
      </c>
      <c r="L1737" s="3" t="n"/>
      <c r="M1737" s="3" t="n"/>
      <c r="N1737" s="3" t="n">
        <v>70</v>
      </c>
      <c r="O1737" s="3" t="n"/>
      <c r="P1737" s="3">
        <f>IF(L1737&lt;&gt;"",L1737/1.4,"")</f>
        <v/>
      </c>
      <c r="Q1737" s="3">
        <f>IF(L1737&lt;&gt;"",L1737/1.56,"")</f>
        <v/>
      </c>
      <c r="R1737" s="3">
        <f>IF(M1737&lt;&gt;"",M1737/1.4,"")</f>
        <v/>
      </c>
      <c r="S1737" s="3">
        <f>IF(M1737&lt;&gt;"",M1737/1.56,"")</f>
        <v/>
      </c>
      <c r="T1737" s="3">
        <f>IF(N1737&lt;&gt;"",N1737,IF(O1737&lt;&gt;"",O1737,IF(L1737&lt;&gt;"",L1737/1.56,IF(M1737&lt;&gt;"",M1737/1.56,""))))</f>
        <v/>
      </c>
      <c r="U1737" s="3" t="n">
        <v>315</v>
      </c>
      <c r="V1737" s="3" t="n">
        <v>195</v>
      </c>
      <c r="W1737" s="3" t="n"/>
      <c r="X1737" s="4" t="n"/>
      <c r="Y1737" s="5" t="n">
        <v>0.32</v>
      </c>
      <c r="Z1737" s="4">
        <f>IF(L1737&lt;&gt;"",SQRT(3)*G1737*L1737/1000,"")</f>
        <v/>
      </c>
      <c r="AA1737" t="inlineStr">
        <is>
          <t>Source=Copeland 2D/3D/4D/4R/6D/8D/9R compressors (pdf) p90; PWS_RLA=35.0</t>
        </is>
      </c>
      <c r="AB1737" t="inlineStr">
        <is>
          <t>Copeland_RLA_230_460_3ph_60Hz.xlsx</t>
        </is>
      </c>
      <c r="AC1737" t="inlineStr">
        <is>
          <t>Recip_2D-9R</t>
        </is>
      </c>
    </row>
    <row r="1738">
      <c r="A1738" t="inlineStr">
        <is>
          <t>COPELAND</t>
        </is>
      </c>
      <c r="B1738" t="inlineStr">
        <is>
          <t>6DR3-400L-TSN</t>
        </is>
      </c>
      <c r="D1738" t="inlineStr">
        <is>
          <t>Reciprocating Semi-hermetic</t>
        </is>
      </c>
      <c r="E1738" s="2" t="n">
        <v>3</v>
      </c>
      <c r="F1738" s="2" t="n">
        <v>60</v>
      </c>
      <c r="G1738" s="2" t="n">
        <v>230</v>
      </c>
      <c r="H1738" t="inlineStr">
        <is>
          <t>230</t>
        </is>
      </c>
      <c r="I1738" s="2" t="n">
        <v>230</v>
      </c>
      <c r="J1738" s="2" t="n">
        <v>230</v>
      </c>
      <c r="L1738" s="3" t="n"/>
      <c r="M1738" s="3" t="n"/>
      <c r="N1738" s="3" t="n">
        <v>141.4</v>
      </c>
      <c r="O1738" s="3" t="n"/>
      <c r="P1738" s="3">
        <f>IF(L1738&lt;&gt;"",L1738/1.4,"")</f>
        <v/>
      </c>
      <c r="Q1738" s="3">
        <f>IF(L1738&lt;&gt;"",L1738/1.56,"")</f>
        <v/>
      </c>
      <c r="R1738" s="3">
        <f>IF(M1738&lt;&gt;"",M1738/1.4,"")</f>
        <v/>
      </c>
      <c r="S1738" s="3">
        <f>IF(M1738&lt;&gt;"",M1738/1.56,"")</f>
        <v/>
      </c>
      <c r="T1738" s="3">
        <f>IF(N1738&lt;&gt;"",N1738,IF(O1738&lt;&gt;"",O1738,IF(L1738&lt;&gt;"",L1738/1.56,IF(M1738&lt;&gt;"",M1738/1.56,""))))</f>
        <v/>
      </c>
      <c r="U1738" s="3" t="n">
        <v>594</v>
      </c>
      <c r="V1738" s="3" t="n">
        <v>340</v>
      </c>
      <c r="W1738" s="3" t="n"/>
      <c r="X1738" s="4" t="n"/>
      <c r="Y1738" s="5" t="n">
        <v>0.08500000000000001</v>
      </c>
      <c r="Z1738" s="4">
        <f>IF(L1738&lt;&gt;"",SQRT(3)*G1738*L1738/1000,"")</f>
        <v/>
      </c>
      <c r="AA1738" t="inlineStr">
        <is>
          <t>Source=Copeland 2D/3D/4D/4R/6D/8D/9R compressors (pdf) p90; PWS_RLA=71.0</t>
        </is>
      </c>
      <c r="AB1738" t="inlineStr">
        <is>
          <t>Copeland_RLA_230_460_3ph_60Hz.xlsx</t>
        </is>
      </c>
      <c r="AC1738" t="inlineStr">
        <is>
          <t>Recip_2D-9R</t>
        </is>
      </c>
    </row>
    <row r="1739">
      <c r="A1739" t="inlineStr">
        <is>
          <t>COPELAND</t>
        </is>
      </c>
      <c r="B1739" t="inlineStr">
        <is>
          <t>6DR3-400L-TSN</t>
        </is>
      </c>
      <c r="D1739" t="inlineStr">
        <is>
          <t>Reciprocating Semi-hermetic</t>
        </is>
      </c>
      <c r="E1739" s="2" t="n">
        <v>3</v>
      </c>
      <c r="F1739" s="2" t="n">
        <v>60</v>
      </c>
      <c r="G1739" s="2" t="n">
        <v>460</v>
      </c>
      <c r="H1739" t="inlineStr">
        <is>
          <t>460</t>
        </is>
      </c>
      <c r="I1739" s="2" t="n">
        <v>460</v>
      </c>
      <c r="J1739" s="2" t="n">
        <v>460</v>
      </c>
      <c r="L1739" s="3" t="n"/>
      <c r="M1739" s="3" t="n"/>
      <c r="N1739" s="3" t="n">
        <v>70.7</v>
      </c>
      <c r="O1739" s="3" t="n"/>
      <c r="P1739" s="3">
        <f>IF(L1739&lt;&gt;"",L1739/1.4,"")</f>
        <v/>
      </c>
      <c r="Q1739" s="3">
        <f>IF(L1739&lt;&gt;"",L1739/1.56,"")</f>
        <v/>
      </c>
      <c r="R1739" s="3">
        <f>IF(M1739&lt;&gt;"",M1739/1.4,"")</f>
        <v/>
      </c>
      <c r="S1739" s="3">
        <f>IF(M1739&lt;&gt;"",M1739/1.56,"")</f>
        <v/>
      </c>
      <c r="T1739" s="3">
        <f>IF(N1739&lt;&gt;"",N1739,IF(O1739&lt;&gt;"",O1739,IF(L1739&lt;&gt;"",L1739/1.56,IF(M1739&lt;&gt;"",M1739/1.56,""))))</f>
        <v/>
      </c>
      <c r="U1739" s="3" t="n">
        <v>297</v>
      </c>
      <c r="V1739" s="3" t="n"/>
      <c r="W1739" s="3" t="n"/>
      <c r="X1739" s="4" t="n"/>
      <c r="Y1739" s="5" t="n">
        <v>0.34</v>
      </c>
      <c r="Z1739" s="4">
        <f>IF(L1739&lt;&gt;"",SQRT(3)*G1739*L1739/1000,"")</f>
        <v/>
      </c>
      <c r="AA1739" t="inlineStr">
        <is>
          <t>Source=Copeland 2D/3D/4D/4R/6D/8D/9R compressors (pdf) p90</t>
        </is>
      </c>
      <c r="AB1739" t="inlineStr">
        <is>
          <t>Copeland_RLA_230_460_3ph_60Hz.xlsx</t>
        </is>
      </c>
      <c r="AC1739" t="inlineStr">
        <is>
          <t>Recip_2D-9R</t>
        </is>
      </c>
    </row>
    <row r="1740">
      <c r="A1740" t="inlineStr">
        <is>
          <t>COPELAND</t>
        </is>
      </c>
      <c r="B1740" t="inlineStr">
        <is>
          <t>6DR3A300E-TSK</t>
        </is>
      </c>
      <c r="D1740" t="inlineStr">
        <is>
          <t>Reciprocating Semi-hermetic</t>
        </is>
      </c>
      <c r="E1740" s="2" t="n">
        <v>3</v>
      </c>
      <c r="F1740" s="2" t="n">
        <v>60</v>
      </c>
      <c r="G1740" s="2" t="n">
        <v>230</v>
      </c>
      <c r="H1740" t="inlineStr">
        <is>
          <t>208/230</t>
        </is>
      </c>
      <c r="I1740" s="2" t="n">
        <v>208</v>
      </c>
      <c r="J1740" s="2" t="n">
        <v>230</v>
      </c>
      <c r="L1740" s="3" t="n"/>
      <c r="M1740" s="3" t="n"/>
      <c r="N1740" s="3" t="n">
        <v>100</v>
      </c>
      <c r="O1740" s="3" t="n"/>
      <c r="P1740" s="3">
        <f>IF(L1740&lt;&gt;"",L1740/1.4,"")</f>
        <v/>
      </c>
      <c r="Q1740" s="3">
        <f>IF(L1740&lt;&gt;"",L1740/1.56,"")</f>
        <v/>
      </c>
      <c r="R1740" s="3">
        <f>IF(M1740&lt;&gt;"",M1740/1.4,"")</f>
        <v/>
      </c>
      <c r="S1740" s="3">
        <f>IF(M1740&lt;&gt;"",M1740/1.56,"")</f>
        <v/>
      </c>
      <c r="T1740" s="3">
        <f>IF(N1740&lt;&gt;"",N1740,IF(O1740&lt;&gt;"",O1740,IF(L1740&lt;&gt;"",L1740/1.56,IF(M1740&lt;&gt;"",M1740/1.56,""))))</f>
        <v/>
      </c>
      <c r="U1740" s="3" t="n">
        <v>470</v>
      </c>
      <c r="V1740" s="3" t="n">
        <v>292</v>
      </c>
      <c r="W1740" s="3" t="n"/>
      <c r="X1740" s="4" t="n"/>
      <c r="Y1740" s="5" t="n">
        <v>0.111</v>
      </c>
      <c r="Z1740" s="4">
        <f>IF(L1740&lt;&gt;"",SQRT(3)*G1740*L1740/1000,"")</f>
        <v/>
      </c>
      <c r="AA1740" t="inlineStr">
        <is>
          <t>Source=Copeland 2D/3D/4D/4R/6D/8D/9R compressors (pdf) p90; PWS_RLA=50.0</t>
        </is>
      </c>
      <c r="AB1740" t="inlineStr">
        <is>
          <t>Copeland_RLA_230_460_3ph_60Hz.xlsx</t>
        </is>
      </c>
      <c r="AC1740" t="inlineStr">
        <is>
          <t>Recip_2D-9R</t>
        </is>
      </c>
    </row>
    <row r="1741">
      <c r="A1741" t="inlineStr">
        <is>
          <t>COPELAND</t>
        </is>
      </c>
      <c r="B1741" t="inlineStr">
        <is>
          <t>6DR3A300E-TSK</t>
        </is>
      </c>
      <c r="D1741" t="inlineStr">
        <is>
          <t>Reciprocating Semi-hermetic</t>
        </is>
      </c>
      <c r="E1741" s="2" t="n">
        <v>3</v>
      </c>
      <c r="F1741" s="2" t="n">
        <v>60</v>
      </c>
      <c r="G1741" s="2" t="n">
        <v>460</v>
      </c>
      <c r="H1741" t="inlineStr">
        <is>
          <t>460</t>
        </is>
      </c>
      <c r="I1741" s="2" t="n">
        <v>460</v>
      </c>
      <c r="J1741" s="2" t="n">
        <v>460</v>
      </c>
      <c r="L1741" s="3" t="n"/>
      <c r="M1741" s="3" t="n"/>
      <c r="N1741" s="3" t="n">
        <v>50</v>
      </c>
      <c r="O1741" s="3" t="n"/>
      <c r="P1741" s="3">
        <f>IF(L1741&lt;&gt;"",L1741/1.4,"")</f>
        <v/>
      </c>
      <c r="Q1741" s="3">
        <f>IF(L1741&lt;&gt;"",L1741/1.56,"")</f>
        <v/>
      </c>
      <c r="R1741" s="3">
        <f>IF(M1741&lt;&gt;"",M1741/1.4,"")</f>
        <v/>
      </c>
      <c r="S1741" s="3">
        <f>IF(M1741&lt;&gt;"",M1741/1.56,"")</f>
        <v/>
      </c>
      <c r="T1741" s="3">
        <f>IF(N1741&lt;&gt;"",N1741,IF(O1741&lt;&gt;"",O1741,IF(L1741&lt;&gt;"",L1741/1.56,IF(M1741&lt;&gt;"",M1741/1.56,""))))</f>
        <v/>
      </c>
      <c r="U1741" s="3" t="n">
        <v>235</v>
      </c>
      <c r="V1741" s="3" t="n"/>
      <c r="W1741" s="3" t="n"/>
      <c r="X1741" s="4" t="n"/>
      <c r="Y1741" s="5" t="n">
        <v>0.444</v>
      </c>
      <c r="Z1741" s="4">
        <f>IF(L1741&lt;&gt;"",SQRT(3)*G1741*L1741/1000,"")</f>
        <v/>
      </c>
      <c r="AA1741" t="inlineStr">
        <is>
          <t>Source=Copeland 2D/3D/4D/4R/6D/8D/9R compressors (pdf) p90</t>
        </is>
      </c>
      <c r="AB1741" t="inlineStr">
        <is>
          <t>Copeland_RLA_230_460_3ph_60Hz.xlsx</t>
        </is>
      </c>
      <c r="AC1741" t="inlineStr">
        <is>
          <t>Recip_2D-9R</t>
        </is>
      </c>
    </row>
    <row r="1742">
      <c r="A1742" t="inlineStr">
        <is>
          <t>COPELAND</t>
        </is>
      </c>
      <c r="B1742" t="inlineStr">
        <is>
          <t>6DR3A300L-TSK</t>
        </is>
      </c>
      <c r="D1742" t="inlineStr">
        <is>
          <t>Reciprocating Semi-hermetic</t>
        </is>
      </c>
      <c r="E1742" s="2" t="n">
        <v>3</v>
      </c>
      <c r="F1742" s="2" t="n">
        <v>60</v>
      </c>
      <c r="G1742" s="2" t="n">
        <v>230</v>
      </c>
      <c r="H1742" t="inlineStr">
        <is>
          <t>208/230</t>
        </is>
      </c>
      <c r="I1742" s="2" t="n">
        <v>208</v>
      </c>
      <c r="J1742" s="2" t="n">
        <v>230</v>
      </c>
      <c r="L1742" s="3" t="n"/>
      <c r="M1742" s="3" t="n"/>
      <c r="N1742" s="3" t="n">
        <v>100</v>
      </c>
      <c r="O1742" s="3" t="n"/>
      <c r="P1742" s="3">
        <f>IF(L1742&lt;&gt;"",L1742/1.4,"")</f>
        <v/>
      </c>
      <c r="Q1742" s="3">
        <f>IF(L1742&lt;&gt;"",L1742/1.56,"")</f>
        <v/>
      </c>
      <c r="R1742" s="3">
        <f>IF(M1742&lt;&gt;"",M1742/1.4,"")</f>
        <v/>
      </c>
      <c r="S1742" s="3">
        <f>IF(M1742&lt;&gt;"",M1742/1.56,"")</f>
        <v/>
      </c>
      <c r="T1742" s="3">
        <f>IF(N1742&lt;&gt;"",N1742,IF(O1742&lt;&gt;"",O1742,IF(L1742&lt;&gt;"",L1742/1.56,IF(M1742&lt;&gt;"",M1742/1.56,""))))</f>
        <v/>
      </c>
      <c r="U1742" s="3" t="n">
        <v>470</v>
      </c>
      <c r="V1742" s="3" t="n">
        <v>292</v>
      </c>
      <c r="W1742" s="3" t="n"/>
      <c r="X1742" s="4" t="n"/>
      <c r="Y1742" s="5" t="n">
        <v>0.111</v>
      </c>
      <c r="Z1742" s="4">
        <f>IF(L1742&lt;&gt;"",SQRT(3)*G1742*L1742/1000,"")</f>
        <v/>
      </c>
      <c r="AA1742" t="inlineStr">
        <is>
          <t>Source=Copeland 2D/3D/4D/4R/6D/8D/9R compressors (pdf) p90; PWS_RLA=50.0</t>
        </is>
      </c>
      <c r="AB1742" t="inlineStr">
        <is>
          <t>Copeland_RLA_230_460_3ph_60Hz.xlsx</t>
        </is>
      </c>
      <c r="AC1742" t="inlineStr">
        <is>
          <t>Recip_2D-9R</t>
        </is>
      </c>
    </row>
    <row r="1743">
      <c r="A1743" t="inlineStr">
        <is>
          <t>COPELAND</t>
        </is>
      </c>
      <c r="B1743" t="inlineStr">
        <is>
          <t>6DR3A300L-TSK</t>
        </is>
      </c>
      <c r="D1743" t="inlineStr">
        <is>
          <t>Reciprocating Semi-hermetic</t>
        </is>
      </c>
      <c r="E1743" s="2" t="n">
        <v>3</v>
      </c>
      <c r="F1743" s="2" t="n">
        <v>60</v>
      </c>
      <c r="G1743" s="2" t="n">
        <v>460</v>
      </c>
      <c r="H1743" t="inlineStr">
        <is>
          <t>460</t>
        </is>
      </c>
      <c r="I1743" s="2" t="n">
        <v>460</v>
      </c>
      <c r="J1743" s="2" t="n">
        <v>460</v>
      </c>
      <c r="L1743" s="3" t="n"/>
      <c r="M1743" s="3" t="n"/>
      <c r="N1743" s="3" t="n">
        <v>50</v>
      </c>
      <c r="O1743" s="3" t="n"/>
      <c r="P1743" s="3">
        <f>IF(L1743&lt;&gt;"",L1743/1.4,"")</f>
        <v/>
      </c>
      <c r="Q1743" s="3">
        <f>IF(L1743&lt;&gt;"",L1743/1.56,"")</f>
        <v/>
      </c>
      <c r="R1743" s="3">
        <f>IF(M1743&lt;&gt;"",M1743/1.4,"")</f>
        <v/>
      </c>
      <c r="S1743" s="3">
        <f>IF(M1743&lt;&gt;"",M1743/1.56,"")</f>
        <v/>
      </c>
      <c r="T1743" s="3">
        <f>IF(N1743&lt;&gt;"",N1743,IF(O1743&lt;&gt;"",O1743,IF(L1743&lt;&gt;"",L1743/1.56,IF(M1743&lt;&gt;"",M1743/1.56,""))))</f>
        <v/>
      </c>
      <c r="U1743" s="3" t="n">
        <v>235</v>
      </c>
      <c r="V1743" s="3" t="n"/>
      <c r="W1743" s="3" t="n"/>
      <c r="X1743" s="4" t="n"/>
      <c r="Y1743" s="5" t="n">
        <v>0.444</v>
      </c>
      <c r="Z1743" s="4">
        <f>IF(L1743&lt;&gt;"",SQRT(3)*G1743*L1743/1000,"")</f>
        <v/>
      </c>
      <c r="AA1743" t="inlineStr">
        <is>
          <t>Source=Copeland 2D/3D/4D/4R/6D/8D/9R compressors (pdf) p90</t>
        </is>
      </c>
      <c r="AB1743" t="inlineStr">
        <is>
          <t>Copeland_RLA_230_460_3ph_60Hz.xlsx</t>
        </is>
      </c>
      <c r="AC1743" t="inlineStr">
        <is>
          <t>Recip_2D-9R</t>
        </is>
      </c>
    </row>
    <row r="1744">
      <c r="A1744" t="inlineStr">
        <is>
          <t>COPELAND</t>
        </is>
      </c>
      <c r="B1744" t="inlineStr">
        <is>
          <t>6DR3A4000-FSD</t>
        </is>
      </c>
      <c r="D1744" t="inlineStr">
        <is>
          <t>Reciprocating Semi-hermetic</t>
        </is>
      </c>
      <c r="E1744" s="2" t="n">
        <v>3</v>
      </c>
      <c r="F1744" s="2" t="n">
        <v>60</v>
      </c>
      <c r="G1744" s="2" t="n">
        <v>460</v>
      </c>
      <c r="H1744" t="inlineStr">
        <is>
          <t>460</t>
        </is>
      </c>
      <c r="I1744" s="2" t="n">
        <v>460</v>
      </c>
      <c r="J1744" s="2" t="n">
        <v>460</v>
      </c>
      <c r="L1744" s="3" t="n"/>
      <c r="M1744" s="3" t="n"/>
      <c r="N1744" s="3" t="n">
        <v>70</v>
      </c>
      <c r="O1744" s="3" t="n"/>
      <c r="P1744" s="3">
        <f>IF(L1744&lt;&gt;"",L1744/1.4,"")</f>
        <v/>
      </c>
      <c r="Q1744" s="3">
        <f>IF(L1744&lt;&gt;"",L1744/1.56,"")</f>
        <v/>
      </c>
      <c r="R1744" s="3">
        <f>IF(M1744&lt;&gt;"",M1744/1.4,"")</f>
        <v/>
      </c>
      <c r="S1744" s="3">
        <f>IF(M1744&lt;&gt;"",M1744/1.56,"")</f>
        <v/>
      </c>
      <c r="T1744" s="3">
        <f>IF(N1744&lt;&gt;"",N1744,IF(O1744&lt;&gt;"",O1744,IF(L1744&lt;&gt;"",L1744/1.56,IF(M1744&lt;&gt;"",M1744/1.56,""))))</f>
        <v/>
      </c>
      <c r="U1744" s="3" t="n">
        <v>315</v>
      </c>
      <c r="V1744" s="3" t="n">
        <v>195</v>
      </c>
      <c r="W1744" s="3" t="n"/>
      <c r="X1744" s="4" t="n"/>
      <c r="Y1744" s="5" t="n">
        <v>0.32</v>
      </c>
      <c r="Z1744" s="4">
        <f>IF(L1744&lt;&gt;"",SQRT(3)*G1744*L1744/1000,"")</f>
        <v/>
      </c>
      <c r="AA1744" t="inlineStr">
        <is>
          <t>Source=Copeland 2D/3D/4D/4R/6D/8D/9R compressors (pdf) p90; PWS_RLA=35.0</t>
        </is>
      </c>
      <c r="AB1744" t="inlineStr">
        <is>
          <t>Copeland_RLA_230_460_3ph_60Hz.xlsx</t>
        </is>
      </c>
      <c r="AC1744" t="inlineStr">
        <is>
          <t>Recip_2D-9R</t>
        </is>
      </c>
    </row>
    <row r="1745">
      <c r="A1745" t="inlineStr">
        <is>
          <t>COPELAND</t>
        </is>
      </c>
      <c r="B1745" t="inlineStr">
        <is>
          <t>6DR3A4000-FXD</t>
        </is>
      </c>
      <c r="D1745" t="inlineStr">
        <is>
          <t>Reciprocating Semi-hermetic</t>
        </is>
      </c>
      <c r="E1745" s="2" t="n">
        <v>3</v>
      </c>
      <c r="F1745" s="2" t="n">
        <v>60</v>
      </c>
      <c r="G1745" s="2" t="n">
        <v>460</v>
      </c>
      <c r="H1745" t="inlineStr">
        <is>
          <t>460</t>
        </is>
      </c>
      <c r="I1745" s="2" t="n">
        <v>460</v>
      </c>
      <c r="J1745" s="2" t="n">
        <v>460</v>
      </c>
      <c r="L1745" s="3" t="n"/>
      <c r="M1745" s="3" t="n"/>
      <c r="N1745" s="3" t="n"/>
      <c r="O1745" s="3" t="n"/>
      <c r="P1745" s="3">
        <f>IF(L1745&lt;&gt;"",L1745/1.4,"")</f>
        <v/>
      </c>
      <c r="Q1745" s="3">
        <f>IF(L1745&lt;&gt;"",L1745/1.56,"")</f>
        <v/>
      </c>
      <c r="R1745" s="3">
        <f>IF(M1745&lt;&gt;"",M1745/1.4,"")</f>
        <v/>
      </c>
      <c r="S1745" s="3">
        <f>IF(M1745&lt;&gt;"",M1745/1.56,"")</f>
        <v/>
      </c>
      <c r="T1745" s="3">
        <f>IF(N1745&lt;&gt;"",N1745,IF(O1745&lt;&gt;"",O1745,IF(L1745&lt;&gt;"",L1745/1.56,IF(M1745&lt;&gt;"",M1745/1.56,""))))</f>
        <v/>
      </c>
      <c r="U1745" s="3" t="n">
        <v>315</v>
      </c>
      <c r="V1745" s="3" t="n">
        <v>195</v>
      </c>
      <c r="W1745" s="3" t="n"/>
      <c r="X1745" s="4" t="n"/>
      <c r="Y1745" s="5" t="n">
        <v>0.32</v>
      </c>
      <c r="Z1745" s="4">
        <f>IF(L1745&lt;&gt;"",SQRT(3)*G1745*L1745/1000,"")</f>
        <v/>
      </c>
      <c r="AA1745" t="inlineStr">
        <is>
          <t>Source=Copeland 2D/3D/4D/4R/6D/8D/9R compressors (pdf) p90</t>
        </is>
      </c>
      <c r="AB1745" t="inlineStr">
        <is>
          <t>Copeland_RLA_230_460_3ph_60Hz.xlsx</t>
        </is>
      </c>
      <c r="AC1745" t="inlineStr">
        <is>
          <t>Recip_2D-9R</t>
        </is>
      </c>
    </row>
    <row r="1746">
      <c r="A1746" t="inlineStr">
        <is>
          <t>COPELAND</t>
        </is>
      </c>
      <c r="B1746" t="inlineStr">
        <is>
          <t>6DR3A4000-TSN</t>
        </is>
      </c>
      <c r="D1746" t="inlineStr">
        <is>
          <t>Reciprocating Semi-hermetic</t>
        </is>
      </c>
      <c r="E1746" s="2" t="n">
        <v>3</v>
      </c>
      <c r="F1746" s="2" t="n">
        <v>60</v>
      </c>
      <c r="G1746" s="2" t="n">
        <v>230</v>
      </c>
      <c r="H1746" t="inlineStr">
        <is>
          <t>230</t>
        </is>
      </c>
      <c r="I1746" s="2" t="n">
        <v>230</v>
      </c>
      <c r="J1746" s="2" t="n">
        <v>230</v>
      </c>
      <c r="L1746" s="3" t="n"/>
      <c r="M1746" s="3" t="n"/>
      <c r="N1746" s="3" t="n">
        <v>141.4</v>
      </c>
      <c r="O1746" s="3" t="n"/>
      <c r="P1746" s="3">
        <f>IF(L1746&lt;&gt;"",L1746/1.4,"")</f>
        <v/>
      </c>
      <c r="Q1746" s="3">
        <f>IF(L1746&lt;&gt;"",L1746/1.56,"")</f>
        <v/>
      </c>
      <c r="R1746" s="3">
        <f>IF(M1746&lt;&gt;"",M1746/1.4,"")</f>
        <v/>
      </c>
      <c r="S1746" s="3">
        <f>IF(M1746&lt;&gt;"",M1746/1.56,"")</f>
        <v/>
      </c>
      <c r="T1746" s="3">
        <f>IF(N1746&lt;&gt;"",N1746,IF(O1746&lt;&gt;"",O1746,IF(L1746&lt;&gt;"",L1746/1.56,IF(M1746&lt;&gt;"",M1746/1.56,""))))</f>
        <v/>
      </c>
      <c r="U1746" s="3" t="n">
        <v>594</v>
      </c>
      <c r="V1746" s="3" t="n">
        <v>340</v>
      </c>
      <c r="W1746" s="3" t="n"/>
      <c r="X1746" s="4" t="n"/>
      <c r="Y1746" s="5" t="n">
        <v>0.08500000000000001</v>
      </c>
      <c r="Z1746" s="4">
        <f>IF(L1746&lt;&gt;"",SQRT(3)*G1746*L1746/1000,"")</f>
        <v/>
      </c>
      <c r="AA1746" t="inlineStr">
        <is>
          <t>Source=Copeland 2D/3D/4D/4R/6D/8D/9R compressors (pdf) p90; PWS_RLA=71.0</t>
        </is>
      </c>
      <c r="AB1746" t="inlineStr">
        <is>
          <t>Copeland_RLA_230_460_3ph_60Hz.xlsx</t>
        </is>
      </c>
      <c r="AC1746" t="inlineStr">
        <is>
          <t>Recip_2D-9R</t>
        </is>
      </c>
    </row>
    <row r="1747">
      <c r="A1747" t="inlineStr">
        <is>
          <t>COPELAND</t>
        </is>
      </c>
      <c r="B1747" t="inlineStr">
        <is>
          <t>6DR3A4000-TSN</t>
        </is>
      </c>
      <c r="D1747" t="inlineStr">
        <is>
          <t>Reciprocating Semi-hermetic</t>
        </is>
      </c>
      <c r="E1747" s="2" t="n">
        <v>3</v>
      </c>
      <c r="F1747" s="2" t="n">
        <v>60</v>
      </c>
      <c r="G1747" s="2" t="n">
        <v>460</v>
      </c>
      <c r="H1747" t="inlineStr">
        <is>
          <t>460</t>
        </is>
      </c>
      <c r="I1747" s="2" t="n">
        <v>460</v>
      </c>
      <c r="J1747" s="2" t="n">
        <v>460</v>
      </c>
      <c r="L1747" s="3" t="n"/>
      <c r="M1747" s="3" t="n"/>
      <c r="N1747" s="3" t="n">
        <v>70.7</v>
      </c>
      <c r="O1747" s="3" t="n"/>
      <c r="P1747" s="3">
        <f>IF(L1747&lt;&gt;"",L1747/1.4,"")</f>
        <v/>
      </c>
      <c r="Q1747" s="3">
        <f>IF(L1747&lt;&gt;"",L1747/1.56,"")</f>
        <v/>
      </c>
      <c r="R1747" s="3">
        <f>IF(M1747&lt;&gt;"",M1747/1.4,"")</f>
        <v/>
      </c>
      <c r="S1747" s="3">
        <f>IF(M1747&lt;&gt;"",M1747/1.56,"")</f>
        <v/>
      </c>
      <c r="T1747" s="3">
        <f>IF(N1747&lt;&gt;"",N1747,IF(O1747&lt;&gt;"",O1747,IF(L1747&lt;&gt;"",L1747/1.56,IF(M1747&lt;&gt;"",M1747/1.56,""))))</f>
        <v/>
      </c>
      <c r="U1747" s="3" t="n">
        <v>297</v>
      </c>
      <c r="V1747" s="3" t="n"/>
      <c r="W1747" s="3" t="n"/>
      <c r="X1747" s="4" t="n"/>
      <c r="Y1747" s="5" t="n">
        <v>0.34</v>
      </c>
      <c r="Z1747" s="4">
        <f>IF(L1747&lt;&gt;"",SQRT(3)*G1747*L1747/1000,"")</f>
        <v/>
      </c>
      <c r="AA1747" t="inlineStr">
        <is>
          <t>Source=Copeland 2D/3D/4D/4R/6D/8D/9R compressors (pdf) p91</t>
        </is>
      </c>
      <c r="AB1747" t="inlineStr">
        <is>
          <t>Copeland_RLA_230_460_3ph_60Hz.xlsx</t>
        </is>
      </c>
      <c r="AC1747" t="inlineStr">
        <is>
          <t>Recip_2D-9R</t>
        </is>
      </c>
    </row>
    <row r="1748">
      <c r="A1748" t="inlineStr">
        <is>
          <t>COPELAND</t>
        </is>
      </c>
      <c r="B1748" t="inlineStr">
        <is>
          <t>6DR3A4000-TXN</t>
        </is>
      </c>
      <c r="D1748" t="inlineStr">
        <is>
          <t>Reciprocating Semi-hermetic</t>
        </is>
      </c>
      <c r="E1748" s="2" t="n">
        <v>3</v>
      </c>
      <c r="F1748" s="2" t="n">
        <v>60</v>
      </c>
      <c r="G1748" s="2" t="n">
        <v>230</v>
      </c>
      <c r="H1748" t="inlineStr">
        <is>
          <t>230</t>
        </is>
      </c>
      <c r="I1748" s="2" t="n">
        <v>230</v>
      </c>
      <c r="J1748" s="2" t="n">
        <v>230</v>
      </c>
      <c r="L1748" s="3" t="n"/>
      <c r="M1748" s="3" t="n"/>
      <c r="N1748" s="3" t="n"/>
      <c r="O1748" s="3" t="n"/>
      <c r="P1748" s="3">
        <f>IF(L1748&lt;&gt;"",L1748/1.4,"")</f>
        <v/>
      </c>
      <c r="Q1748" s="3">
        <f>IF(L1748&lt;&gt;"",L1748/1.56,"")</f>
        <v/>
      </c>
      <c r="R1748" s="3">
        <f>IF(M1748&lt;&gt;"",M1748/1.4,"")</f>
        <v/>
      </c>
      <c r="S1748" s="3">
        <f>IF(M1748&lt;&gt;"",M1748/1.56,"")</f>
        <v/>
      </c>
      <c r="T1748" s="3">
        <f>IF(N1748&lt;&gt;"",N1748,IF(O1748&lt;&gt;"",O1748,IF(L1748&lt;&gt;"",L1748/1.56,IF(M1748&lt;&gt;"",M1748/1.56,""))))</f>
        <v/>
      </c>
      <c r="U1748" s="3" t="n">
        <v>594</v>
      </c>
      <c r="V1748" s="3" t="n">
        <v>340</v>
      </c>
      <c r="W1748" s="3" t="n"/>
      <c r="X1748" s="4" t="n"/>
      <c r="Y1748" s="5" t="n">
        <v>0.08500000000000001</v>
      </c>
      <c r="Z1748" s="4">
        <f>IF(L1748&lt;&gt;"",SQRT(3)*G1748*L1748/1000,"")</f>
        <v/>
      </c>
      <c r="AA1748" t="inlineStr">
        <is>
          <t>Source=Copeland 2D/3D/4D/4R/6D/8D/9R compressors (pdf) p91</t>
        </is>
      </c>
      <c r="AB1748" t="inlineStr">
        <is>
          <t>Copeland_RLA_230_460_3ph_60Hz.xlsx</t>
        </is>
      </c>
      <c r="AC1748" t="inlineStr">
        <is>
          <t>Recip_2D-9R</t>
        </is>
      </c>
    </row>
    <row r="1749">
      <c r="A1749" t="inlineStr">
        <is>
          <t>COPELAND</t>
        </is>
      </c>
      <c r="B1749" t="inlineStr">
        <is>
          <t>6DR3A4000-TXN</t>
        </is>
      </c>
      <c r="D1749" t="inlineStr">
        <is>
          <t>Reciprocating Semi-hermetic</t>
        </is>
      </c>
      <c r="E1749" s="2" t="n">
        <v>3</v>
      </c>
      <c r="F1749" s="2" t="n">
        <v>60</v>
      </c>
      <c r="G1749" s="2" t="n">
        <v>460</v>
      </c>
      <c r="H1749" t="inlineStr">
        <is>
          <t>460</t>
        </is>
      </c>
      <c r="I1749" s="2" t="n">
        <v>460</v>
      </c>
      <c r="J1749" s="2" t="n">
        <v>460</v>
      </c>
      <c r="L1749" s="3" t="n"/>
      <c r="M1749" s="3" t="n"/>
      <c r="N1749" s="3" t="n"/>
      <c r="O1749" s="3" t="n"/>
      <c r="P1749" s="3">
        <f>IF(L1749&lt;&gt;"",L1749/1.4,"")</f>
        <v/>
      </c>
      <c r="Q1749" s="3">
        <f>IF(L1749&lt;&gt;"",L1749/1.56,"")</f>
        <v/>
      </c>
      <c r="R1749" s="3">
        <f>IF(M1749&lt;&gt;"",M1749/1.4,"")</f>
        <v/>
      </c>
      <c r="S1749" s="3">
        <f>IF(M1749&lt;&gt;"",M1749/1.56,"")</f>
        <v/>
      </c>
      <c r="T1749" s="3">
        <f>IF(N1749&lt;&gt;"",N1749,IF(O1749&lt;&gt;"",O1749,IF(L1749&lt;&gt;"",L1749/1.56,IF(M1749&lt;&gt;"",M1749/1.56,""))))</f>
        <v/>
      </c>
      <c r="U1749" s="3" t="n">
        <v>297</v>
      </c>
      <c r="V1749" s="3" t="n"/>
      <c r="W1749" s="3" t="n"/>
      <c r="X1749" s="4" t="n"/>
      <c r="Y1749" s="5" t="n">
        <v>0.34</v>
      </c>
      <c r="Z1749" s="4">
        <f>IF(L1749&lt;&gt;"",SQRT(3)*G1749*L1749/1000,"")</f>
        <v/>
      </c>
      <c r="AA1749" t="inlineStr">
        <is>
          <t>Source=Copeland 2D/3D/4D/4R/6D/8D/9R compressors (pdf) p91</t>
        </is>
      </c>
      <c r="AB1749" t="inlineStr">
        <is>
          <t>Copeland_RLA_230_460_3ph_60Hz.xlsx</t>
        </is>
      </c>
      <c r="AC1749" t="inlineStr">
        <is>
          <t>Recip_2D-9R</t>
        </is>
      </c>
    </row>
    <row r="1750">
      <c r="A1750" t="inlineStr">
        <is>
          <t>COPELAND</t>
        </is>
      </c>
      <c r="B1750" t="inlineStr">
        <is>
          <t>6DR3A400E-FSD</t>
        </is>
      </c>
      <c r="D1750" t="inlineStr">
        <is>
          <t>Reciprocating Semi-hermetic</t>
        </is>
      </c>
      <c r="E1750" s="2" t="n">
        <v>3</v>
      </c>
      <c r="F1750" s="2" t="n">
        <v>60</v>
      </c>
      <c r="G1750" s="2" t="n">
        <v>460</v>
      </c>
      <c r="H1750" t="inlineStr">
        <is>
          <t>460</t>
        </is>
      </c>
      <c r="I1750" s="2" t="n">
        <v>460</v>
      </c>
      <c r="J1750" s="2" t="n">
        <v>460</v>
      </c>
      <c r="L1750" s="3" t="n"/>
      <c r="M1750" s="3" t="n"/>
      <c r="N1750" s="3" t="n">
        <v>86.40000000000001</v>
      </c>
      <c r="O1750" s="3" t="n"/>
      <c r="P1750" s="3">
        <f>IF(L1750&lt;&gt;"",L1750/1.4,"")</f>
        <v/>
      </c>
      <c r="Q1750" s="3">
        <f>IF(L1750&lt;&gt;"",L1750/1.56,"")</f>
        <v/>
      </c>
      <c r="R1750" s="3">
        <f>IF(M1750&lt;&gt;"",M1750/1.4,"")</f>
        <v/>
      </c>
      <c r="S1750" s="3">
        <f>IF(M1750&lt;&gt;"",M1750/1.56,"")</f>
        <v/>
      </c>
      <c r="T1750" s="3">
        <f>IF(N1750&lt;&gt;"",N1750,IF(O1750&lt;&gt;"",O1750,IF(L1750&lt;&gt;"",L1750/1.56,IF(M1750&lt;&gt;"",M1750/1.56,""))))</f>
        <v/>
      </c>
      <c r="U1750" s="3" t="n">
        <v>315</v>
      </c>
      <c r="V1750" s="3" t="n">
        <v>195</v>
      </c>
      <c r="W1750" s="3" t="n"/>
      <c r="X1750" s="4" t="n"/>
      <c r="Y1750" s="5" t="n">
        <v>0.32</v>
      </c>
      <c r="Z1750" s="4">
        <f>IF(L1750&lt;&gt;"",SQRT(3)*G1750*L1750/1000,"")</f>
        <v/>
      </c>
      <c r="AA1750" t="inlineStr">
        <is>
          <t>Source=Copeland 2D/3D/4D/4R/6D/8D/9R compressors (pdf) p91; PWS_RLA=35.0</t>
        </is>
      </c>
      <c r="AB1750" t="inlineStr">
        <is>
          <t>Copeland_RLA_230_460_3ph_60Hz.xlsx</t>
        </is>
      </c>
      <c r="AC1750" t="inlineStr">
        <is>
          <t>Recip_2D-9R</t>
        </is>
      </c>
    </row>
    <row r="1751">
      <c r="A1751" t="inlineStr">
        <is>
          <t>COPELAND</t>
        </is>
      </c>
      <c r="B1751" t="inlineStr">
        <is>
          <t>6DR3A400E-TSN</t>
        </is>
      </c>
      <c r="D1751" t="inlineStr">
        <is>
          <t>Reciprocating Semi-hermetic</t>
        </is>
      </c>
      <c r="E1751" s="2" t="n">
        <v>3</v>
      </c>
      <c r="F1751" s="2" t="n">
        <v>60</v>
      </c>
      <c r="G1751" s="2" t="n">
        <v>230</v>
      </c>
      <c r="H1751" t="inlineStr">
        <is>
          <t>230</t>
        </is>
      </c>
      <c r="I1751" s="2" t="n">
        <v>230</v>
      </c>
      <c r="J1751" s="2" t="n">
        <v>230</v>
      </c>
      <c r="L1751" s="3" t="n"/>
      <c r="M1751" s="3" t="n"/>
      <c r="N1751" s="3" t="n">
        <v>141.4</v>
      </c>
      <c r="O1751" s="3" t="n"/>
      <c r="P1751" s="3">
        <f>IF(L1751&lt;&gt;"",L1751/1.4,"")</f>
        <v/>
      </c>
      <c r="Q1751" s="3">
        <f>IF(L1751&lt;&gt;"",L1751/1.56,"")</f>
        <v/>
      </c>
      <c r="R1751" s="3">
        <f>IF(M1751&lt;&gt;"",M1751/1.4,"")</f>
        <v/>
      </c>
      <c r="S1751" s="3">
        <f>IF(M1751&lt;&gt;"",M1751/1.56,"")</f>
        <v/>
      </c>
      <c r="T1751" s="3">
        <f>IF(N1751&lt;&gt;"",N1751,IF(O1751&lt;&gt;"",O1751,IF(L1751&lt;&gt;"",L1751/1.56,IF(M1751&lt;&gt;"",M1751/1.56,""))))</f>
        <v/>
      </c>
      <c r="U1751" s="3" t="n">
        <v>594</v>
      </c>
      <c r="V1751" s="3" t="n">
        <v>340</v>
      </c>
      <c r="W1751" s="3" t="n"/>
      <c r="X1751" s="4" t="n"/>
      <c r="Y1751" s="5" t="n">
        <v>0.08500000000000001</v>
      </c>
      <c r="Z1751" s="4">
        <f>IF(L1751&lt;&gt;"",SQRT(3)*G1751*L1751/1000,"")</f>
        <v/>
      </c>
      <c r="AA1751" t="inlineStr">
        <is>
          <t>Source=Copeland 2D/3D/4D/4R/6D/8D/9R compressors (pdf) p91; PWS_RLA=71.0</t>
        </is>
      </c>
      <c r="AB1751" t="inlineStr">
        <is>
          <t>Copeland_RLA_230_460_3ph_60Hz.xlsx</t>
        </is>
      </c>
      <c r="AC1751" t="inlineStr">
        <is>
          <t>Recip_2D-9R</t>
        </is>
      </c>
    </row>
    <row r="1752">
      <c r="A1752" t="inlineStr">
        <is>
          <t>COPELAND</t>
        </is>
      </c>
      <c r="B1752" t="inlineStr">
        <is>
          <t>6DR3A400E-TSN</t>
        </is>
      </c>
      <c r="D1752" t="inlineStr">
        <is>
          <t>Reciprocating Semi-hermetic</t>
        </is>
      </c>
      <c r="E1752" s="2" t="n">
        <v>3</v>
      </c>
      <c r="F1752" s="2" t="n">
        <v>60</v>
      </c>
      <c r="G1752" s="2" t="n">
        <v>460</v>
      </c>
      <c r="H1752" t="inlineStr">
        <is>
          <t>460</t>
        </is>
      </c>
      <c r="I1752" s="2" t="n">
        <v>460</v>
      </c>
      <c r="J1752" s="2" t="n">
        <v>460</v>
      </c>
      <c r="L1752" s="3" t="n"/>
      <c r="M1752" s="3" t="n"/>
      <c r="N1752" s="3" t="n">
        <v>70.7</v>
      </c>
      <c r="O1752" s="3" t="n"/>
      <c r="P1752" s="3">
        <f>IF(L1752&lt;&gt;"",L1752/1.4,"")</f>
        <v/>
      </c>
      <c r="Q1752" s="3">
        <f>IF(L1752&lt;&gt;"",L1752/1.56,"")</f>
        <v/>
      </c>
      <c r="R1752" s="3">
        <f>IF(M1752&lt;&gt;"",M1752/1.4,"")</f>
        <v/>
      </c>
      <c r="S1752" s="3">
        <f>IF(M1752&lt;&gt;"",M1752/1.56,"")</f>
        <v/>
      </c>
      <c r="T1752" s="3">
        <f>IF(N1752&lt;&gt;"",N1752,IF(O1752&lt;&gt;"",O1752,IF(L1752&lt;&gt;"",L1752/1.56,IF(M1752&lt;&gt;"",M1752/1.56,""))))</f>
        <v/>
      </c>
      <c r="U1752" s="3" t="n">
        <v>297</v>
      </c>
      <c r="V1752" s="3" t="n"/>
      <c r="W1752" s="3" t="n"/>
      <c r="X1752" s="4" t="n"/>
      <c r="Y1752" s="5" t="n">
        <v>0.34</v>
      </c>
      <c r="Z1752" s="4">
        <f>IF(L1752&lt;&gt;"",SQRT(3)*G1752*L1752/1000,"")</f>
        <v/>
      </c>
      <c r="AA1752" t="inlineStr">
        <is>
          <t>Source=Copeland 2D/3D/4D/4R/6D/8D/9R compressors (pdf) p91</t>
        </is>
      </c>
      <c r="AB1752" t="inlineStr">
        <is>
          <t>Copeland_RLA_230_460_3ph_60Hz.xlsx</t>
        </is>
      </c>
      <c r="AC1752" t="inlineStr">
        <is>
          <t>Recip_2D-9R</t>
        </is>
      </c>
    </row>
    <row r="1753">
      <c r="A1753" t="inlineStr">
        <is>
          <t>COPELAND</t>
        </is>
      </c>
      <c r="B1753" t="inlineStr">
        <is>
          <t>6DR3A400L-FSD</t>
        </is>
      </c>
      <c r="D1753" t="inlineStr">
        <is>
          <t>Reciprocating Semi-hermetic</t>
        </is>
      </c>
      <c r="E1753" s="2" t="n">
        <v>3</v>
      </c>
      <c r="F1753" s="2" t="n">
        <v>60</v>
      </c>
      <c r="G1753" s="2" t="n">
        <v>460</v>
      </c>
      <c r="H1753" t="inlineStr">
        <is>
          <t>460</t>
        </is>
      </c>
      <c r="I1753" s="2" t="n">
        <v>460</v>
      </c>
      <c r="J1753" s="2" t="n">
        <v>460</v>
      </c>
      <c r="L1753" s="3" t="n"/>
      <c r="M1753" s="3" t="n"/>
      <c r="N1753" s="3" t="n">
        <v>86.40000000000001</v>
      </c>
      <c r="O1753" s="3" t="n"/>
      <c r="P1753" s="3">
        <f>IF(L1753&lt;&gt;"",L1753/1.4,"")</f>
        <v/>
      </c>
      <c r="Q1753" s="3">
        <f>IF(L1753&lt;&gt;"",L1753/1.56,"")</f>
        <v/>
      </c>
      <c r="R1753" s="3">
        <f>IF(M1753&lt;&gt;"",M1753/1.4,"")</f>
        <v/>
      </c>
      <c r="S1753" s="3">
        <f>IF(M1753&lt;&gt;"",M1753/1.56,"")</f>
        <v/>
      </c>
      <c r="T1753" s="3">
        <f>IF(N1753&lt;&gt;"",N1753,IF(O1753&lt;&gt;"",O1753,IF(L1753&lt;&gt;"",L1753/1.56,IF(M1753&lt;&gt;"",M1753/1.56,""))))</f>
        <v/>
      </c>
      <c r="U1753" s="3" t="n">
        <v>315</v>
      </c>
      <c r="V1753" s="3" t="n">
        <v>195</v>
      </c>
      <c r="W1753" s="3" t="n"/>
      <c r="X1753" s="4" t="n"/>
      <c r="Y1753" s="5" t="n">
        <v>0.32</v>
      </c>
      <c r="Z1753" s="4">
        <f>IF(L1753&lt;&gt;"",SQRT(3)*G1753*L1753/1000,"")</f>
        <v/>
      </c>
      <c r="AA1753" t="inlineStr">
        <is>
          <t>Source=Copeland 2D/3D/4D/4R/6D/8D/9R compressors (pdf) p91; PWS_RLA=35.0</t>
        </is>
      </c>
      <c r="AB1753" t="inlineStr">
        <is>
          <t>Copeland_RLA_230_460_3ph_60Hz.xlsx</t>
        </is>
      </c>
      <c r="AC1753" t="inlineStr">
        <is>
          <t>Recip_2D-9R</t>
        </is>
      </c>
    </row>
    <row r="1754">
      <c r="A1754" t="inlineStr">
        <is>
          <t>COPELAND</t>
        </is>
      </c>
      <c r="B1754" t="inlineStr">
        <is>
          <t>6DR3A400L-TSN</t>
        </is>
      </c>
      <c r="D1754" t="inlineStr">
        <is>
          <t>Reciprocating Semi-hermetic</t>
        </is>
      </c>
      <c r="E1754" s="2" t="n">
        <v>3</v>
      </c>
      <c r="F1754" s="2" t="n">
        <v>60</v>
      </c>
      <c r="G1754" s="2" t="n">
        <v>230</v>
      </c>
      <c r="H1754" t="inlineStr">
        <is>
          <t>230</t>
        </is>
      </c>
      <c r="I1754" s="2" t="n">
        <v>230</v>
      </c>
      <c r="J1754" s="2" t="n">
        <v>230</v>
      </c>
      <c r="L1754" s="3" t="n"/>
      <c r="M1754" s="3" t="n"/>
      <c r="N1754" s="3" t="n">
        <v>141.4</v>
      </c>
      <c r="O1754" s="3" t="n"/>
      <c r="P1754" s="3">
        <f>IF(L1754&lt;&gt;"",L1754/1.4,"")</f>
        <v/>
      </c>
      <c r="Q1754" s="3">
        <f>IF(L1754&lt;&gt;"",L1754/1.56,"")</f>
        <v/>
      </c>
      <c r="R1754" s="3">
        <f>IF(M1754&lt;&gt;"",M1754/1.4,"")</f>
        <v/>
      </c>
      <c r="S1754" s="3">
        <f>IF(M1754&lt;&gt;"",M1754/1.56,"")</f>
        <v/>
      </c>
      <c r="T1754" s="3">
        <f>IF(N1754&lt;&gt;"",N1754,IF(O1754&lt;&gt;"",O1754,IF(L1754&lt;&gt;"",L1754/1.56,IF(M1754&lt;&gt;"",M1754/1.56,""))))</f>
        <v/>
      </c>
      <c r="U1754" s="3" t="n">
        <v>594</v>
      </c>
      <c r="V1754" s="3" t="n">
        <v>340</v>
      </c>
      <c r="W1754" s="3" t="n"/>
      <c r="X1754" s="4" t="n"/>
      <c r="Y1754" s="5" t="n">
        <v>0.08500000000000001</v>
      </c>
      <c r="Z1754" s="4">
        <f>IF(L1754&lt;&gt;"",SQRT(3)*G1754*L1754/1000,"")</f>
        <v/>
      </c>
      <c r="AA1754" t="inlineStr">
        <is>
          <t>Source=Copeland 2D/3D/4D/4R/6D/8D/9R compressors (pdf) p91; PWS_RLA=71.0</t>
        </is>
      </c>
      <c r="AB1754" t="inlineStr">
        <is>
          <t>Copeland_RLA_230_460_3ph_60Hz.xlsx</t>
        </is>
      </c>
      <c r="AC1754" t="inlineStr">
        <is>
          <t>Recip_2D-9R</t>
        </is>
      </c>
    </row>
    <row r="1755">
      <c r="A1755" t="inlineStr">
        <is>
          <t>COPELAND</t>
        </is>
      </c>
      <c r="B1755" t="inlineStr">
        <is>
          <t>6DR3A400L-TSN</t>
        </is>
      </c>
      <c r="D1755" t="inlineStr">
        <is>
          <t>Reciprocating Semi-hermetic</t>
        </is>
      </c>
      <c r="E1755" s="2" t="n">
        <v>3</v>
      </c>
      <c r="F1755" s="2" t="n">
        <v>60</v>
      </c>
      <c r="G1755" s="2" t="n">
        <v>460</v>
      </c>
      <c r="H1755" t="inlineStr">
        <is>
          <t>460</t>
        </is>
      </c>
      <c r="I1755" s="2" t="n">
        <v>460</v>
      </c>
      <c r="J1755" s="2" t="n">
        <v>460</v>
      </c>
      <c r="L1755" s="3" t="n"/>
      <c r="M1755" s="3" t="n"/>
      <c r="N1755" s="3" t="n">
        <v>70.7</v>
      </c>
      <c r="O1755" s="3" t="n"/>
      <c r="P1755" s="3">
        <f>IF(L1755&lt;&gt;"",L1755/1.4,"")</f>
        <v/>
      </c>
      <c r="Q1755" s="3">
        <f>IF(L1755&lt;&gt;"",L1755/1.56,"")</f>
        <v/>
      </c>
      <c r="R1755" s="3">
        <f>IF(M1755&lt;&gt;"",M1755/1.4,"")</f>
        <v/>
      </c>
      <c r="S1755" s="3">
        <f>IF(M1755&lt;&gt;"",M1755/1.56,"")</f>
        <v/>
      </c>
      <c r="T1755" s="3">
        <f>IF(N1755&lt;&gt;"",N1755,IF(O1755&lt;&gt;"",O1755,IF(L1755&lt;&gt;"",L1755/1.56,IF(M1755&lt;&gt;"",M1755/1.56,""))))</f>
        <v/>
      </c>
      <c r="U1755" s="3" t="n">
        <v>297</v>
      </c>
      <c r="V1755" s="3" t="n"/>
      <c r="W1755" s="3" t="n"/>
      <c r="X1755" s="4" t="n"/>
      <c r="Y1755" s="5" t="n">
        <v>0.34</v>
      </c>
      <c r="Z1755" s="4">
        <f>IF(L1755&lt;&gt;"",SQRT(3)*G1755*L1755/1000,"")</f>
        <v/>
      </c>
      <c r="AA1755" t="inlineStr">
        <is>
          <t>Source=Copeland 2D/3D/4D/4R/6D/8D/9R compressors (pdf) p91</t>
        </is>
      </c>
      <c r="AB1755" t="inlineStr">
        <is>
          <t>Copeland_RLA_230_460_3ph_60Hz.xlsx</t>
        </is>
      </c>
      <c r="AC1755" t="inlineStr">
        <is>
          <t>Recip_2D-9R</t>
        </is>
      </c>
    </row>
    <row r="1756">
      <c r="A1756" t="inlineStr">
        <is>
          <t>COPELAND</t>
        </is>
      </c>
      <c r="B1756" t="inlineStr">
        <is>
          <t>6DR3F11ME-FSD</t>
        </is>
      </c>
      <c r="D1756" t="inlineStr">
        <is>
          <t>Reciprocating Semi-hermetic</t>
        </is>
      </c>
      <c r="E1756" s="2" t="n">
        <v>3</v>
      </c>
      <c r="F1756" s="2" t="n">
        <v>60</v>
      </c>
      <c r="G1756" s="2" t="n">
        <v>460</v>
      </c>
      <c r="H1756" t="inlineStr">
        <is>
          <t>460</t>
        </is>
      </c>
      <c r="I1756" s="2" t="n">
        <v>460</v>
      </c>
      <c r="J1756" s="2" t="n">
        <v>460</v>
      </c>
      <c r="L1756" s="3" t="n"/>
      <c r="M1756" s="3" t="n"/>
      <c r="N1756" s="3" t="n">
        <v>47.4</v>
      </c>
      <c r="O1756" s="3" t="n"/>
      <c r="P1756" s="3">
        <f>IF(L1756&lt;&gt;"",L1756/1.4,"")</f>
        <v/>
      </c>
      <c r="Q1756" s="3">
        <f>IF(L1756&lt;&gt;"",L1756/1.56,"")</f>
        <v/>
      </c>
      <c r="R1756" s="3">
        <f>IF(M1756&lt;&gt;"",M1756/1.4,"")</f>
        <v/>
      </c>
      <c r="S1756" s="3">
        <f>IF(M1756&lt;&gt;"",M1756/1.56,"")</f>
        <v/>
      </c>
      <c r="T1756" s="3">
        <f>IF(N1756&lt;&gt;"",N1756,IF(O1756&lt;&gt;"",O1756,IF(L1756&lt;&gt;"",L1756/1.56,IF(M1756&lt;&gt;"",M1756/1.56,""))))</f>
        <v/>
      </c>
      <c r="U1756" s="3" t="n">
        <v>235</v>
      </c>
      <c r="V1756" s="3" t="n">
        <v>141</v>
      </c>
      <c r="W1756" s="3" t="n"/>
      <c r="X1756" s="4" t="n"/>
      <c r="Y1756" s="5" t="n">
        <v>0.45</v>
      </c>
      <c r="Z1756" s="4">
        <f>IF(L1756&lt;&gt;"",SQRT(3)*G1756*L1756/1000,"")</f>
        <v/>
      </c>
      <c r="AA1756" t="inlineStr">
        <is>
          <t>Source=Copeland 2D/3D/4D/4R/6D/8D/9R compressors (pdf) p91; PWS_RLA=23.7</t>
        </is>
      </c>
      <c r="AB1756" t="inlineStr">
        <is>
          <t>Copeland_RLA_230_460_3ph_60Hz.xlsx</t>
        </is>
      </c>
      <c r="AC1756" t="inlineStr">
        <is>
          <t>Recip_2D-9R</t>
        </is>
      </c>
    </row>
    <row r="1757">
      <c r="A1757" t="inlineStr">
        <is>
          <t>COPELAND</t>
        </is>
      </c>
      <c r="B1757" t="inlineStr">
        <is>
          <t>6DR3F11ME-TSK</t>
        </is>
      </c>
      <c r="D1757" t="inlineStr">
        <is>
          <t>Reciprocating Semi-hermetic</t>
        </is>
      </c>
      <c r="E1757" s="2" t="n">
        <v>3</v>
      </c>
      <c r="F1757" s="2" t="n">
        <v>60</v>
      </c>
      <c r="G1757" s="2" t="n">
        <v>230</v>
      </c>
      <c r="H1757" t="inlineStr">
        <is>
          <t>208/230</t>
        </is>
      </c>
      <c r="I1757" s="2" t="n">
        <v>208</v>
      </c>
      <c r="J1757" s="2" t="n">
        <v>230</v>
      </c>
      <c r="L1757" s="3" t="n"/>
      <c r="M1757" s="3" t="n"/>
      <c r="N1757" s="3" t="n">
        <v>95.7</v>
      </c>
      <c r="O1757" s="3" t="n"/>
      <c r="P1757" s="3">
        <f>IF(L1757&lt;&gt;"",L1757/1.4,"")</f>
        <v/>
      </c>
      <c r="Q1757" s="3">
        <f>IF(L1757&lt;&gt;"",L1757/1.56,"")</f>
        <v/>
      </c>
      <c r="R1757" s="3">
        <f>IF(M1757&lt;&gt;"",M1757/1.4,"")</f>
        <v/>
      </c>
      <c r="S1757" s="3">
        <f>IF(M1757&lt;&gt;"",M1757/1.56,"")</f>
        <v/>
      </c>
      <c r="T1757" s="3">
        <f>IF(N1757&lt;&gt;"",N1757,IF(O1757&lt;&gt;"",O1757,IF(L1757&lt;&gt;"",L1757/1.56,IF(M1757&lt;&gt;"",M1757/1.56,""))))</f>
        <v/>
      </c>
      <c r="U1757" s="3" t="n">
        <v>470</v>
      </c>
      <c r="V1757" s="3" t="n">
        <v>292</v>
      </c>
      <c r="W1757" s="3" t="n"/>
      <c r="X1757" s="4" t="n"/>
      <c r="Y1757" s="5" t="n">
        <v>0.111</v>
      </c>
      <c r="Z1757" s="4">
        <f>IF(L1757&lt;&gt;"",SQRT(3)*G1757*L1757/1000,"")</f>
        <v/>
      </c>
      <c r="AA1757" t="inlineStr">
        <is>
          <t>Source=Copeland 2D/3D/4D/4R/6D/8D/9R compressors (pdf) p91; PWS_RLA=47.8</t>
        </is>
      </c>
      <c r="AB1757" t="inlineStr">
        <is>
          <t>Copeland_RLA_230_460_3ph_60Hz.xlsx</t>
        </is>
      </c>
      <c r="AC1757" t="inlineStr">
        <is>
          <t>Recip_2D-9R</t>
        </is>
      </c>
    </row>
    <row r="1758">
      <c r="A1758" t="inlineStr">
        <is>
          <t>COPELAND</t>
        </is>
      </c>
      <c r="B1758" t="inlineStr">
        <is>
          <t>6DR3F11ME-TSK</t>
        </is>
      </c>
      <c r="D1758" t="inlineStr">
        <is>
          <t>Reciprocating Semi-hermetic</t>
        </is>
      </c>
      <c r="E1758" s="2" t="n">
        <v>3</v>
      </c>
      <c r="F1758" s="2" t="n">
        <v>60</v>
      </c>
      <c r="G1758" s="2" t="n">
        <v>460</v>
      </c>
      <c r="H1758" t="inlineStr">
        <is>
          <t>460</t>
        </is>
      </c>
      <c r="I1758" s="2" t="n">
        <v>460</v>
      </c>
      <c r="J1758" s="2" t="n">
        <v>460</v>
      </c>
      <c r="L1758" s="3" t="n"/>
      <c r="M1758" s="3" t="n"/>
      <c r="N1758" s="3" t="n">
        <v>47.9</v>
      </c>
      <c r="O1758" s="3" t="n"/>
      <c r="P1758" s="3">
        <f>IF(L1758&lt;&gt;"",L1758/1.4,"")</f>
        <v/>
      </c>
      <c r="Q1758" s="3">
        <f>IF(L1758&lt;&gt;"",L1758/1.56,"")</f>
        <v/>
      </c>
      <c r="R1758" s="3">
        <f>IF(M1758&lt;&gt;"",M1758/1.4,"")</f>
        <v/>
      </c>
      <c r="S1758" s="3">
        <f>IF(M1758&lt;&gt;"",M1758/1.56,"")</f>
        <v/>
      </c>
      <c r="T1758" s="3">
        <f>IF(N1758&lt;&gt;"",N1758,IF(O1758&lt;&gt;"",O1758,IF(L1758&lt;&gt;"",L1758/1.56,IF(M1758&lt;&gt;"",M1758/1.56,""))))</f>
        <v/>
      </c>
      <c r="U1758" s="3" t="n">
        <v>235</v>
      </c>
      <c r="V1758" s="3" t="n"/>
      <c r="W1758" s="3" t="n"/>
      <c r="X1758" s="4" t="n"/>
      <c r="Y1758" s="5" t="n">
        <v>0.444</v>
      </c>
      <c r="Z1758" s="4">
        <f>IF(L1758&lt;&gt;"",SQRT(3)*G1758*L1758/1000,"")</f>
        <v/>
      </c>
      <c r="AA1758" t="inlineStr">
        <is>
          <t>Source=Copeland 2D/3D/4D/4R/6D/8D/9R compressors (pdf) p91</t>
        </is>
      </c>
      <c r="AB1758" t="inlineStr">
        <is>
          <t>Copeland_RLA_230_460_3ph_60Hz.xlsx</t>
        </is>
      </c>
      <c r="AC1758" t="inlineStr">
        <is>
          <t>Recip_2D-9R</t>
        </is>
      </c>
    </row>
    <row r="1759">
      <c r="A1759" t="inlineStr">
        <is>
          <t>COPELAND</t>
        </is>
      </c>
      <c r="B1759" t="inlineStr">
        <is>
          <t>6DR3F11ML-FSD</t>
        </is>
      </c>
      <c r="D1759" t="inlineStr">
        <is>
          <t>Reciprocating Semi-hermetic</t>
        </is>
      </c>
      <c r="E1759" s="2" t="n">
        <v>3</v>
      </c>
      <c r="F1759" s="2" t="n">
        <v>60</v>
      </c>
      <c r="G1759" s="2" t="n">
        <v>460</v>
      </c>
      <c r="H1759" t="inlineStr">
        <is>
          <t>460</t>
        </is>
      </c>
      <c r="I1759" s="2" t="n">
        <v>460</v>
      </c>
      <c r="J1759" s="2" t="n">
        <v>460</v>
      </c>
      <c r="L1759" s="3" t="n"/>
      <c r="M1759" s="3" t="n"/>
      <c r="N1759" s="3" t="n">
        <v>47.4</v>
      </c>
      <c r="O1759" s="3" t="n"/>
      <c r="P1759" s="3">
        <f>IF(L1759&lt;&gt;"",L1759/1.4,"")</f>
        <v/>
      </c>
      <c r="Q1759" s="3">
        <f>IF(L1759&lt;&gt;"",L1759/1.56,"")</f>
        <v/>
      </c>
      <c r="R1759" s="3">
        <f>IF(M1759&lt;&gt;"",M1759/1.4,"")</f>
        <v/>
      </c>
      <c r="S1759" s="3">
        <f>IF(M1759&lt;&gt;"",M1759/1.56,"")</f>
        <v/>
      </c>
      <c r="T1759" s="3">
        <f>IF(N1759&lt;&gt;"",N1759,IF(O1759&lt;&gt;"",O1759,IF(L1759&lt;&gt;"",L1759/1.56,IF(M1759&lt;&gt;"",M1759/1.56,""))))</f>
        <v/>
      </c>
      <c r="U1759" s="3" t="n">
        <v>235</v>
      </c>
      <c r="V1759" s="3" t="n">
        <v>141</v>
      </c>
      <c r="W1759" s="3" t="n"/>
      <c r="X1759" s="4" t="n"/>
      <c r="Y1759" s="5" t="n">
        <v>0.45</v>
      </c>
      <c r="Z1759" s="4">
        <f>IF(L1759&lt;&gt;"",SQRT(3)*G1759*L1759/1000,"")</f>
        <v/>
      </c>
      <c r="AA1759" t="inlineStr">
        <is>
          <t>Source=Copeland 2D/3D/4D/4R/6D/8D/9R compressors (pdf) p91; PWS_RLA=23.7</t>
        </is>
      </c>
      <c r="AB1759" t="inlineStr">
        <is>
          <t>Copeland_RLA_230_460_3ph_60Hz.xlsx</t>
        </is>
      </c>
      <c r="AC1759" t="inlineStr">
        <is>
          <t>Recip_2D-9R</t>
        </is>
      </c>
    </row>
    <row r="1760">
      <c r="A1760" t="inlineStr">
        <is>
          <t>COPELAND</t>
        </is>
      </c>
      <c r="B1760" t="inlineStr">
        <is>
          <t>6DR3F11ML-TSK</t>
        </is>
      </c>
      <c r="D1760" t="inlineStr">
        <is>
          <t>Reciprocating Semi-hermetic</t>
        </is>
      </c>
      <c r="E1760" s="2" t="n">
        <v>3</v>
      </c>
      <c r="F1760" s="2" t="n">
        <v>60</v>
      </c>
      <c r="G1760" s="2" t="n">
        <v>230</v>
      </c>
      <c r="H1760" t="inlineStr">
        <is>
          <t>208/230</t>
        </is>
      </c>
      <c r="I1760" s="2" t="n">
        <v>208</v>
      </c>
      <c r="J1760" s="2" t="n">
        <v>230</v>
      </c>
      <c r="L1760" s="3" t="n"/>
      <c r="M1760" s="3" t="n"/>
      <c r="N1760" s="3" t="n">
        <v>95.7</v>
      </c>
      <c r="O1760" s="3" t="n"/>
      <c r="P1760" s="3">
        <f>IF(L1760&lt;&gt;"",L1760/1.4,"")</f>
        <v/>
      </c>
      <c r="Q1760" s="3">
        <f>IF(L1760&lt;&gt;"",L1760/1.56,"")</f>
        <v/>
      </c>
      <c r="R1760" s="3">
        <f>IF(M1760&lt;&gt;"",M1760/1.4,"")</f>
        <v/>
      </c>
      <c r="S1760" s="3">
        <f>IF(M1760&lt;&gt;"",M1760/1.56,"")</f>
        <v/>
      </c>
      <c r="T1760" s="3">
        <f>IF(N1760&lt;&gt;"",N1760,IF(O1760&lt;&gt;"",O1760,IF(L1760&lt;&gt;"",L1760/1.56,IF(M1760&lt;&gt;"",M1760/1.56,""))))</f>
        <v/>
      </c>
      <c r="U1760" s="3" t="n">
        <v>470</v>
      </c>
      <c r="V1760" s="3" t="n">
        <v>292</v>
      </c>
      <c r="W1760" s="3" t="n"/>
      <c r="X1760" s="4" t="n"/>
      <c r="Y1760" s="5" t="n">
        <v>0.111</v>
      </c>
      <c r="Z1760" s="4">
        <f>IF(L1760&lt;&gt;"",SQRT(3)*G1760*L1760/1000,"")</f>
        <v/>
      </c>
      <c r="AA1760" t="inlineStr">
        <is>
          <t>Source=Copeland 2D/3D/4D/4R/6D/8D/9R compressors (pdf) p91; PWS_RLA=47.8</t>
        </is>
      </c>
      <c r="AB1760" t="inlineStr">
        <is>
          <t>Copeland_RLA_230_460_3ph_60Hz.xlsx</t>
        </is>
      </c>
      <c r="AC1760" t="inlineStr">
        <is>
          <t>Recip_2D-9R</t>
        </is>
      </c>
    </row>
    <row r="1761">
      <c r="A1761" t="inlineStr">
        <is>
          <t>COPELAND</t>
        </is>
      </c>
      <c r="B1761" t="inlineStr">
        <is>
          <t>6DR3F11ML-TSK</t>
        </is>
      </c>
      <c r="D1761" t="inlineStr">
        <is>
          <t>Reciprocating Semi-hermetic</t>
        </is>
      </c>
      <c r="E1761" s="2" t="n">
        <v>3</v>
      </c>
      <c r="F1761" s="2" t="n">
        <v>60</v>
      </c>
      <c r="G1761" s="2" t="n">
        <v>460</v>
      </c>
      <c r="H1761" t="inlineStr">
        <is>
          <t>460</t>
        </is>
      </c>
      <c r="I1761" s="2" t="n">
        <v>460</v>
      </c>
      <c r="J1761" s="2" t="n">
        <v>460</v>
      </c>
      <c r="L1761" s="3" t="n"/>
      <c r="M1761" s="3" t="n"/>
      <c r="N1761" s="3" t="n">
        <v>47.9</v>
      </c>
      <c r="O1761" s="3" t="n"/>
      <c r="P1761" s="3">
        <f>IF(L1761&lt;&gt;"",L1761/1.4,"")</f>
        <v/>
      </c>
      <c r="Q1761" s="3">
        <f>IF(L1761&lt;&gt;"",L1761/1.56,"")</f>
        <v/>
      </c>
      <c r="R1761" s="3">
        <f>IF(M1761&lt;&gt;"",M1761/1.4,"")</f>
        <v/>
      </c>
      <c r="S1761" s="3">
        <f>IF(M1761&lt;&gt;"",M1761/1.56,"")</f>
        <v/>
      </c>
      <c r="T1761" s="3">
        <f>IF(N1761&lt;&gt;"",N1761,IF(O1761&lt;&gt;"",O1761,IF(L1761&lt;&gt;"",L1761/1.56,IF(M1761&lt;&gt;"",M1761/1.56,""))))</f>
        <v/>
      </c>
      <c r="U1761" s="3" t="n">
        <v>235</v>
      </c>
      <c r="V1761" s="3" t="n"/>
      <c r="W1761" s="3" t="n"/>
      <c r="X1761" s="4" t="n"/>
      <c r="Y1761" s="5" t="n">
        <v>0.444</v>
      </c>
      <c r="Z1761" s="4">
        <f>IF(L1761&lt;&gt;"",SQRT(3)*G1761*L1761/1000,"")</f>
        <v/>
      </c>
      <c r="AA1761" t="inlineStr">
        <is>
          <t>Source=Copeland 2D/3D/4D/4R/6D/8D/9R compressors (pdf) p91</t>
        </is>
      </c>
      <c r="AB1761" t="inlineStr">
        <is>
          <t>Copeland_RLA_230_460_3ph_60Hz.xlsx</t>
        </is>
      </c>
      <c r="AC1761" t="inlineStr">
        <is>
          <t>Recip_2D-9R</t>
        </is>
      </c>
    </row>
    <row r="1762">
      <c r="A1762" t="inlineStr">
        <is>
          <t>COPELAND</t>
        </is>
      </c>
      <c r="B1762" t="inlineStr">
        <is>
          <t>6DR3R28ME-TSK</t>
        </is>
      </c>
      <c r="D1762" t="inlineStr">
        <is>
          <t>Reciprocating Semi-hermetic</t>
        </is>
      </c>
      <c r="E1762" s="2" t="n">
        <v>3</v>
      </c>
      <c r="F1762" s="2" t="n">
        <v>60</v>
      </c>
      <c r="G1762" s="2" t="n">
        <v>230</v>
      </c>
      <c r="H1762" t="inlineStr">
        <is>
          <t>208/230</t>
        </is>
      </c>
      <c r="I1762" s="2" t="n">
        <v>208</v>
      </c>
      <c r="J1762" s="2" t="n">
        <v>230</v>
      </c>
      <c r="L1762" s="3" t="n"/>
      <c r="M1762" s="3" t="n"/>
      <c r="N1762" s="3" t="n">
        <v>100</v>
      </c>
      <c r="O1762" s="3" t="n"/>
      <c r="P1762" s="3">
        <f>IF(L1762&lt;&gt;"",L1762/1.4,"")</f>
        <v/>
      </c>
      <c r="Q1762" s="3">
        <f>IF(L1762&lt;&gt;"",L1762/1.56,"")</f>
        <v/>
      </c>
      <c r="R1762" s="3">
        <f>IF(M1762&lt;&gt;"",M1762/1.4,"")</f>
        <v/>
      </c>
      <c r="S1762" s="3">
        <f>IF(M1762&lt;&gt;"",M1762/1.56,"")</f>
        <v/>
      </c>
      <c r="T1762" s="3">
        <f>IF(N1762&lt;&gt;"",N1762,IF(O1762&lt;&gt;"",O1762,IF(L1762&lt;&gt;"",L1762/1.56,IF(M1762&lt;&gt;"",M1762/1.56,""))))</f>
        <v/>
      </c>
      <c r="U1762" s="3" t="n">
        <v>470</v>
      </c>
      <c r="V1762" s="3" t="n">
        <v>292</v>
      </c>
      <c r="W1762" s="3" t="n"/>
      <c r="X1762" s="4" t="n"/>
      <c r="Y1762" s="5" t="n">
        <v>0.111</v>
      </c>
      <c r="Z1762" s="4">
        <f>IF(L1762&lt;&gt;"",SQRT(3)*G1762*L1762/1000,"")</f>
        <v/>
      </c>
      <c r="AA1762" t="inlineStr">
        <is>
          <t>Source=Copeland 2D/3D/4D/4R/6D/8D/9R compressors (pdf) p91; PWS_RLA=50.0</t>
        </is>
      </c>
      <c r="AB1762" t="inlineStr">
        <is>
          <t>Copeland_RLA_230_460_3ph_60Hz.xlsx</t>
        </is>
      </c>
      <c r="AC1762" t="inlineStr">
        <is>
          <t>Recip_2D-9R</t>
        </is>
      </c>
    </row>
    <row r="1763">
      <c r="A1763" t="inlineStr">
        <is>
          <t>COPELAND</t>
        </is>
      </c>
      <c r="B1763" t="inlineStr">
        <is>
          <t>6DR3R28ME-TSK</t>
        </is>
      </c>
      <c r="D1763" t="inlineStr">
        <is>
          <t>Reciprocating Semi-hermetic</t>
        </is>
      </c>
      <c r="E1763" s="2" t="n">
        <v>3</v>
      </c>
      <c r="F1763" s="2" t="n">
        <v>60</v>
      </c>
      <c r="G1763" s="2" t="n">
        <v>460</v>
      </c>
      <c r="H1763" t="inlineStr">
        <is>
          <t>460</t>
        </is>
      </c>
      <c r="I1763" s="2" t="n">
        <v>460</v>
      </c>
      <c r="J1763" s="2" t="n">
        <v>460</v>
      </c>
      <c r="L1763" s="3" t="n"/>
      <c r="M1763" s="3" t="n"/>
      <c r="N1763" s="3" t="n">
        <v>50</v>
      </c>
      <c r="O1763" s="3" t="n"/>
      <c r="P1763" s="3">
        <f>IF(L1763&lt;&gt;"",L1763/1.4,"")</f>
        <v/>
      </c>
      <c r="Q1763" s="3">
        <f>IF(L1763&lt;&gt;"",L1763/1.56,"")</f>
        <v/>
      </c>
      <c r="R1763" s="3">
        <f>IF(M1763&lt;&gt;"",M1763/1.4,"")</f>
        <v/>
      </c>
      <c r="S1763" s="3">
        <f>IF(M1763&lt;&gt;"",M1763/1.56,"")</f>
        <v/>
      </c>
      <c r="T1763" s="3">
        <f>IF(N1763&lt;&gt;"",N1763,IF(O1763&lt;&gt;"",O1763,IF(L1763&lt;&gt;"",L1763/1.56,IF(M1763&lt;&gt;"",M1763/1.56,""))))</f>
        <v/>
      </c>
      <c r="U1763" s="3" t="n">
        <v>235</v>
      </c>
      <c r="V1763" s="3" t="n"/>
      <c r="W1763" s="3" t="n"/>
      <c r="X1763" s="4" t="n"/>
      <c r="Y1763" s="5" t="n">
        <v>0.444</v>
      </c>
      <c r="Z1763" s="4">
        <f>IF(L1763&lt;&gt;"",SQRT(3)*G1763*L1763/1000,"")</f>
        <v/>
      </c>
      <c r="AA1763" t="inlineStr">
        <is>
          <t>Source=Copeland 2D/3D/4D/4R/6D/8D/9R compressors (pdf) p91</t>
        </is>
      </c>
      <c r="AB1763" t="inlineStr">
        <is>
          <t>Copeland_RLA_230_460_3ph_60Hz.xlsx</t>
        </is>
      </c>
      <c r="AC1763" t="inlineStr">
        <is>
          <t>Recip_2D-9R</t>
        </is>
      </c>
    </row>
    <row r="1764">
      <c r="A1764" t="inlineStr">
        <is>
          <t>COPELAND</t>
        </is>
      </c>
      <c r="B1764" t="inlineStr">
        <is>
          <t>6DR3R28ML-TSK</t>
        </is>
      </c>
      <c r="D1764" t="inlineStr">
        <is>
          <t>Reciprocating Semi-hermetic</t>
        </is>
      </c>
      <c r="E1764" s="2" t="n">
        <v>3</v>
      </c>
      <c r="F1764" s="2" t="n">
        <v>60</v>
      </c>
      <c r="G1764" s="2" t="n">
        <v>230</v>
      </c>
      <c r="H1764" t="inlineStr">
        <is>
          <t>208/230</t>
        </is>
      </c>
      <c r="I1764" s="2" t="n">
        <v>208</v>
      </c>
      <c r="J1764" s="2" t="n">
        <v>230</v>
      </c>
      <c r="L1764" s="3" t="n"/>
      <c r="M1764" s="3" t="n"/>
      <c r="N1764" s="3" t="n">
        <v>100</v>
      </c>
      <c r="O1764" s="3" t="n"/>
      <c r="P1764" s="3">
        <f>IF(L1764&lt;&gt;"",L1764/1.4,"")</f>
        <v/>
      </c>
      <c r="Q1764" s="3">
        <f>IF(L1764&lt;&gt;"",L1764/1.56,"")</f>
        <v/>
      </c>
      <c r="R1764" s="3">
        <f>IF(M1764&lt;&gt;"",M1764/1.4,"")</f>
        <v/>
      </c>
      <c r="S1764" s="3">
        <f>IF(M1764&lt;&gt;"",M1764/1.56,"")</f>
        <v/>
      </c>
      <c r="T1764" s="3">
        <f>IF(N1764&lt;&gt;"",N1764,IF(O1764&lt;&gt;"",O1764,IF(L1764&lt;&gt;"",L1764/1.56,IF(M1764&lt;&gt;"",M1764/1.56,""))))</f>
        <v/>
      </c>
      <c r="U1764" s="3" t="n">
        <v>470</v>
      </c>
      <c r="V1764" s="3" t="n">
        <v>292</v>
      </c>
      <c r="W1764" s="3" t="n"/>
      <c r="X1764" s="4" t="n"/>
      <c r="Y1764" s="5" t="n">
        <v>0.111</v>
      </c>
      <c r="Z1764" s="4">
        <f>IF(L1764&lt;&gt;"",SQRT(3)*G1764*L1764/1000,"")</f>
        <v/>
      </c>
      <c r="AA1764" t="inlineStr">
        <is>
          <t>Source=Copeland 2D/3D/4D/4R/6D/8D/9R compressors (pdf) p92; PWS_RLA=50.0</t>
        </is>
      </c>
      <c r="AB1764" t="inlineStr">
        <is>
          <t>Copeland_RLA_230_460_3ph_60Hz.xlsx</t>
        </is>
      </c>
      <c r="AC1764" t="inlineStr">
        <is>
          <t>Recip_2D-9R</t>
        </is>
      </c>
    </row>
    <row r="1765">
      <c r="A1765" t="inlineStr">
        <is>
          <t>COPELAND</t>
        </is>
      </c>
      <c r="B1765" t="inlineStr">
        <is>
          <t>6DR3R28ML-TSK</t>
        </is>
      </c>
      <c r="D1765" t="inlineStr">
        <is>
          <t>Reciprocating Semi-hermetic</t>
        </is>
      </c>
      <c r="E1765" s="2" t="n">
        <v>3</v>
      </c>
      <c r="F1765" s="2" t="n">
        <v>60</v>
      </c>
      <c r="G1765" s="2" t="n">
        <v>460</v>
      </c>
      <c r="H1765" t="inlineStr">
        <is>
          <t>460</t>
        </is>
      </c>
      <c r="I1765" s="2" t="n">
        <v>460</v>
      </c>
      <c r="J1765" s="2" t="n">
        <v>460</v>
      </c>
      <c r="L1765" s="3" t="n"/>
      <c r="M1765" s="3" t="n"/>
      <c r="N1765" s="3" t="n">
        <v>50</v>
      </c>
      <c r="O1765" s="3" t="n"/>
      <c r="P1765" s="3">
        <f>IF(L1765&lt;&gt;"",L1765/1.4,"")</f>
        <v/>
      </c>
      <c r="Q1765" s="3">
        <f>IF(L1765&lt;&gt;"",L1765/1.56,"")</f>
        <v/>
      </c>
      <c r="R1765" s="3">
        <f>IF(M1765&lt;&gt;"",M1765/1.4,"")</f>
        <v/>
      </c>
      <c r="S1765" s="3">
        <f>IF(M1765&lt;&gt;"",M1765/1.56,"")</f>
        <v/>
      </c>
      <c r="T1765" s="3">
        <f>IF(N1765&lt;&gt;"",N1765,IF(O1765&lt;&gt;"",O1765,IF(L1765&lt;&gt;"",L1765/1.56,IF(M1765&lt;&gt;"",M1765/1.56,""))))</f>
        <v/>
      </c>
      <c r="U1765" s="3" t="n">
        <v>235</v>
      </c>
      <c r="V1765" s="3" t="n"/>
      <c r="W1765" s="3" t="n"/>
      <c r="X1765" s="4" t="n"/>
      <c r="Y1765" s="5" t="n">
        <v>0.444</v>
      </c>
      <c r="Z1765" s="4">
        <f>IF(L1765&lt;&gt;"",SQRT(3)*G1765*L1765/1000,"")</f>
        <v/>
      </c>
      <c r="AA1765" t="inlineStr">
        <is>
          <t>Source=Copeland 2D/3D/4D/4R/6D/8D/9R compressors (pdf) p92</t>
        </is>
      </c>
      <c r="AB1765" t="inlineStr">
        <is>
          <t>Copeland_RLA_230_460_3ph_60Hz.xlsx</t>
        </is>
      </c>
      <c r="AC1765" t="inlineStr">
        <is>
          <t>Recip_2D-9R</t>
        </is>
      </c>
    </row>
    <row r="1766">
      <c r="A1766" t="inlineStr">
        <is>
          <t>COPELAND</t>
        </is>
      </c>
      <c r="B1766" t="inlineStr">
        <is>
          <t>6DR3R40M0-FSD</t>
        </is>
      </c>
      <c r="D1766" t="inlineStr">
        <is>
          <t>Reciprocating Semi-hermetic</t>
        </is>
      </c>
      <c r="E1766" s="2" t="n">
        <v>3</v>
      </c>
      <c r="F1766" s="2" t="n">
        <v>60</v>
      </c>
      <c r="G1766" s="2" t="n">
        <v>460</v>
      </c>
      <c r="H1766" t="inlineStr">
        <is>
          <t>460</t>
        </is>
      </c>
      <c r="I1766" s="2" t="n">
        <v>460</v>
      </c>
      <c r="J1766" s="2" t="n">
        <v>460</v>
      </c>
      <c r="L1766" s="3" t="n"/>
      <c r="M1766" s="3" t="n"/>
      <c r="N1766" s="3" t="n">
        <v>70</v>
      </c>
      <c r="O1766" s="3" t="n"/>
      <c r="P1766" s="3">
        <f>IF(L1766&lt;&gt;"",L1766/1.4,"")</f>
        <v/>
      </c>
      <c r="Q1766" s="3">
        <f>IF(L1766&lt;&gt;"",L1766/1.56,"")</f>
        <v/>
      </c>
      <c r="R1766" s="3">
        <f>IF(M1766&lt;&gt;"",M1766/1.4,"")</f>
        <v/>
      </c>
      <c r="S1766" s="3">
        <f>IF(M1766&lt;&gt;"",M1766/1.56,"")</f>
        <v/>
      </c>
      <c r="T1766" s="3">
        <f>IF(N1766&lt;&gt;"",N1766,IF(O1766&lt;&gt;"",O1766,IF(L1766&lt;&gt;"",L1766/1.56,IF(M1766&lt;&gt;"",M1766/1.56,""))))</f>
        <v/>
      </c>
      <c r="U1766" s="3" t="n">
        <v>315</v>
      </c>
      <c r="V1766" s="3" t="n">
        <v>195</v>
      </c>
      <c r="W1766" s="3" t="n"/>
      <c r="X1766" s="4" t="n"/>
      <c r="Y1766" s="5" t="n">
        <v>0.32</v>
      </c>
      <c r="Z1766" s="4">
        <f>IF(L1766&lt;&gt;"",SQRT(3)*G1766*L1766/1000,"")</f>
        <v/>
      </c>
      <c r="AA1766" t="inlineStr">
        <is>
          <t>Source=Copeland 2D/3D/4D/4R/6D/8D/9R compressors (pdf) p92; PWS_RLA=35.0</t>
        </is>
      </c>
      <c r="AB1766" t="inlineStr">
        <is>
          <t>Copeland_RLA_230_460_3ph_60Hz.xlsx</t>
        </is>
      </c>
      <c r="AC1766" t="inlineStr">
        <is>
          <t>Recip_2D-9R</t>
        </is>
      </c>
    </row>
    <row r="1767">
      <c r="A1767" t="inlineStr">
        <is>
          <t>COPELAND</t>
        </is>
      </c>
      <c r="B1767" t="inlineStr">
        <is>
          <t>6DR3R40M0-TSN</t>
        </is>
      </c>
      <c r="D1767" t="inlineStr">
        <is>
          <t>Reciprocating Semi-hermetic</t>
        </is>
      </c>
      <c r="E1767" s="2" t="n">
        <v>3</v>
      </c>
      <c r="F1767" s="2" t="n">
        <v>60</v>
      </c>
      <c r="G1767" s="2" t="n">
        <v>230</v>
      </c>
      <c r="H1767" t="inlineStr">
        <is>
          <t>230</t>
        </is>
      </c>
      <c r="I1767" s="2" t="n">
        <v>230</v>
      </c>
      <c r="J1767" s="2" t="n">
        <v>230</v>
      </c>
      <c r="L1767" s="3" t="n"/>
      <c r="M1767" s="3" t="n"/>
      <c r="N1767" s="3" t="n">
        <v>141.4</v>
      </c>
      <c r="O1767" s="3" t="n"/>
      <c r="P1767" s="3">
        <f>IF(L1767&lt;&gt;"",L1767/1.4,"")</f>
        <v/>
      </c>
      <c r="Q1767" s="3">
        <f>IF(L1767&lt;&gt;"",L1767/1.56,"")</f>
        <v/>
      </c>
      <c r="R1767" s="3">
        <f>IF(M1767&lt;&gt;"",M1767/1.4,"")</f>
        <v/>
      </c>
      <c r="S1767" s="3">
        <f>IF(M1767&lt;&gt;"",M1767/1.56,"")</f>
        <v/>
      </c>
      <c r="T1767" s="3">
        <f>IF(N1767&lt;&gt;"",N1767,IF(O1767&lt;&gt;"",O1767,IF(L1767&lt;&gt;"",L1767/1.56,IF(M1767&lt;&gt;"",M1767/1.56,""))))</f>
        <v/>
      </c>
      <c r="U1767" s="3" t="n">
        <v>594</v>
      </c>
      <c r="V1767" s="3" t="n">
        <v>340</v>
      </c>
      <c r="W1767" s="3" t="n"/>
      <c r="X1767" s="4" t="n"/>
      <c r="Y1767" s="5" t="n">
        <v>0.08500000000000001</v>
      </c>
      <c r="Z1767" s="4">
        <f>IF(L1767&lt;&gt;"",SQRT(3)*G1767*L1767/1000,"")</f>
        <v/>
      </c>
      <c r="AA1767" t="inlineStr">
        <is>
          <t>Source=Copeland 2D/3D/4D/4R/6D/8D/9R compressors (pdf) p92; PWS_RLA=71.0</t>
        </is>
      </c>
      <c r="AB1767" t="inlineStr">
        <is>
          <t>Copeland_RLA_230_460_3ph_60Hz.xlsx</t>
        </is>
      </c>
      <c r="AC1767" t="inlineStr">
        <is>
          <t>Recip_2D-9R</t>
        </is>
      </c>
    </row>
    <row r="1768">
      <c r="A1768" t="inlineStr">
        <is>
          <t>COPELAND</t>
        </is>
      </c>
      <c r="B1768" t="inlineStr">
        <is>
          <t>6DR3R40M0-TSN</t>
        </is>
      </c>
      <c r="D1768" t="inlineStr">
        <is>
          <t>Reciprocating Semi-hermetic</t>
        </is>
      </c>
      <c r="E1768" s="2" t="n">
        <v>3</v>
      </c>
      <c r="F1768" s="2" t="n">
        <v>60</v>
      </c>
      <c r="G1768" s="2" t="n">
        <v>460</v>
      </c>
      <c r="H1768" t="inlineStr">
        <is>
          <t>460</t>
        </is>
      </c>
      <c r="I1768" s="2" t="n">
        <v>460</v>
      </c>
      <c r="J1768" s="2" t="n">
        <v>460</v>
      </c>
      <c r="L1768" s="3" t="n"/>
      <c r="M1768" s="3" t="n"/>
      <c r="N1768" s="3" t="n">
        <v>70.7</v>
      </c>
      <c r="O1768" s="3" t="n"/>
      <c r="P1768" s="3">
        <f>IF(L1768&lt;&gt;"",L1768/1.4,"")</f>
        <v/>
      </c>
      <c r="Q1768" s="3">
        <f>IF(L1768&lt;&gt;"",L1768/1.56,"")</f>
        <v/>
      </c>
      <c r="R1768" s="3">
        <f>IF(M1768&lt;&gt;"",M1768/1.4,"")</f>
        <v/>
      </c>
      <c r="S1768" s="3">
        <f>IF(M1768&lt;&gt;"",M1768/1.56,"")</f>
        <v/>
      </c>
      <c r="T1768" s="3">
        <f>IF(N1768&lt;&gt;"",N1768,IF(O1768&lt;&gt;"",O1768,IF(L1768&lt;&gt;"",L1768/1.56,IF(M1768&lt;&gt;"",M1768/1.56,""))))</f>
        <v/>
      </c>
      <c r="U1768" s="3" t="n">
        <v>297</v>
      </c>
      <c r="V1768" s="3" t="n"/>
      <c r="W1768" s="3" t="n"/>
      <c r="X1768" s="4" t="n"/>
      <c r="Y1768" s="5" t="n">
        <v>0.34</v>
      </c>
      <c r="Z1768" s="4">
        <f>IF(L1768&lt;&gt;"",SQRT(3)*G1768*L1768/1000,"")</f>
        <v/>
      </c>
      <c r="AA1768" t="inlineStr">
        <is>
          <t>Source=Copeland 2D/3D/4D/4R/6D/8D/9R compressors (pdf) p92</t>
        </is>
      </c>
      <c r="AB1768" t="inlineStr">
        <is>
          <t>Copeland_RLA_230_460_3ph_60Hz.xlsx</t>
        </is>
      </c>
      <c r="AC1768" t="inlineStr">
        <is>
          <t>Recip_2D-9R</t>
        </is>
      </c>
    </row>
    <row r="1769">
      <c r="A1769" t="inlineStr">
        <is>
          <t>COPELAND</t>
        </is>
      </c>
      <c r="B1769" t="inlineStr">
        <is>
          <t>6DR3R40ME-FSD</t>
        </is>
      </c>
      <c r="D1769" t="inlineStr">
        <is>
          <t>Reciprocating Semi-hermetic</t>
        </is>
      </c>
      <c r="E1769" s="2" t="n">
        <v>3</v>
      </c>
      <c r="F1769" s="2" t="n">
        <v>60</v>
      </c>
      <c r="G1769" s="2" t="n">
        <v>460</v>
      </c>
      <c r="H1769" t="inlineStr">
        <is>
          <t>460</t>
        </is>
      </c>
      <c r="I1769" s="2" t="n">
        <v>460</v>
      </c>
      <c r="J1769" s="2" t="n">
        <v>460</v>
      </c>
      <c r="L1769" s="3" t="n"/>
      <c r="M1769" s="3" t="n"/>
      <c r="N1769" s="3" t="n">
        <v>86.40000000000001</v>
      </c>
      <c r="O1769" s="3" t="n"/>
      <c r="P1769" s="3">
        <f>IF(L1769&lt;&gt;"",L1769/1.4,"")</f>
        <v/>
      </c>
      <c r="Q1769" s="3">
        <f>IF(L1769&lt;&gt;"",L1769/1.56,"")</f>
        <v/>
      </c>
      <c r="R1769" s="3">
        <f>IF(M1769&lt;&gt;"",M1769/1.4,"")</f>
        <v/>
      </c>
      <c r="S1769" s="3">
        <f>IF(M1769&lt;&gt;"",M1769/1.56,"")</f>
        <v/>
      </c>
      <c r="T1769" s="3">
        <f>IF(N1769&lt;&gt;"",N1769,IF(O1769&lt;&gt;"",O1769,IF(L1769&lt;&gt;"",L1769/1.56,IF(M1769&lt;&gt;"",M1769/1.56,""))))</f>
        <v/>
      </c>
      <c r="U1769" s="3" t="n">
        <v>315</v>
      </c>
      <c r="V1769" s="3" t="n">
        <v>195</v>
      </c>
      <c r="W1769" s="3" t="n"/>
      <c r="X1769" s="4" t="n"/>
      <c r="Y1769" s="5" t="n">
        <v>0.32</v>
      </c>
      <c r="Z1769" s="4">
        <f>IF(L1769&lt;&gt;"",SQRT(3)*G1769*L1769/1000,"")</f>
        <v/>
      </c>
      <c r="AA1769" t="inlineStr">
        <is>
          <t>Source=Copeland 2D/3D/4D/4R/6D/8D/9R compressors (pdf) p92; PWS_RLA=43.2</t>
        </is>
      </c>
      <c r="AB1769" t="inlineStr">
        <is>
          <t>Copeland_RLA_230_460_3ph_60Hz.xlsx</t>
        </is>
      </c>
      <c r="AC1769" t="inlineStr">
        <is>
          <t>Recip_2D-9R</t>
        </is>
      </c>
    </row>
    <row r="1770">
      <c r="A1770" t="inlineStr">
        <is>
          <t>COPELAND</t>
        </is>
      </c>
      <c r="B1770" t="inlineStr">
        <is>
          <t>6DR3R40ME-TSN</t>
        </is>
      </c>
      <c r="D1770" t="inlineStr">
        <is>
          <t>Reciprocating Semi-hermetic</t>
        </is>
      </c>
      <c r="E1770" s="2" t="n">
        <v>3</v>
      </c>
      <c r="F1770" s="2" t="n">
        <v>60</v>
      </c>
      <c r="G1770" s="2" t="n">
        <v>230</v>
      </c>
      <c r="H1770" t="inlineStr">
        <is>
          <t>230</t>
        </is>
      </c>
      <c r="I1770" s="2" t="n">
        <v>230</v>
      </c>
      <c r="J1770" s="2" t="n">
        <v>230</v>
      </c>
      <c r="L1770" s="3" t="n"/>
      <c r="M1770" s="3" t="n"/>
      <c r="N1770" s="3" t="n">
        <v>158.6</v>
      </c>
      <c r="O1770" s="3" t="n"/>
      <c r="P1770" s="3">
        <f>IF(L1770&lt;&gt;"",L1770/1.4,"")</f>
        <v/>
      </c>
      <c r="Q1770" s="3">
        <f>IF(L1770&lt;&gt;"",L1770/1.56,"")</f>
        <v/>
      </c>
      <c r="R1770" s="3">
        <f>IF(M1770&lt;&gt;"",M1770/1.4,"")</f>
        <v/>
      </c>
      <c r="S1770" s="3">
        <f>IF(M1770&lt;&gt;"",M1770/1.56,"")</f>
        <v/>
      </c>
      <c r="T1770" s="3">
        <f>IF(N1770&lt;&gt;"",N1770,IF(O1770&lt;&gt;"",O1770,IF(L1770&lt;&gt;"",L1770/1.56,IF(M1770&lt;&gt;"",M1770/1.56,""))))</f>
        <v/>
      </c>
      <c r="U1770" s="3" t="n">
        <v>594</v>
      </c>
      <c r="V1770" s="3" t="n">
        <v>340</v>
      </c>
      <c r="W1770" s="3" t="n"/>
      <c r="X1770" s="4" t="n"/>
      <c r="Y1770" s="5" t="n">
        <v>0.08500000000000001</v>
      </c>
      <c r="Z1770" s="4">
        <f>IF(L1770&lt;&gt;"",SQRT(3)*G1770*L1770/1000,"")</f>
        <v/>
      </c>
      <c r="AA1770" t="inlineStr">
        <is>
          <t>Source=Copeland 2D/3D/4D/4R/6D/8D/9R compressors (pdf) p92; PWS_RLA=79.3</t>
        </is>
      </c>
      <c r="AB1770" t="inlineStr">
        <is>
          <t>Copeland_RLA_230_460_3ph_60Hz.xlsx</t>
        </is>
      </c>
      <c r="AC1770" t="inlineStr">
        <is>
          <t>Recip_2D-9R</t>
        </is>
      </c>
    </row>
    <row r="1771">
      <c r="A1771" t="inlineStr">
        <is>
          <t>COPELAND</t>
        </is>
      </c>
      <c r="B1771" t="inlineStr">
        <is>
          <t>6DR3R40ME-TSN</t>
        </is>
      </c>
      <c r="D1771" t="inlineStr">
        <is>
          <t>Reciprocating Semi-hermetic</t>
        </is>
      </c>
      <c r="E1771" s="2" t="n">
        <v>3</v>
      </c>
      <c r="F1771" s="2" t="n">
        <v>60</v>
      </c>
      <c r="G1771" s="2" t="n">
        <v>460</v>
      </c>
      <c r="H1771" t="inlineStr">
        <is>
          <t>460</t>
        </is>
      </c>
      <c r="I1771" s="2" t="n">
        <v>460</v>
      </c>
      <c r="J1771" s="2" t="n">
        <v>460</v>
      </c>
      <c r="L1771" s="3" t="n"/>
      <c r="M1771" s="3" t="n"/>
      <c r="N1771" s="3" t="n">
        <v>79.3</v>
      </c>
      <c r="O1771" s="3" t="n"/>
      <c r="P1771" s="3">
        <f>IF(L1771&lt;&gt;"",L1771/1.4,"")</f>
        <v/>
      </c>
      <c r="Q1771" s="3">
        <f>IF(L1771&lt;&gt;"",L1771/1.56,"")</f>
        <v/>
      </c>
      <c r="R1771" s="3">
        <f>IF(M1771&lt;&gt;"",M1771/1.4,"")</f>
        <v/>
      </c>
      <c r="S1771" s="3">
        <f>IF(M1771&lt;&gt;"",M1771/1.56,"")</f>
        <v/>
      </c>
      <c r="T1771" s="3">
        <f>IF(N1771&lt;&gt;"",N1771,IF(O1771&lt;&gt;"",O1771,IF(L1771&lt;&gt;"",L1771/1.56,IF(M1771&lt;&gt;"",M1771/1.56,""))))</f>
        <v/>
      </c>
      <c r="U1771" s="3" t="n">
        <v>297</v>
      </c>
      <c r="V1771" s="3" t="n"/>
      <c r="W1771" s="3" t="n"/>
      <c r="X1771" s="4" t="n"/>
      <c r="Y1771" s="5" t="n">
        <v>0.34</v>
      </c>
      <c r="Z1771" s="4">
        <f>IF(L1771&lt;&gt;"",SQRT(3)*G1771*L1771/1000,"")</f>
        <v/>
      </c>
      <c r="AA1771" t="inlineStr">
        <is>
          <t>Source=Copeland 2D/3D/4D/4R/6D/8D/9R compressors (pdf) p92</t>
        </is>
      </c>
      <c r="AB1771" t="inlineStr">
        <is>
          <t>Copeland_RLA_230_460_3ph_60Hz.xlsx</t>
        </is>
      </c>
      <c r="AC1771" t="inlineStr">
        <is>
          <t>Recip_2D-9R</t>
        </is>
      </c>
    </row>
    <row r="1772">
      <c r="A1772" t="inlineStr">
        <is>
          <t>COPELAND</t>
        </is>
      </c>
      <c r="B1772" t="inlineStr">
        <is>
          <t>6DR3R40ML-FSD</t>
        </is>
      </c>
      <c r="D1772" t="inlineStr">
        <is>
          <t>Reciprocating Semi-hermetic</t>
        </is>
      </c>
      <c r="E1772" s="2" t="n">
        <v>3</v>
      </c>
      <c r="F1772" s="2" t="n">
        <v>60</v>
      </c>
      <c r="G1772" s="2" t="n">
        <v>460</v>
      </c>
      <c r="H1772" t="inlineStr">
        <is>
          <t>460</t>
        </is>
      </c>
      <c r="I1772" s="2" t="n">
        <v>460</v>
      </c>
      <c r="J1772" s="2" t="n">
        <v>460</v>
      </c>
      <c r="L1772" s="3" t="n"/>
      <c r="M1772" s="3" t="n"/>
      <c r="N1772" s="3" t="n">
        <v>86.40000000000001</v>
      </c>
      <c r="O1772" s="3" t="n"/>
      <c r="P1772" s="3">
        <f>IF(L1772&lt;&gt;"",L1772/1.4,"")</f>
        <v/>
      </c>
      <c r="Q1772" s="3">
        <f>IF(L1772&lt;&gt;"",L1772/1.56,"")</f>
        <v/>
      </c>
      <c r="R1772" s="3">
        <f>IF(M1772&lt;&gt;"",M1772/1.4,"")</f>
        <v/>
      </c>
      <c r="S1772" s="3">
        <f>IF(M1772&lt;&gt;"",M1772/1.56,"")</f>
        <v/>
      </c>
      <c r="T1772" s="3">
        <f>IF(N1772&lt;&gt;"",N1772,IF(O1772&lt;&gt;"",O1772,IF(L1772&lt;&gt;"",L1772/1.56,IF(M1772&lt;&gt;"",M1772/1.56,""))))</f>
        <v/>
      </c>
      <c r="U1772" s="3" t="n">
        <v>315</v>
      </c>
      <c r="V1772" s="3" t="n">
        <v>195</v>
      </c>
      <c r="W1772" s="3" t="n"/>
      <c r="X1772" s="4" t="n"/>
      <c r="Y1772" s="5" t="n">
        <v>0.32</v>
      </c>
      <c r="Z1772" s="4">
        <f>IF(L1772&lt;&gt;"",SQRT(3)*G1772*L1772/1000,"")</f>
        <v/>
      </c>
      <c r="AA1772" t="inlineStr">
        <is>
          <t>Source=Copeland 2D/3D/4D/4R/6D/8D/9R compressors (pdf) p92; PWS_RLA=43.2</t>
        </is>
      </c>
      <c r="AB1772" t="inlineStr">
        <is>
          <t>Copeland_RLA_230_460_3ph_60Hz.xlsx</t>
        </is>
      </c>
      <c r="AC1772" t="inlineStr">
        <is>
          <t>Recip_2D-9R</t>
        </is>
      </c>
    </row>
    <row r="1773">
      <c r="A1773" t="inlineStr">
        <is>
          <t>COPELAND</t>
        </is>
      </c>
      <c r="B1773" t="inlineStr">
        <is>
          <t>6DR3R40ML-TSN</t>
        </is>
      </c>
      <c r="D1773" t="inlineStr">
        <is>
          <t>Reciprocating Semi-hermetic</t>
        </is>
      </c>
      <c r="E1773" s="2" t="n">
        <v>3</v>
      </c>
      <c r="F1773" s="2" t="n">
        <v>60</v>
      </c>
      <c r="G1773" s="2" t="n">
        <v>230</v>
      </c>
      <c r="H1773" t="inlineStr">
        <is>
          <t>230</t>
        </is>
      </c>
      <c r="I1773" s="2" t="n">
        <v>230</v>
      </c>
      <c r="J1773" s="2" t="n">
        <v>230</v>
      </c>
      <c r="L1773" s="3" t="n"/>
      <c r="M1773" s="3" t="n"/>
      <c r="N1773" s="3" t="n">
        <v>158.6</v>
      </c>
      <c r="O1773" s="3" t="n"/>
      <c r="P1773" s="3">
        <f>IF(L1773&lt;&gt;"",L1773/1.4,"")</f>
        <v/>
      </c>
      <c r="Q1773" s="3">
        <f>IF(L1773&lt;&gt;"",L1773/1.56,"")</f>
        <v/>
      </c>
      <c r="R1773" s="3">
        <f>IF(M1773&lt;&gt;"",M1773/1.4,"")</f>
        <v/>
      </c>
      <c r="S1773" s="3">
        <f>IF(M1773&lt;&gt;"",M1773/1.56,"")</f>
        <v/>
      </c>
      <c r="T1773" s="3">
        <f>IF(N1773&lt;&gt;"",N1773,IF(O1773&lt;&gt;"",O1773,IF(L1773&lt;&gt;"",L1773/1.56,IF(M1773&lt;&gt;"",M1773/1.56,""))))</f>
        <v/>
      </c>
      <c r="U1773" s="3" t="n">
        <v>594</v>
      </c>
      <c r="V1773" s="3" t="n">
        <v>340</v>
      </c>
      <c r="W1773" s="3" t="n"/>
      <c r="X1773" s="4" t="n"/>
      <c r="Y1773" s="5" t="n">
        <v>0.08500000000000001</v>
      </c>
      <c r="Z1773" s="4">
        <f>IF(L1773&lt;&gt;"",SQRT(3)*G1773*L1773/1000,"")</f>
        <v/>
      </c>
      <c r="AA1773" t="inlineStr">
        <is>
          <t>Source=Copeland 2D/3D/4D/4R/6D/8D/9R compressors (pdf) p92; PWS_RLA=79.3</t>
        </is>
      </c>
      <c r="AB1773" t="inlineStr">
        <is>
          <t>Copeland_RLA_230_460_3ph_60Hz.xlsx</t>
        </is>
      </c>
      <c r="AC1773" t="inlineStr">
        <is>
          <t>Recip_2D-9R</t>
        </is>
      </c>
    </row>
    <row r="1774">
      <c r="A1774" t="inlineStr">
        <is>
          <t>COPELAND</t>
        </is>
      </c>
      <c r="B1774" t="inlineStr">
        <is>
          <t>6DR3R40ML-TSN</t>
        </is>
      </c>
      <c r="D1774" t="inlineStr">
        <is>
          <t>Reciprocating Semi-hermetic</t>
        </is>
      </c>
      <c r="E1774" s="2" t="n">
        <v>3</v>
      </c>
      <c r="F1774" s="2" t="n">
        <v>60</v>
      </c>
      <c r="G1774" s="2" t="n">
        <v>460</v>
      </c>
      <c r="H1774" t="inlineStr">
        <is>
          <t>460</t>
        </is>
      </c>
      <c r="I1774" s="2" t="n">
        <v>460</v>
      </c>
      <c r="J1774" s="2" t="n">
        <v>460</v>
      </c>
      <c r="L1774" s="3" t="n"/>
      <c r="M1774" s="3" t="n"/>
      <c r="N1774" s="3" t="n">
        <v>79.3</v>
      </c>
      <c r="O1774" s="3" t="n"/>
      <c r="P1774" s="3">
        <f>IF(L1774&lt;&gt;"",L1774/1.4,"")</f>
        <v/>
      </c>
      <c r="Q1774" s="3">
        <f>IF(L1774&lt;&gt;"",L1774/1.56,"")</f>
        <v/>
      </c>
      <c r="R1774" s="3">
        <f>IF(M1774&lt;&gt;"",M1774/1.4,"")</f>
        <v/>
      </c>
      <c r="S1774" s="3">
        <f>IF(M1774&lt;&gt;"",M1774/1.56,"")</f>
        <v/>
      </c>
      <c r="T1774" s="3">
        <f>IF(N1774&lt;&gt;"",N1774,IF(O1774&lt;&gt;"",O1774,IF(L1774&lt;&gt;"",L1774/1.56,IF(M1774&lt;&gt;"",M1774/1.56,""))))</f>
        <v/>
      </c>
      <c r="U1774" s="3" t="n">
        <v>297</v>
      </c>
      <c r="V1774" s="3" t="n"/>
      <c r="W1774" s="3" t="n"/>
      <c r="X1774" s="4" t="n"/>
      <c r="Y1774" s="5" t="n">
        <v>0.34</v>
      </c>
      <c r="Z1774" s="4">
        <f>IF(L1774&lt;&gt;"",SQRT(3)*G1774*L1774/1000,"")</f>
        <v/>
      </c>
      <c r="AA1774" t="inlineStr">
        <is>
          <t>Source=Copeland 2D/3D/4D/4R/6D/8D/9R compressors (pdf) p92</t>
        </is>
      </c>
      <c r="AB1774" t="inlineStr">
        <is>
          <t>Copeland_RLA_230_460_3ph_60Hz.xlsx</t>
        </is>
      </c>
      <c r="AC1774" t="inlineStr">
        <is>
          <t>Recip_2D-9R</t>
        </is>
      </c>
    </row>
    <row r="1775">
      <c r="A1775" t="inlineStr">
        <is>
          <t>COPELAND</t>
        </is>
      </c>
      <c r="B1775" t="inlineStr">
        <is>
          <t>6DRG-4000-FSD</t>
        </is>
      </c>
      <c r="D1775" t="inlineStr">
        <is>
          <t>Reciprocating Semi-hermetic</t>
        </is>
      </c>
      <c r="E1775" s="2" t="n">
        <v>3</v>
      </c>
      <c r="F1775" s="2" t="n">
        <v>60</v>
      </c>
      <c r="G1775" s="2" t="n">
        <v>460</v>
      </c>
      <c r="H1775" t="inlineStr">
        <is>
          <t>460</t>
        </is>
      </c>
      <c r="I1775" s="2" t="n">
        <v>460</v>
      </c>
      <c r="J1775" s="2" t="n">
        <v>460</v>
      </c>
      <c r="L1775" s="3" t="n"/>
      <c r="M1775" s="3" t="n"/>
      <c r="N1775" s="3" t="n">
        <v>70</v>
      </c>
      <c r="O1775" s="3" t="n"/>
      <c r="P1775" s="3">
        <f>IF(L1775&lt;&gt;"",L1775/1.4,"")</f>
        <v/>
      </c>
      <c r="Q1775" s="3">
        <f>IF(L1775&lt;&gt;"",L1775/1.56,"")</f>
        <v/>
      </c>
      <c r="R1775" s="3">
        <f>IF(M1775&lt;&gt;"",M1775/1.4,"")</f>
        <v/>
      </c>
      <c r="S1775" s="3">
        <f>IF(M1775&lt;&gt;"",M1775/1.56,"")</f>
        <v/>
      </c>
      <c r="T1775" s="3">
        <f>IF(N1775&lt;&gt;"",N1775,IF(O1775&lt;&gt;"",O1775,IF(L1775&lt;&gt;"",L1775/1.56,IF(M1775&lt;&gt;"",M1775/1.56,""))))</f>
        <v/>
      </c>
      <c r="U1775" s="3" t="n">
        <v>315</v>
      </c>
      <c r="V1775" s="3" t="n">
        <v>195</v>
      </c>
      <c r="W1775" s="3" t="n"/>
      <c r="X1775" s="4" t="n"/>
      <c r="Y1775" s="5" t="n">
        <v>0.32</v>
      </c>
      <c r="Z1775" s="4">
        <f>IF(L1775&lt;&gt;"",SQRT(3)*G1775*L1775/1000,"")</f>
        <v/>
      </c>
      <c r="AA1775" t="inlineStr">
        <is>
          <t>Source=Copeland 2D/3D/4D/4R/6D/8D/9R compressors (pdf) p92; PWS_RLA=35.0</t>
        </is>
      </c>
      <c r="AB1775" t="inlineStr">
        <is>
          <t>Copeland_RLA_230_460_3ph_60Hz.xlsx</t>
        </is>
      </c>
      <c r="AC1775" t="inlineStr">
        <is>
          <t>Recip_2D-9R</t>
        </is>
      </c>
    </row>
    <row r="1776">
      <c r="A1776" t="inlineStr">
        <is>
          <t>COPELAND</t>
        </is>
      </c>
      <c r="B1776" t="inlineStr">
        <is>
          <t>6DRG-4000-TSN</t>
        </is>
      </c>
      <c r="D1776" t="inlineStr">
        <is>
          <t>Reciprocating Semi-hermetic</t>
        </is>
      </c>
      <c r="E1776" s="2" t="n">
        <v>3</v>
      </c>
      <c r="F1776" s="2" t="n">
        <v>60</v>
      </c>
      <c r="G1776" s="2" t="n">
        <v>230</v>
      </c>
      <c r="H1776" t="inlineStr">
        <is>
          <t>230</t>
        </is>
      </c>
      <c r="I1776" s="2" t="n">
        <v>230</v>
      </c>
      <c r="J1776" s="2" t="n">
        <v>230</v>
      </c>
      <c r="L1776" s="3" t="n"/>
      <c r="M1776" s="3" t="n"/>
      <c r="N1776" s="3" t="n">
        <v>141.4</v>
      </c>
      <c r="O1776" s="3" t="n"/>
      <c r="P1776" s="3">
        <f>IF(L1776&lt;&gt;"",L1776/1.4,"")</f>
        <v/>
      </c>
      <c r="Q1776" s="3">
        <f>IF(L1776&lt;&gt;"",L1776/1.56,"")</f>
        <v/>
      </c>
      <c r="R1776" s="3">
        <f>IF(M1776&lt;&gt;"",M1776/1.4,"")</f>
        <v/>
      </c>
      <c r="S1776" s="3">
        <f>IF(M1776&lt;&gt;"",M1776/1.56,"")</f>
        <v/>
      </c>
      <c r="T1776" s="3">
        <f>IF(N1776&lt;&gt;"",N1776,IF(O1776&lt;&gt;"",O1776,IF(L1776&lt;&gt;"",L1776/1.56,IF(M1776&lt;&gt;"",M1776/1.56,""))))</f>
        <v/>
      </c>
      <c r="U1776" s="3" t="n">
        <v>594</v>
      </c>
      <c r="V1776" s="3" t="n">
        <v>340</v>
      </c>
      <c r="W1776" s="3" t="n"/>
      <c r="X1776" s="4" t="n"/>
      <c r="Y1776" s="5" t="n">
        <v>0.08500000000000001</v>
      </c>
      <c r="Z1776" s="4">
        <f>IF(L1776&lt;&gt;"",SQRT(3)*G1776*L1776/1000,"")</f>
        <v/>
      </c>
      <c r="AA1776" t="inlineStr">
        <is>
          <t>Source=Copeland 2D/3D/4D/4R/6D/8D/9R compressors (pdf) p92; PWS_RLA=71.0</t>
        </is>
      </c>
      <c r="AB1776" t="inlineStr">
        <is>
          <t>Copeland_RLA_230_460_3ph_60Hz.xlsx</t>
        </is>
      </c>
      <c r="AC1776" t="inlineStr">
        <is>
          <t>Recip_2D-9R</t>
        </is>
      </c>
    </row>
    <row r="1777">
      <c r="A1777" t="inlineStr">
        <is>
          <t>COPELAND</t>
        </is>
      </c>
      <c r="B1777" t="inlineStr">
        <is>
          <t>6DRG-4000-TSN</t>
        </is>
      </c>
      <c r="D1777" t="inlineStr">
        <is>
          <t>Reciprocating Semi-hermetic</t>
        </is>
      </c>
      <c r="E1777" s="2" t="n">
        <v>3</v>
      </c>
      <c r="F1777" s="2" t="n">
        <v>60</v>
      </c>
      <c r="G1777" s="2" t="n">
        <v>460</v>
      </c>
      <c r="H1777" t="inlineStr">
        <is>
          <t>460</t>
        </is>
      </c>
      <c r="I1777" s="2" t="n">
        <v>460</v>
      </c>
      <c r="J1777" s="2" t="n">
        <v>460</v>
      </c>
      <c r="L1777" s="3" t="n"/>
      <c r="M1777" s="3" t="n"/>
      <c r="N1777" s="3" t="n">
        <v>70.7</v>
      </c>
      <c r="O1777" s="3" t="n"/>
      <c r="P1777" s="3">
        <f>IF(L1777&lt;&gt;"",L1777/1.4,"")</f>
        <v/>
      </c>
      <c r="Q1777" s="3">
        <f>IF(L1777&lt;&gt;"",L1777/1.56,"")</f>
        <v/>
      </c>
      <c r="R1777" s="3">
        <f>IF(M1777&lt;&gt;"",M1777/1.4,"")</f>
        <v/>
      </c>
      <c r="S1777" s="3">
        <f>IF(M1777&lt;&gt;"",M1777/1.56,"")</f>
        <v/>
      </c>
      <c r="T1777" s="3">
        <f>IF(N1777&lt;&gt;"",N1777,IF(O1777&lt;&gt;"",O1777,IF(L1777&lt;&gt;"",L1777/1.56,IF(M1777&lt;&gt;"",M1777/1.56,""))))</f>
        <v/>
      </c>
      <c r="U1777" s="3" t="n">
        <v>297</v>
      </c>
      <c r="V1777" s="3" t="n"/>
      <c r="W1777" s="3" t="n"/>
      <c r="X1777" s="4" t="n"/>
      <c r="Y1777" s="5" t="n">
        <v>0.34</v>
      </c>
      <c r="Z1777" s="4">
        <f>IF(L1777&lt;&gt;"",SQRT(3)*G1777*L1777/1000,"")</f>
        <v/>
      </c>
      <c r="AA1777" t="inlineStr">
        <is>
          <t>Source=Copeland 2D/3D/4D/4R/6D/8D/9R compressors (pdf) p92</t>
        </is>
      </c>
      <c r="AB1777" t="inlineStr">
        <is>
          <t>Copeland_RLA_230_460_3ph_60Hz.xlsx</t>
        </is>
      </c>
      <c r="AC1777" t="inlineStr">
        <is>
          <t>Recip_2D-9R</t>
        </is>
      </c>
    </row>
    <row r="1778">
      <c r="A1778" t="inlineStr">
        <is>
          <t>COPELAND</t>
        </is>
      </c>
      <c r="B1778" t="inlineStr">
        <is>
          <t>6DS1-4000-FSD</t>
        </is>
      </c>
      <c r="D1778" t="inlineStr">
        <is>
          <t>Reciprocating Semi-hermetic</t>
        </is>
      </c>
      <c r="E1778" s="2" t="n">
        <v>3</v>
      </c>
      <c r="F1778" s="2" t="n">
        <v>60</v>
      </c>
      <c r="G1778" s="2" t="n">
        <v>460</v>
      </c>
      <c r="H1778" t="inlineStr">
        <is>
          <t>460</t>
        </is>
      </c>
      <c r="I1778" s="2" t="n">
        <v>460</v>
      </c>
      <c r="J1778" s="2" t="n">
        <v>460</v>
      </c>
      <c r="L1778" s="3" t="n"/>
      <c r="M1778" s="3" t="n"/>
      <c r="N1778" s="3" t="n">
        <v>69.3</v>
      </c>
      <c r="O1778" s="3" t="n"/>
      <c r="P1778" s="3">
        <f>IF(L1778&lt;&gt;"",L1778/1.4,"")</f>
        <v/>
      </c>
      <c r="Q1778" s="3">
        <f>IF(L1778&lt;&gt;"",L1778/1.56,"")</f>
        <v/>
      </c>
      <c r="R1778" s="3">
        <f>IF(M1778&lt;&gt;"",M1778/1.4,"")</f>
        <v/>
      </c>
      <c r="S1778" s="3">
        <f>IF(M1778&lt;&gt;"",M1778/1.56,"")</f>
        <v/>
      </c>
      <c r="T1778" s="3">
        <f>IF(N1778&lt;&gt;"",N1778,IF(O1778&lt;&gt;"",O1778,IF(L1778&lt;&gt;"",L1778/1.56,IF(M1778&lt;&gt;"",M1778/1.56,""))))</f>
        <v/>
      </c>
      <c r="U1778" s="3" t="n">
        <v>300</v>
      </c>
      <c r="V1778" s="3" t="n">
        <v>170</v>
      </c>
      <c r="W1778" s="3" t="n"/>
      <c r="X1778" s="4" t="n"/>
      <c r="Y1778" s="5" t="n">
        <v>0.352</v>
      </c>
      <c r="Z1778" s="4">
        <f>IF(L1778&lt;&gt;"",SQRT(3)*G1778*L1778/1000,"")</f>
        <v/>
      </c>
      <c r="AA1778" t="inlineStr">
        <is>
          <t>Source=Copeland 2D/3D/4D/4R/6D/8D/9R compressors (pdf) p93; PWS_RLA=34.7</t>
        </is>
      </c>
      <c r="AB1778" t="inlineStr">
        <is>
          <t>Copeland_RLA_230_460_3ph_60Hz.xlsx</t>
        </is>
      </c>
      <c r="AC1778" t="inlineStr">
        <is>
          <t>Recip_2D-9R</t>
        </is>
      </c>
    </row>
    <row r="1779">
      <c r="A1779" t="inlineStr">
        <is>
          <t>COPELAND</t>
        </is>
      </c>
      <c r="B1779" t="inlineStr">
        <is>
          <t>6DS1-4000-TSN</t>
        </is>
      </c>
      <c r="D1779" t="inlineStr">
        <is>
          <t>Reciprocating Semi-hermetic</t>
        </is>
      </c>
      <c r="E1779" s="2" t="n">
        <v>3</v>
      </c>
      <c r="F1779" s="2" t="n">
        <v>60</v>
      </c>
      <c r="G1779" s="2" t="n">
        <v>230</v>
      </c>
      <c r="H1779" t="inlineStr">
        <is>
          <t>230</t>
        </is>
      </c>
      <c r="I1779" s="2" t="n">
        <v>230</v>
      </c>
      <c r="J1779" s="2" t="n">
        <v>230</v>
      </c>
      <c r="L1779" s="3" t="n"/>
      <c r="M1779" s="3" t="n"/>
      <c r="N1779" s="3" t="n">
        <v>141.4</v>
      </c>
      <c r="O1779" s="3" t="n"/>
      <c r="P1779" s="3">
        <f>IF(L1779&lt;&gt;"",L1779/1.4,"")</f>
        <v/>
      </c>
      <c r="Q1779" s="3">
        <f>IF(L1779&lt;&gt;"",L1779/1.56,"")</f>
        <v/>
      </c>
      <c r="R1779" s="3">
        <f>IF(M1779&lt;&gt;"",M1779/1.4,"")</f>
        <v/>
      </c>
      <c r="S1779" s="3">
        <f>IF(M1779&lt;&gt;"",M1779/1.56,"")</f>
        <v/>
      </c>
      <c r="T1779" s="3">
        <f>IF(N1779&lt;&gt;"",N1779,IF(O1779&lt;&gt;"",O1779,IF(L1779&lt;&gt;"",L1779/1.56,IF(M1779&lt;&gt;"",M1779/1.56,""))))</f>
        <v/>
      </c>
      <c r="U1779" s="3" t="n">
        <v>594</v>
      </c>
      <c r="V1779" s="3" t="n">
        <v>340</v>
      </c>
      <c r="W1779" s="3" t="n"/>
      <c r="X1779" s="4" t="n"/>
      <c r="Y1779" s="5" t="n">
        <v>0.08500000000000001</v>
      </c>
      <c r="Z1779" s="4">
        <f>IF(L1779&lt;&gt;"",SQRT(3)*G1779*L1779/1000,"")</f>
        <v/>
      </c>
      <c r="AA1779" t="inlineStr">
        <is>
          <t>Source=Copeland 2D/3D/4D/4R/6D/8D/9R compressors (pdf) p93; PWS_RLA=70.5</t>
        </is>
      </c>
      <c r="AB1779" t="inlineStr">
        <is>
          <t>Copeland_RLA_230_460_3ph_60Hz.xlsx</t>
        </is>
      </c>
      <c r="AC1779" t="inlineStr">
        <is>
          <t>Recip_2D-9R</t>
        </is>
      </c>
    </row>
    <row r="1780">
      <c r="A1780" t="inlineStr">
        <is>
          <t>COPELAND</t>
        </is>
      </c>
      <c r="B1780" t="inlineStr">
        <is>
          <t>6DS1-4000-TSN</t>
        </is>
      </c>
      <c r="D1780" t="inlineStr">
        <is>
          <t>Reciprocating Semi-hermetic</t>
        </is>
      </c>
      <c r="E1780" s="2" t="n">
        <v>3</v>
      </c>
      <c r="F1780" s="2" t="n">
        <v>60</v>
      </c>
      <c r="G1780" s="2" t="n">
        <v>460</v>
      </c>
      <c r="H1780" t="inlineStr">
        <is>
          <t>460</t>
        </is>
      </c>
      <c r="I1780" s="2" t="n">
        <v>460</v>
      </c>
      <c r="J1780" s="2" t="n">
        <v>460</v>
      </c>
      <c r="L1780" s="3" t="n"/>
      <c r="M1780" s="3" t="n"/>
      <c r="N1780" s="3" t="n">
        <v>70.7</v>
      </c>
      <c r="O1780" s="3" t="n"/>
      <c r="P1780" s="3">
        <f>IF(L1780&lt;&gt;"",L1780/1.4,"")</f>
        <v/>
      </c>
      <c r="Q1780" s="3">
        <f>IF(L1780&lt;&gt;"",L1780/1.56,"")</f>
        <v/>
      </c>
      <c r="R1780" s="3">
        <f>IF(M1780&lt;&gt;"",M1780/1.4,"")</f>
        <v/>
      </c>
      <c r="S1780" s="3">
        <f>IF(M1780&lt;&gt;"",M1780/1.56,"")</f>
        <v/>
      </c>
      <c r="T1780" s="3">
        <f>IF(N1780&lt;&gt;"",N1780,IF(O1780&lt;&gt;"",O1780,IF(L1780&lt;&gt;"",L1780/1.56,IF(M1780&lt;&gt;"",M1780/1.56,""))))</f>
        <v/>
      </c>
      <c r="U1780" s="3" t="n">
        <v>297</v>
      </c>
      <c r="V1780" s="3" t="n"/>
      <c r="W1780" s="3" t="n"/>
      <c r="X1780" s="4" t="n"/>
      <c r="Y1780" s="5" t="n">
        <v>0.34</v>
      </c>
      <c r="Z1780" s="4">
        <f>IF(L1780&lt;&gt;"",SQRT(3)*G1780*L1780/1000,"")</f>
        <v/>
      </c>
      <c r="AA1780" t="inlineStr">
        <is>
          <t>Source=Copeland 2D/3D/4D/4R/6D/8D/9R compressors (pdf) p93</t>
        </is>
      </c>
      <c r="AB1780" t="inlineStr">
        <is>
          <t>Copeland_RLA_230_460_3ph_60Hz.xlsx</t>
        </is>
      </c>
      <c r="AC1780" t="inlineStr">
        <is>
          <t>Recip_2D-9R</t>
        </is>
      </c>
    </row>
    <row r="1781">
      <c r="A1781" t="inlineStr">
        <is>
          <t>COPELAND</t>
        </is>
      </c>
      <c r="B1781" t="inlineStr">
        <is>
          <t>6DS1-4000-TXN</t>
        </is>
      </c>
      <c r="D1781" t="inlineStr">
        <is>
          <t>Reciprocating Semi-hermetic</t>
        </is>
      </c>
      <c r="E1781" s="2" t="n">
        <v>3</v>
      </c>
      <c r="F1781" s="2" t="n">
        <v>60</v>
      </c>
      <c r="G1781" s="2" t="n">
        <v>230</v>
      </c>
      <c r="H1781" t="inlineStr">
        <is>
          <t>230</t>
        </is>
      </c>
      <c r="I1781" s="2" t="n">
        <v>230</v>
      </c>
      <c r="J1781" s="2" t="n">
        <v>230</v>
      </c>
      <c r="L1781" s="3" t="n"/>
      <c r="M1781" s="3" t="n"/>
      <c r="N1781" s="3" t="n"/>
      <c r="O1781" s="3" t="n"/>
      <c r="P1781" s="3">
        <f>IF(L1781&lt;&gt;"",L1781/1.4,"")</f>
        <v/>
      </c>
      <c r="Q1781" s="3">
        <f>IF(L1781&lt;&gt;"",L1781/1.56,"")</f>
        <v/>
      </c>
      <c r="R1781" s="3">
        <f>IF(M1781&lt;&gt;"",M1781/1.4,"")</f>
        <v/>
      </c>
      <c r="S1781" s="3">
        <f>IF(M1781&lt;&gt;"",M1781/1.56,"")</f>
        <v/>
      </c>
      <c r="T1781" s="3">
        <f>IF(N1781&lt;&gt;"",N1781,IF(O1781&lt;&gt;"",O1781,IF(L1781&lt;&gt;"",L1781/1.56,IF(M1781&lt;&gt;"",M1781/1.56,""))))</f>
        <v/>
      </c>
      <c r="U1781" s="3" t="n">
        <v>594</v>
      </c>
      <c r="V1781" s="3" t="n">
        <v>340</v>
      </c>
      <c r="W1781" s="3" t="n"/>
      <c r="X1781" s="4" t="n"/>
      <c r="Y1781" s="5" t="n">
        <v>0.08500000000000001</v>
      </c>
      <c r="Z1781" s="4">
        <f>IF(L1781&lt;&gt;"",SQRT(3)*G1781*L1781/1000,"")</f>
        <v/>
      </c>
      <c r="AA1781" t="inlineStr">
        <is>
          <t>Source=Copeland 2D/3D/4D/4R/6D/8D/9R compressors (pdf) p93</t>
        </is>
      </c>
      <c r="AB1781" t="inlineStr">
        <is>
          <t>Copeland_RLA_230_460_3ph_60Hz.xlsx</t>
        </is>
      </c>
      <c r="AC1781" t="inlineStr">
        <is>
          <t>Recip_2D-9R</t>
        </is>
      </c>
    </row>
    <row r="1782">
      <c r="A1782" t="inlineStr">
        <is>
          <t>COPELAND</t>
        </is>
      </c>
      <c r="B1782" t="inlineStr">
        <is>
          <t>6DS1-4000-TXN</t>
        </is>
      </c>
      <c r="D1782" t="inlineStr">
        <is>
          <t>Reciprocating Semi-hermetic</t>
        </is>
      </c>
      <c r="E1782" s="2" t="n">
        <v>3</v>
      </c>
      <c r="F1782" s="2" t="n">
        <v>60</v>
      </c>
      <c r="G1782" s="2" t="n">
        <v>460</v>
      </c>
      <c r="H1782" t="inlineStr">
        <is>
          <t>460</t>
        </is>
      </c>
      <c r="I1782" s="2" t="n">
        <v>460</v>
      </c>
      <c r="J1782" s="2" t="n">
        <v>460</v>
      </c>
      <c r="L1782" s="3" t="n"/>
      <c r="M1782" s="3" t="n"/>
      <c r="N1782" s="3" t="n"/>
      <c r="O1782" s="3" t="n"/>
      <c r="P1782" s="3">
        <f>IF(L1782&lt;&gt;"",L1782/1.4,"")</f>
        <v/>
      </c>
      <c r="Q1782" s="3">
        <f>IF(L1782&lt;&gt;"",L1782/1.56,"")</f>
        <v/>
      </c>
      <c r="R1782" s="3">
        <f>IF(M1782&lt;&gt;"",M1782/1.4,"")</f>
        <v/>
      </c>
      <c r="S1782" s="3">
        <f>IF(M1782&lt;&gt;"",M1782/1.56,"")</f>
        <v/>
      </c>
      <c r="T1782" s="3">
        <f>IF(N1782&lt;&gt;"",N1782,IF(O1782&lt;&gt;"",O1782,IF(L1782&lt;&gt;"",L1782/1.56,IF(M1782&lt;&gt;"",M1782/1.56,""))))</f>
        <v/>
      </c>
      <c r="U1782" s="3" t="n">
        <v>297</v>
      </c>
      <c r="V1782" s="3" t="n"/>
      <c r="W1782" s="3" t="n"/>
      <c r="X1782" s="4" t="n"/>
      <c r="Y1782" s="5" t="n">
        <v>0.34</v>
      </c>
      <c r="Z1782" s="4">
        <f>IF(L1782&lt;&gt;"",SQRT(3)*G1782*L1782/1000,"")</f>
        <v/>
      </c>
      <c r="AA1782" t="inlineStr">
        <is>
          <t>Source=Copeland 2D/3D/4D/4R/6D/8D/9R compressors (pdf) p93</t>
        </is>
      </c>
      <c r="AB1782" t="inlineStr">
        <is>
          <t>Copeland_RLA_230_460_3ph_60Hz.xlsx</t>
        </is>
      </c>
      <c r="AC1782" t="inlineStr">
        <is>
          <t>Recip_2D-9R</t>
        </is>
      </c>
    </row>
    <row r="1783">
      <c r="A1783" t="inlineStr">
        <is>
          <t>COPELAND</t>
        </is>
      </c>
      <c r="B1783" t="inlineStr">
        <is>
          <t>6DS1A4000-FSD</t>
        </is>
      </c>
      <c r="D1783" t="inlineStr">
        <is>
          <t>Reciprocating Semi-hermetic</t>
        </is>
      </c>
      <c r="E1783" s="2" t="n">
        <v>3</v>
      </c>
      <c r="F1783" s="2" t="n">
        <v>60</v>
      </c>
      <c r="G1783" s="2" t="n">
        <v>460</v>
      </c>
      <c r="H1783" t="inlineStr">
        <is>
          <t>460</t>
        </is>
      </c>
      <c r="I1783" s="2" t="n">
        <v>460</v>
      </c>
      <c r="J1783" s="2" t="n">
        <v>460</v>
      </c>
      <c r="L1783" s="3" t="n"/>
      <c r="M1783" s="3" t="n"/>
      <c r="N1783" s="3" t="n">
        <v>69.3</v>
      </c>
      <c r="O1783" s="3" t="n"/>
      <c r="P1783" s="3">
        <f>IF(L1783&lt;&gt;"",L1783/1.4,"")</f>
        <v/>
      </c>
      <c r="Q1783" s="3">
        <f>IF(L1783&lt;&gt;"",L1783/1.56,"")</f>
        <v/>
      </c>
      <c r="R1783" s="3">
        <f>IF(M1783&lt;&gt;"",M1783/1.4,"")</f>
        <v/>
      </c>
      <c r="S1783" s="3">
        <f>IF(M1783&lt;&gt;"",M1783/1.56,"")</f>
        <v/>
      </c>
      <c r="T1783" s="3">
        <f>IF(N1783&lt;&gt;"",N1783,IF(O1783&lt;&gt;"",O1783,IF(L1783&lt;&gt;"",L1783/1.56,IF(M1783&lt;&gt;"",M1783/1.56,""))))</f>
        <v/>
      </c>
      <c r="U1783" s="3" t="n">
        <v>300</v>
      </c>
      <c r="V1783" s="3" t="n">
        <v>170</v>
      </c>
      <c r="W1783" s="3" t="n"/>
      <c r="X1783" s="4" t="n"/>
      <c r="Y1783" s="5" t="n">
        <v>0.352</v>
      </c>
      <c r="Z1783" s="4">
        <f>IF(L1783&lt;&gt;"",SQRT(3)*G1783*L1783/1000,"")</f>
        <v/>
      </c>
      <c r="AA1783" t="inlineStr">
        <is>
          <t>Source=Copeland 2D/3D/4D/4R/6D/8D/9R compressors (pdf) p93; PWS_RLA=34.7</t>
        </is>
      </c>
      <c r="AB1783" t="inlineStr">
        <is>
          <t>Copeland_RLA_230_460_3ph_60Hz.xlsx</t>
        </is>
      </c>
      <c r="AC1783" t="inlineStr">
        <is>
          <t>Recip_2D-9R</t>
        </is>
      </c>
    </row>
    <row r="1784">
      <c r="A1784" t="inlineStr">
        <is>
          <t>COPELAND</t>
        </is>
      </c>
      <c r="B1784" t="inlineStr">
        <is>
          <t>6DS1A4000-TSN</t>
        </is>
      </c>
      <c r="D1784" t="inlineStr">
        <is>
          <t>Reciprocating Semi-hermetic</t>
        </is>
      </c>
      <c r="E1784" s="2" t="n">
        <v>3</v>
      </c>
      <c r="F1784" s="2" t="n">
        <v>60</v>
      </c>
      <c r="G1784" s="2" t="n">
        <v>230</v>
      </c>
      <c r="H1784" t="inlineStr">
        <is>
          <t>230</t>
        </is>
      </c>
      <c r="I1784" s="2" t="n">
        <v>230</v>
      </c>
      <c r="J1784" s="2" t="n">
        <v>230</v>
      </c>
      <c r="L1784" s="3" t="n"/>
      <c r="M1784" s="3" t="n"/>
      <c r="N1784" s="3" t="n">
        <v>141.4</v>
      </c>
      <c r="O1784" s="3" t="n"/>
      <c r="P1784" s="3">
        <f>IF(L1784&lt;&gt;"",L1784/1.4,"")</f>
        <v/>
      </c>
      <c r="Q1784" s="3">
        <f>IF(L1784&lt;&gt;"",L1784/1.56,"")</f>
        <v/>
      </c>
      <c r="R1784" s="3">
        <f>IF(M1784&lt;&gt;"",M1784/1.4,"")</f>
        <v/>
      </c>
      <c r="S1784" s="3">
        <f>IF(M1784&lt;&gt;"",M1784/1.56,"")</f>
        <v/>
      </c>
      <c r="T1784" s="3">
        <f>IF(N1784&lt;&gt;"",N1784,IF(O1784&lt;&gt;"",O1784,IF(L1784&lt;&gt;"",L1784/1.56,IF(M1784&lt;&gt;"",M1784/1.56,""))))</f>
        <v/>
      </c>
      <c r="U1784" s="3" t="n">
        <v>594</v>
      </c>
      <c r="V1784" s="3" t="n">
        <v>340</v>
      </c>
      <c r="W1784" s="3" t="n"/>
      <c r="X1784" s="4" t="n"/>
      <c r="Y1784" s="5" t="n">
        <v>0.08500000000000001</v>
      </c>
      <c r="Z1784" s="4">
        <f>IF(L1784&lt;&gt;"",SQRT(3)*G1784*L1784/1000,"")</f>
        <v/>
      </c>
      <c r="AA1784" t="inlineStr">
        <is>
          <t>Source=Copeland 2D/3D/4D/4R/6D/8D/9R compressors (pdf) p93; PWS_RLA=70.5</t>
        </is>
      </c>
      <c r="AB1784" t="inlineStr">
        <is>
          <t>Copeland_RLA_230_460_3ph_60Hz.xlsx</t>
        </is>
      </c>
      <c r="AC1784" t="inlineStr">
        <is>
          <t>Recip_2D-9R</t>
        </is>
      </c>
    </row>
    <row r="1785">
      <c r="A1785" t="inlineStr">
        <is>
          <t>COPELAND</t>
        </is>
      </c>
      <c r="B1785" t="inlineStr">
        <is>
          <t>6DS1A4000-TSN</t>
        </is>
      </c>
      <c r="D1785" t="inlineStr">
        <is>
          <t>Reciprocating Semi-hermetic</t>
        </is>
      </c>
      <c r="E1785" s="2" t="n">
        <v>3</v>
      </c>
      <c r="F1785" s="2" t="n">
        <v>60</v>
      </c>
      <c r="G1785" s="2" t="n">
        <v>460</v>
      </c>
      <c r="H1785" t="inlineStr">
        <is>
          <t>460</t>
        </is>
      </c>
      <c r="I1785" s="2" t="n">
        <v>460</v>
      </c>
      <c r="J1785" s="2" t="n">
        <v>460</v>
      </c>
      <c r="L1785" s="3" t="n"/>
      <c r="M1785" s="3" t="n"/>
      <c r="N1785" s="3" t="n">
        <v>70.7</v>
      </c>
      <c r="O1785" s="3" t="n"/>
      <c r="P1785" s="3">
        <f>IF(L1785&lt;&gt;"",L1785/1.4,"")</f>
        <v/>
      </c>
      <c r="Q1785" s="3">
        <f>IF(L1785&lt;&gt;"",L1785/1.56,"")</f>
        <v/>
      </c>
      <c r="R1785" s="3">
        <f>IF(M1785&lt;&gt;"",M1785/1.4,"")</f>
        <v/>
      </c>
      <c r="S1785" s="3">
        <f>IF(M1785&lt;&gt;"",M1785/1.56,"")</f>
        <v/>
      </c>
      <c r="T1785" s="3">
        <f>IF(N1785&lt;&gt;"",N1785,IF(O1785&lt;&gt;"",O1785,IF(L1785&lt;&gt;"",L1785/1.56,IF(M1785&lt;&gt;"",M1785/1.56,""))))</f>
        <v/>
      </c>
      <c r="U1785" s="3" t="n">
        <v>297</v>
      </c>
      <c r="V1785" s="3" t="n"/>
      <c r="W1785" s="3" t="n"/>
      <c r="X1785" s="4" t="n"/>
      <c r="Y1785" s="5" t="n">
        <v>0.34</v>
      </c>
      <c r="Z1785" s="4">
        <f>IF(L1785&lt;&gt;"",SQRT(3)*G1785*L1785/1000,"")</f>
        <v/>
      </c>
      <c r="AA1785" t="inlineStr">
        <is>
          <t>Source=Copeland 2D/3D/4D/4R/6D/8D/9R compressors (pdf) p93</t>
        </is>
      </c>
      <c r="AB1785" t="inlineStr">
        <is>
          <t>Copeland_RLA_230_460_3ph_60Hz.xlsx</t>
        </is>
      </c>
      <c r="AC1785" t="inlineStr">
        <is>
          <t>Recip_2D-9R</t>
        </is>
      </c>
    </row>
    <row r="1786">
      <c r="A1786" t="inlineStr">
        <is>
          <t>COPELAND</t>
        </is>
      </c>
      <c r="B1786" t="inlineStr">
        <is>
          <t>6DS1A4000-TXN</t>
        </is>
      </c>
      <c r="D1786" t="inlineStr">
        <is>
          <t>Reciprocating Semi-hermetic</t>
        </is>
      </c>
      <c r="E1786" s="2" t="n">
        <v>3</v>
      </c>
      <c r="F1786" s="2" t="n">
        <v>60</v>
      </c>
      <c r="G1786" s="2" t="n">
        <v>230</v>
      </c>
      <c r="H1786" t="inlineStr">
        <is>
          <t>230</t>
        </is>
      </c>
      <c r="I1786" s="2" t="n">
        <v>230</v>
      </c>
      <c r="J1786" s="2" t="n">
        <v>230</v>
      </c>
      <c r="L1786" s="3" t="n"/>
      <c r="M1786" s="3" t="n"/>
      <c r="N1786" s="3" t="n"/>
      <c r="O1786" s="3" t="n"/>
      <c r="P1786" s="3">
        <f>IF(L1786&lt;&gt;"",L1786/1.4,"")</f>
        <v/>
      </c>
      <c r="Q1786" s="3">
        <f>IF(L1786&lt;&gt;"",L1786/1.56,"")</f>
        <v/>
      </c>
      <c r="R1786" s="3">
        <f>IF(M1786&lt;&gt;"",M1786/1.4,"")</f>
        <v/>
      </c>
      <c r="S1786" s="3">
        <f>IF(M1786&lt;&gt;"",M1786/1.56,"")</f>
        <v/>
      </c>
      <c r="T1786" s="3">
        <f>IF(N1786&lt;&gt;"",N1786,IF(O1786&lt;&gt;"",O1786,IF(L1786&lt;&gt;"",L1786/1.56,IF(M1786&lt;&gt;"",M1786/1.56,""))))</f>
        <v/>
      </c>
      <c r="U1786" s="3" t="n">
        <v>594</v>
      </c>
      <c r="V1786" s="3" t="n">
        <v>340</v>
      </c>
      <c r="W1786" s="3" t="n"/>
      <c r="X1786" s="4" t="n"/>
      <c r="Y1786" s="5" t="n">
        <v>0.08500000000000001</v>
      </c>
      <c r="Z1786" s="4">
        <f>IF(L1786&lt;&gt;"",SQRT(3)*G1786*L1786/1000,"")</f>
        <v/>
      </c>
      <c r="AA1786" t="inlineStr">
        <is>
          <t>Source=Copeland 2D/3D/4D/4R/6D/8D/9R compressors (pdf) p93</t>
        </is>
      </c>
      <c r="AB1786" t="inlineStr">
        <is>
          <t>Copeland_RLA_230_460_3ph_60Hz.xlsx</t>
        </is>
      </c>
      <c r="AC1786" t="inlineStr">
        <is>
          <t>Recip_2D-9R</t>
        </is>
      </c>
    </row>
    <row r="1787">
      <c r="A1787" t="inlineStr">
        <is>
          <t>COPELAND</t>
        </is>
      </c>
      <c r="B1787" t="inlineStr">
        <is>
          <t>6DS1A4000-TXN</t>
        </is>
      </c>
      <c r="D1787" t="inlineStr">
        <is>
          <t>Reciprocating Semi-hermetic</t>
        </is>
      </c>
      <c r="E1787" s="2" t="n">
        <v>3</v>
      </c>
      <c r="F1787" s="2" t="n">
        <v>60</v>
      </c>
      <c r="G1787" s="2" t="n">
        <v>460</v>
      </c>
      <c r="H1787" t="inlineStr">
        <is>
          <t>460</t>
        </is>
      </c>
      <c r="I1787" s="2" t="n">
        <v>460</v>
      </c>
      <c r="J1787" s="2" t="n">
        <v>460</v>
      </c>
      <c r="L1787" s="3" t="n"/>
      <c r="M1787" s="3" t="n"/>
      <c r="N1787" s="3" t="n"/>
      <c r="O1787" s="3" t="n"/>
      <c r="P1787" s="3">
        <f>IF(L1787&lt;&gt;"",L1787/1.4,"")</f>
        <v/>
      </c>
      <c r="Q1787" s="3">
        <f>IF(L1787&lt;&gt;"",L1787/1.56,"")</f>
        <v/>
      </c>
      <c r="R1787" s="3">
        <f>IF(M1787&lt;&gt;"",M1787/1.4,"")</f>
        <v/>
      </c>
      <c r="S1787" s="3">
        <f>IF(M1787&lt;&gt;"",M1787/1.56,"")</f>
        <v/>
      </c>
      <c r="T1787" s="3">
        <f>IF(N1787&lt;&gt;"",N1787,IF(O1787&lt;&gt;"",O1787,IF(L1787&lt;&gt;"",L1787/1.56,IF(M1787&lt;&gt;"",M1787/1.56,""))))</f>
        <v/>
      </c>
      <c r="U1787" s="3" t="n">
        <v>297</v>
      </c>
      <c r="V1787" s="3" t="n"/>
      <c r="W1787" s="3" t="n"/>
      <c r="X1787" s="4" t="n"/>
      <c r="Y1787" s="5" t="n">
        <v>0.34</v>
      </c>
      <c r="Z1787" s="4">
        <f>IF(L1787&lt;&gt;"",SQRT(3)*G1787*L1787/1000,"")</f>
        <v/>
      </c>
      <c r="AA1787" t="inlineStr">
        <is>
          <t>Source=Copeland 2D/3D/4D/4R/6D/8D/9R compressors (pdf) p93</t>
        </is>
      </c>
      <c r="AB1787" t="inlineStr">
        <is>
          <t>Copeland_RLA_230_460_3ph_60Hz.xlsx</t>
        </is>
      </c>
      <c r="AC1787" t="inlineStr">
        <is>
          <t>Recip_2D-9R</t>
        </is>
      </c>
    </row>
    <row r="1788">
      <c r="A1788" t="inlineStr">
        <is>
          <t>COPELAND</t>
        </is>
      </c>
      <c r="B1788" t="inlineStr">
        <is>
          <t>6DS1R40M0-FSD</t>
        </is>
      </c>
      <c r="D1788" t="inlineStr">
        <is>
          <t>Reciprocating Semi-hermetic</t>
        </is>
      </c>
      <c r="E1788" s="2" t="n">
        <v>3</v>
      </c>
      <c r="F1788" s="2" t="n">
        <v>60</v>
      </c>
      <c r="G1788" s="2" t="n">
        <v>460</v>
      </c>
      <c r="H1788" t="inlineStr">
        <is>
          <t>460</t>
        </is>
      </c>
      <c r="I1788" s="2" t="n">
        <v>460</v>
      </c>
      <c r="J1788" s="2" t="n">
        <v>460</v>
      </c>
      <c r="L1788" s="3" t="n"/>
      <c r="M1788" s="3" t="n"/>
      <c r="N1788" s="3" t="n">
        <v>69.3</v>
      </c>
      <c r="O1788" s="3" t="n"/>
      <c r="P1788" s="3">
        <f>IF(L1788&lt;&gt;"",L1788/1.4,"")</f>
        <v/>
      </c>
      <c r="Q1788" s="3">
        <f>IF(L1788&lt;&gt;"",L1788/1.56,"")</f>
        <v/>
      </c>
      <c r="R1788" s="3">
        <f>IF(M1788&lt;&gt;"",M1788/1.4,"")</f>
        <v/>
      </c>
      <c r="S1788" s="3">
        <f>IF(M1788&lt;&gt;"",M1788/1.56,"")</f>
        <v/>
      </c>
      <c r="T1788" s="3">
        <f>IF(N1788&lt;&gt;"",N1788,IF(O1788&lt;&gt;"",O1788,IF(L1788&lt;&gt;"",L1788/1.56,IF(M1788&lt;&gt;"",M1788/1.56,""))))</f>
        <v/>
      </c>
      <c r="U1788" s="3" t="n">
        <v>300</v>
      </c>
      <c r="V1788" s="3" t="n">
        <v>170</v>
      </c>
      <c r="W1788" s="3" t="n"/>
      <c r="X1788" s="4" t="n"/>
      <c r="Y1788" s="5" t="n">
        <v>0.352</v>
      </c>
      <c r="Z1788" s="4">
        <f>IF(L1788&lt;&gt;"",SQRT(3)*G1788*L1788/1000,"")</f>
        <v/>
      </c>
      <c r="AA1788" t="inlineStr">
        <is>
          <t>Source=Copeland 2D/3D/4D/4R/6D/8D/9R compressors (pdf) p93; PWS_RLA=34.7</t>
        </is>
      </c>
      <c r="AB1788" t="inlineStr">
        <is>
          <t>Copeland_RLA_230_460_3ph_60Hz.xlsx</t>
        </is>
      </c>
      <c r="AC1788" t="inlineStr">
        <is>
          <t>Recip_2D-9R</t>
        </is>
      </c>
    </row>
    <row r="1789">
      <c r="A1789" t="inlineStr">
        <is>
          <t>COPELAND</t>
        </is>
      </c>
      <c r="B1789" t="inlineStr">
        <is>
          <t>6DS1R40M0-TSN</t>
        </is>
      </c>
      <c r="D1789" t="inlineStr">
        <is>
          <t>Reciprocating Semi-hermetic</t>
        </is>
      </c>
      <c r="E1789" s="2" t="n">
        <v>3</v>
      </c>
      <c r="F1789" s="2" t="n">
        <v>60</v>
      </c>
      <c r="G1789" s="2" t="n">
        <v>230</v>
      </c>
      <c r="H1789" t="inlineStr">
        <is>
          <t>230</t>
        </is>
      </c>
      <c r="I1789" s="2" t="n">
        <v>230</v>
      </c>
      <c r="J1789" s="2" t="n">
        <v>230</v>
      </c>
      <c r="L1789" s="3" t="n"/>
      <c r="M1789" s="3" t="n"/>
      <c r="N1789" s="3" t="n">
        <v>141.4</v>
      </c>
      <c r="O1789" s="3" t="n"/>
      <c r="P1789" s="3">
        <f>IF(L1789&lt;&gt;"",L1789/1.4,"")</f>
        <v/>
      </c>
      <c r="Q1789" s="3">
        <f>IF(L1789&lt;&gt;"",L1789/1.56,"")</f>
        <v/>
      </c>
      <c r="R1789" s="3">
        <f>IF(M1789&lt;&gt;"",M1789/1.4,"")</f>
        <v/>
      </c>
      <c r="S1789" s="3">
        <f>IF(M1789&lt;&gt;"",M1789/1.56,"")</f>
        <v/>
      </c>
      <c r="T1789" s="3">
        <f>IF(N1789&lt;&gt;"",N1789,IF(O1789&lt;&gt;"",O1789,IF(L1789&lt;&gt;"",L1789/1.56,IF(M1789&lt;&gt;"",M1789/1.56,""))))</f>
        <v/>
      </c>
      <c r="U1789" s="3" t="n">
        <v>594</v>
      </c>
      <c r="V1789" s="3" t="n">
        <v>340</v>
      </c>
      <c r="W1789" s="3" t="n"/>
      <c r="X1789" s="4" t="n"/>
      <c r="Y1789" s="5" t="n">
        <v>0.08500000000000001</v>
      </c>
      <c r="Z1789" s="4">
        <f>IF(L1789&lt;&gt;"",SQRT(3)*G1789*L1789/1000,"")</f>
        <v/>
      </c>
      <c r="AA1789" t="inlineStr">
        <is>
          <t>Source=Copeland 2D/3D/4D/4R/6D/8D/9R compressors (pdf) p94; PWS_RLA=70.5</t>
        </is>
      </c>
      <c r="AB1789" t="inlineStr">
        <is>
          <t>Copeland_RLA_230_460_3ph_60Hz.xlsx</t>
        </is>
      </c>
      <c r="AC1789" t="inlineStr">
        <is>
          <t>Recip_2D-9R</t>
        </is>
      </c>
    </row>
    <row r="1790">
      <c r="A1790" t="inlineStr">
        <is>
          <t>COPELAND</t>
        </is>
      </c>
      <c r="B1790" t="inlineStr">
        <is>
          <t>6DS1R40M0-TSN</t>
        </is>
      </c>
      <c r="D1790" t="inlineStr">
        <is>
          <t>Reciprocating Semi-hermetic</t>
        </is>
      </c>
      <c r="E1790" s="2" t="n">
        <v>3</v>
      </c>
      <c r="F1790" s="2" t="n">
        <v>60</v>
      </c>
      <c r="G1790" s="2" t="n">
        <v>460</v>
      </c>
      <c r="H1790" t="inlineStr">
        <is>
          <t>460</t>
        </is>
      </c>
      <c r="I1790" s="2" t="n">
        <v>460</v>
      </c>
      <c r="J1790" s="2" t="n">
        <v>460</v>
      </c>
      <c r="L1790" s="3" t="n"/>
      <c r="M1790" s="3" t="n"/>
      <c r="N1790" s="3" t="n">
        <v>70.7</v>
      </c>
      <c r="O1790" s="3" t="n"/>
      <c r="P1790" s="3">
        <f>IF(L1790&lt;&gt;"",L1790/1.4,"")</f>
        <v/>
      </c>
      <c r="Q1790" s="3">
        <f>IF(L1790&lt;&gt;"",L1790/1.56,"")</f>
        <v/>
      </c>
      <c r="R1790" s="3">
        <f>IF(M1790&lt;&gt;"",M1790/1.4,"")</f>
        <v/>
      </c>
      <c r="S1790" s="3">
        <f>IF(M1790&lt;&gt;"",M1790/1.56,"")</f>
        <v/>
      </c>
      <c r="T1790" s="3">
        <f>IF(N1790&lt;&gt;"",N1790,IF(O1790&lt;&gt;"",O1790,IF(L1790&lt;&gt;"",L1790/1.56,IF(M1790&lt;&gt;"",M1790/1.56,""))))</f>
        <v/>
      </c>
      <c r="U1790" s="3" t="n">
        <v>297</v>
      </c>
      <c r="V1790" s="3" t="n"/>
      <c r="W1790" s="3" t="n"/>
      <c r="X1790" s="4" t="n"/>
      <c r="Y1790" s="5" t="n">
        <v>0.34</v>
      </c>
      <c r="Z1790" s="4">
        <f>IF(L1790&lt;&gt;"",SQRT(3)*G1790*L1790/1000,"")</f>
        <v/>
      </c>
      <c r="AA1790" t="inlineStr">
        <is>
          <t>Source=Copeland 2D/3D/4D/4R/6D/8D/9R compressors (pdf) p94</t>
        </is>
      </c>
      <c r="AB1790" t="inlineStr">
        <is>
          <t>Copeland_RLA_230_460_3ph_60Hz.xlsx</t>
        </is>
      </c>
      <c r="AC1790" t="inlineStr">
        <is>
          <t>Recip_2D-9R</t>
        </is>
      </c>
    </row>
    <row r="1791">
      <c r="A1791" t="inlineStr">
        <is>
          <t>COPELAND</t>
        </is>
      </c>
      <c r="B1791" t="inlineStr">
        <is>
          <t>6DS3-300E-TSK</t>
        </is>
      </c>
      <c r="D1791" t="inlineStr">
        <is>
          <t>Reciprocating Semi-hermetic</t>
        </is>
      </c>
      <c r="E1791" s="2" t="n">
        <v>3</v>
      </c>
      <c r="F1791" s="2" t="n">
        <v>60</v>
      </c>
      <c r="G1791" s="2" t="n">
        <v>230</v>
      </c>
      <c r="H1791" t="inlineStr">
        <is>
          <t>208/230</t>
        </is>
      </c>
      <c r="I1791" s="2" t="n">
        <v>208</v>
      </c>
      <c r="J1791" s="2" t="n">
        <v>230</v>
      </c>
      <c r="L1791" s="3" t="n"/>
      <c r="M1791" s="3" t="n"/>
      <c r="N1791" s="3" t="n">
        <v>100</v>
      </c>
      <c r="O1791" s="3" t="n"/>
      <c r="P1791" s="3">
        <f>IF(L1791&lt;&gt;"",L1791/1.4,"")</f>
        <v/>
      </c>
      <c r="Q1791" s="3">
        <f>IF(L1791&lt;&gt;"",L1791/1.56,"")</f>
        <v/>
      </c>
      <c r="R1791" s="3">
        <f>IF(M1791&lt;&gt;"",M1791/1.4,"")</f>
        <v/>
      </c>
      <c r="S1791" s="3">
        <f>IF(M1791&lt;&gt;"",M1791/1.56,"")</f>
        <v/>
      </c>
      <c r="T1791" s="3">
        <f>IF(N1791&lt;&gt;"",N1791,IF(O1791&lt;&gt;"",O1791,IF(L1791&lt;&gt;"",L1791/1.56,IF(M1791&lt;&gt;"",M1791/1.56,""))))</f>
        <v/>
      </c>
      <c r="U1791" s="3" t="n">
        <v>470</v>
      </c>
      <c r="V1791" s="3" t="n">
        <v>292</v>
      </c>
      <c r="W1791" s="3" t="n"/>
      <c r="X1791" s="4" t="n"/>
      <c r="Y1791" s="5" t="n">
        <v>0.111</v>
      </c>
      <c r="Z1791" s="4">
        <f>IF(L1791&lt;&gt;"",SQRT(3)*G1791*L1791/1000,"")</f>
        <v/>
      </c>
      <c r="AA1791" t="inlineStr">
        <is>
          <t>Source=Copeland 2D/3D/4D/4R/6D/8D/9R compressors (pdf) p94; PWS_RLA=50.0</t>
        </is>
      </c>
      <c r="AB1791" t="inlineStr">
        <is>
          <t>Copeland_RLA_230_460_3ph_60Hz.xlsx</t>
        </is>
      </c>
      <c r="AC1791" t="inlineStr">
        <is>
          <t>Recip_2D-9R</t>
        </is>
      </c>
    </row>
    <row r="1792">
      <c r="A1792" t="inlineStr">
        <is>
          <t>COPELAND</t>
        </is>
      </c>
      <c r="B1792" t="inlineStr">
        <is>
          <t>6DS3-300E-TSK</t>
        </is>
      </c>
      <c r="D1792" t="inlineStr">
        <is>
          <t>Reciprocating Semi-hermetic</t>
        </is>
      </c>
      <c r="E1792" s="2" t="n">
        <v>3</v>
      </c>
      <c r="F1792" s="2" t="n">
        <v>60</v>
      </c>
      <c r="G1792" s="2" t="n">
        <v>460</v>
      </c>
      <c r="H1792" t="inlineStr">
        <is>
          <t>460</t>
        </is>
      </c>
      <c r="I1792" s="2" t="n">
        <v>460</v>
      </c>
      <c r="J1792" s="2" t="n">
        <v>460</v>
      </c>
      <c r="L1792" s="3" t="n"/>
      <c r="M1792" s="3" t="n"/>
      <c r="N1792" s="3" t="n">
        <v>50</v>
      </c>
      <c r="O1792" s="3" t="n"/>
      <c r="P1792" s="3">
        <f>IF(L1792&lt;&gt;"",L1792/1.4,"")</f>
        <v/>
      </c>
      <c r="Q1792" s="3">
        <f>IF(L1792&lt;&gt;"",L1792/1.56,"")</f>
        <v/>
      </c>
      <c r="R1792" s="3">
        <f>IF(M1792&lt;&gt;"",M1792/1.4,"")</f>
        <v/>
      </c>
      <c r="S1792" s="3">
        <f>IF(M1792&lt;&gt;"",M1792/1.56,"")</f>
        <v/>
      </c>
      <c r="T1792" s="3">
        <f>IF(N1792&lt;&gt;"",N1792,IF(O1792&lt;&gt;"",O1792,IF(L1792&lt;&gt;"",L1792/1.56,IF(M1792&lt;&gt;"",M1792/1.56,""))))</f>
        <v/>
      </c>
      <c r="U1792" s="3" t="n">
        <v>235</v>
      </c>
      <c r="V1792" s="3" t="n"/>
      <c r="W1792" s="3" t="n"/>
      <c r="X1792" s="4" t="n"/>
      <c r="Y1792" s="5" t="n">
        <v>0.444</v>
      </c>
      <c r="Z1792" s="4">
        <f>IF(L1792&lt;&gt;"",SQRT(3)*G1792*L1792/1000,"")</f>
        <v/>
      </c>
      <c r="AA1792" t="inlineStr">
        <is>
          <t>Source=Copeland 2D/3D/4D/4R/6D/8D/9R compressors (pdf) p94</t>
        </is>
      </c>
      <c r="AB1792" t="inlineStr">
        <is>
          <t>Copeland_RLA_230_460_3ph_60Hz.xlsx</t>
        </is>
      </c>
      <c r="AC1792" t="inlineStr">
        <is>
          <t>Recip_2D-9R</t>
        </is>
      </c>
    </row>
    <row r="1793">
      <c r="A1793" t="inlineStr">
        <is>
          <t>COPELAND</t>
        </is>
      </c>
      <c r="B1793" t="inlineStr">
        <is>
          <t>6DS3-300L-TSK</t>
        </is>
      </c>
      <c r="D1793" t="inlineStr">
        <is>
          <t>Reciprocating Semi-hermetic</t>
        </is>
      </c>
      <c r="E1793" s="2" t="n">
        <v>3</v>
      </c>
      <c r="F1793" s="2" t="n">
        <v>60</v>
      </c>
      <c r="G1793" s="2" t="n">
        <v>230</v>
      </c>
      <c r="H1793" t="inlineStr">
        <is>
          <t>208/230</t>
        </is>
      </c>
      <c r="I1793" s="2" t="n">
        <v>208</v>
      </c>
      <c r="J1793" s="2" t="n">
        <v>230</v>
      </c>
      <c r="L1793" s="3" t="n"/>
      <c r="M1793" s="3" t="n"/>
      <c r="N1793" s="3" t="n">
        <v>100</v>
      </c>
      <c r="O1793" s="3" t="n"/>
      <c r="P1793" s="3">
        <f>IF(L1793&lt;&gt;"",L1793/1.4,"")</f>
        <v/>
      </c>
      <c r="Q1793" s="3">
        <f>IF(L1793&lt;&gt;"",L1793/1.56,"")</f>
        <v/>
      </c>
      <c r="R1793" s="3">
        <f>IF(M1793&lt;&gt;"",M1793/1.4,"")</f>
        <v/>
      </c>
      <c r="S1793" s="3">
        <f>IF(M1793&lt;&gt;"",M1793/1.56,"")</f>
        <v/>
      </c>
      <c r="T1793" s="3">
        <f>IF(N1793&lt;&gt;"",N1793,IF(O1793&lt;&gt;"",O1793,IF(L1793&lt;&gt;"",L1793/1.56,IF(M1793&lt;&gt;"",M1793/1.56,""))))</f>
        <v/>
      </c>
      <c r="U1793" s="3" t="n">
        <v>470</v>
      </c>
      <c r="V1793" s="3" t="n">
        <v>292</v>
      </c>
      <c r="W1793" s="3" t="n"/>
      <c r="X1793" s="4" t="n"/>
      <c r="Y1793" s="5" t="n">
        <v>0.111</v>
      </c>
      <c r="Z1793" s="4">
        <f>IF(L1793&lt;&gt;"",SQRT(3)*G1793*L1793/1000,"")</f>
        <v/>
      </c>
      <c r="AA1793" t="inlineStr">
        <is>
          <t>Source=Copeland 2D/3D/4D/4R/6D/8D/9R compressors (pdf) p94; PWS_RLA=50.0</t>
        </is>
      </c>
      <c r="AB1793" t="inlineStr">
        <is>
          <t>Copeland_RLA_230_460_3ph_60Hz.xlsx</t>
        </is>
      </c>
      <c r="AC1793" t="inlineStr">
        <is>
          <t>Recip_2D-9R</t>
        </is>
      </c>
    </row>
    <row r="1794">
      <c r="A1794" t="inlineStr">
        <is>
          <t>COPELAND</t>
        </is>
      </c>
      <c r="B1794" t="inlineStr">
        <is>
          <t>6DS3-300L-TSK</t>
        </is>
      </c>
      <c r="D1794" t="inlineStr">
        <is>
          <t>Reciprocating Semi-hermetic</t>
        </is>
      </c>
      <c r="E1794" s="2" t="n">
        <v>3</v>
      </c>
      <c r="F1794" s="2" t="n">
        <v>60</v>
      </c>
      <c r="G1794" s="2" t="n">
        <v>460</v>
      </c>
      <c r="H1794" t="inlineStr">
        <is>
          <t>460</t>
        </is>
      </c>
      <c r="I1794" s="2" t="n">
        <v>460</v>
      </c>
      <c r="J1794" s="2" t="n">
        <v>460</v>
      </c>
      <c r="L1794" s="3" t="n"/>
      <c r="M1794" s="3" t="n"/>
      <c r="N1794" s="3" t="n">
        <v>50</v>
      </c>
      <c r="O1794" s="3" t="n"/>
      <c r="P1794" s="3">
        <f>IF(L1794&lt;&gt;"",L1794/1.4,"")</f>
        <v/>
      </c>
      <c r="Q1794" s="3">
        <f>IF(L1794&lt;&gt;"",L1794/1.56,"")</f>
        <v/>
      </c>
      <c r="R1794" s="3">
        <f>IF(M1794&lt;&gt;"",M1794/1.4,"")</f>
        <v/>
      </c>
      <c r="S1794" s="3">
        <f>IF(M1794&lt;&gt;"",M1794/1.56,"")</f>
        <v/>
      </c>
      <c r="T1794" s="3">
        <f>IF(N1794&lt;&gt;"",N1794,IF(O1794&lt;&gt;"",O1794,IF(L1794&lt;&gt;"",L1794/1.56,IF(M1794&lt;&gt;"",M1794/1.56,""))))</f>
        <v/>
      </c>
      <c r="U1794" s="3" t="n">
        <v>235</v>
      </c>
      <c r="V1794" s="3" t="n"/>
      <c r="W1794" s="3" t="n"/>
      <c r="X1794" s="4" t="n"/>
      <c r="Y1794" s="5" t="n">
        <v>0.444</v>
      </c>
      <c r="Z1794" s="4">
        <f>IF(L1794&lt;&gt;"",SQRT(3)*G1794*L1794/1000,"")</f>
        <v/>
      </c>
      <c r="AA1794" t="inlineStr">
        <is>
          <t>Source=Copeland 2D/3D/4D/4R/6D/8D/9R compressors (pdf) p94</t>
        </is>
      </c>
      <c r="AB1794" t="inlineStr">
        <is>
          <t>Copeland_RLA_230_460_3ph_60Hz.xlsx</t>
        </is>
      </c>
      <c r="AC1794" t="inlineStr">
        <is>
          <t>Recip_2D-9R</t>
        </is>
      </c>
    </row>
    <row r="1795">
      <c r="A1795" t="inlineStr">
        <is>
          <t>COPELAND</t>
        </is>
      </c>
      <c r="B1795" t="inlineStr">
        <is>
          <t>6DS3-4000-FSD</t>
        </is>
      </c>
      <c r="D1795" t="inlineStr">
        <is>
          <t>Reciprocating Semi-hermetic</t>
        </is>
      </c>
      <c r="E1795" s="2" t="n">
        <v>3</v>
      </c>
      <c r="F1795" s="2" t="n">
        <v>60</v>
      </c>
      <c r="G1795" s="2" t="n">
        <v>460</v>
      </c>
      <c r="H1795" t="inlineStr">
        <is>
          <t>460</t>
        </is>
      </c>
      <c r="I1795" s="2" t="n">
        <v>460</v>
      </c>
      <c r="J1795" s="2" t="n">
        <v>460</v>
      </c>
      <c r="L1795" s="3" t="n"/>
      <c r="M1795" s="3" t="n"/>
      <c r="N1795" s="3" t="n">
        <v>70</v>
      </c>
      <c r="O1795" s="3" t="n"/>
      <c r="P1795" s="3">
        <f>IF(L1795&lt;&gt;"",L1795/1.4,"")</f>
        <v/>
      </c>
      <c r="Q1795" s="3">
        <f>IF(L1795&lt;&gt;"",L1795/1.56,"")</f>
        <v/>
      </c>
      <c r="R1795" s="3">
        <f>IF(M1795&lt;&gt;"",M1795/1.4,"")</f>
        <v/>
      </c>
      <c r="S1795" s="3">
        <f>IF(M1795&lt;&gt;"",M1795/1.56,"")</f>
        <v/>
      </c>
      <c r="T1795" s="3">
        <f>IF(N1795&lt;&gt;"",N1795,IF(O1795&lt;&gt;"",O1795,IF(L1795&lt;&gt;"",L1795/1.56,IF(M1795&lt;&gt;"",M1795/1.56,""))))</f>
        <v/>
      </c>
      <c r="U1795" s="3" t="n">
        <v>315</v>
      </c>
      <c r="V1795" s="3" t="n">
        <v>195</v>
      </c>
      <c r="W1795" s="3" t="n"/>
      <c r="X1795" s="4" t="n"/>
      <c r="Y1795" s="5" t="n">
        <v>0.32</v>
      </c>
      <c r="Z1795" s="4">
        <f>IF(L1795&lt;&gt;"",SQRT(3)*G1795*L1795/1000,"")</f>
        <v/>
      </c>
      <c r="AA1795" t="inlineStr">
        <is>
          <t>Source=Copeland 2D/3D/4D/4R/6D/8D/9R compressors (pdf) p94; PWS_RLA=35.0</t>
        </is>
      </c>
      <c r="AB1795" t="inlineStr">
        <is>
          <t>Copeland_RLA_230_460_3ph_60Hz.xlsx</t>
        </is>
      </c>
      <c r="AC1795" t="inlineStr">
        <is>
          <t>Recip_2D-9R</t>
        </is>
      </c>
    </row>
    <row r="1796">
      <c r="A1796" t="inlineStr">
        <is>
          <t>COPELAND</t>
        </is>
      </c>
      <c r="B1796" t="inlineStr">
        <is>
          <t>6DS3-4000-FXD</t>
        </is>
      </c>
      <c r="D1796" t="inlineStr">
        <is>
          <t>Reciprocating Semi-hermetic</t>
        </is>
      </c>
      <c r="E1796" s="2" t="n">
        <v>3</v>
      </c>
      <c r="F1796" s="2" t="n">
        <v>60</v>
      </c>
      <c r="G1796" s="2" t="n">
        <v>460</v>
      </c>
      <c r="H1796" t="inlineStr">
        <is>
          <t>460</t>
        </is>
      </c>
      <c r="I1796" s="2" t="n">
        <v>460</v>
      </c>
      <c r="J1796" s="2" t="n">
        <v>460</v>
      </c>
      <c r="L1796" s="3" t="n"/>
      <c r="M1796" s="3" t="n"/>
      <c r="N1796" s="3" t="n"/>
      <c r="O1796" s="3" t="n"/>
      <c r="P1796" s="3">
        <f>IF(L1796&lt;&gt;"",L1796/1.4,"")</f>
        <v/>
      </c>
      <c r="Q1796" s="3">
        <f>IF(L1796&lt;&gt;"",L1796/1.56,"")</f>
        <v/>
      </c>
      <c r="R1796" s="3">
        <f>IF(M1796&lt;&gt;"",M1796/1.4,"")</f>
        <v/>
      </c>
      <c r="S1796" s="3">
        <f>IF(M1796&lt;&gt;"",M1796/1.56,"")</f>
        <v/>
      </c>
      <c r="T1796" s="3">
        <f>IF(N1796&lt;&gt;"",N1796,IF(O1796&lt;&gt;"",O1796,IF(L1796&lt;&gt;"",L1796/1.56,IF(M1796&lt;&gt;"",M1796/1.56,""))))</f>
        <v/>
      </c>
      <c r="U1796" s="3" t="n">
        <v>315</v>
      </c>
      <c r="V1796" s="3" t="n">
        <v>195</v>
      </c>
      <c r="W1796" s="3" t="n"/>
      <c r="X1796" s="4" t="n"/>
      <c r="Y1796" s="5" t="n">
        <v>0.32</v>
      </c>
      <c r="Z1796" s="4">
        <f>IF(L1796&lt;&gt;"",SQRT(3)*G1796*L1796/1000,"")</f>
        <v/>
      </c>
      <c r="AA1796" t="inlineStr">
        <is>
          <t>Source=Copeland 2D/3D/4D/4R/6D/8D/9R compressors (pdf) p94</t>
        </is>
      </c>
      <c r="AB1796" t="inlineStr">
        <is>
          <t>Copeland_RLA_230_460_3ph_60Hz.xlsx</t>
        </is>
      </c>
      <c r="AC1796" t="inlineStr">
        <is>
          <t>Recip_2D-9R</t>
        </is>
      </c>
    </row>
    <row r="1797">
      <c r="A1797" t="inlineStr">
        <is>
          <t>COPELAND</t>
        </is>
      </c>
      <c r="B1797" t="inlineStr">
        <is>
          <t>6DS3-4000-TSN</t>
        </is>
      </c>
      <c r="D1797" t="inlineStr">
        <is>
          <t>Reciprocating Semi-hermetic</t>
        </is>
      </c>
      <c r="E1797" s="2" t="n">
        <v>3</v>
      </c>
      <c r="F1797" s="2" t="n">
        <v>60</v>
      </c>
      <c r="G1797" s="2" t="n">
        <v>230</v>
      </c>
      <c r="H1797" t="inlineStr">
        <is>
          <t>230</t>
        </is>
      </c>
      <c r="I1797" s="2" t="n">
        <v>230</v>
      </c>
      <c r="J1797" s="2" t="n">
        <v>230</v>
      </c>
      <c r="L1797" s="3" t="n"/>
      <c r="M1797" s="3" t="n"/>
      <c r="N1797" s="3" t="n">
        <v>141.4</v>
      </c>
      <c r="O1797" s="3" t="n"/>
      <c r="P1797" s="3">
        <f>IF(L1797&lt;&gt;"",L1797/1.4,"")</f>
        <v/>
      </c>
      <c r="Q1797" s="3">
        <f>IF(L1797&lt;&gt;"",L1797/1.56,"")</f>
        <v/>
      </c>
      <c r="R1797" s="3">
        <f>IF(M1797&lt;&gt;"",M1797/1.4,"")</f>
        <v/>
      </c>
      <c r="S1797" s="3">
        <f>IF(M1797&lt;&gt;"",M1797/1.56,"")</f>
        <v/>
      </c>
      <c r="T1797" s="3">
        <f>IF(N1797&lt;&gt;"",N1797,IF(O1797&lt;&gt;"",O1797,IF(L1797&lt;&gt;"",L1797/1.56,IF(M1797&lt;&gt;"",M1797/1.56,""))))</f>
        <v/>
      </c>
      <c r="U1797" s="3" t="n">
        <v>594</v>
      </c>
      <c r="V1797" s="3" t="n">
        <v>340</v>
      </c>
      <c r="W1797" s="3" t="n"/>
      <c r="X1797" s="4" t="n"/>
      <c r="Y1797" s="5" t="n">
        <v>0.08500000000000001</v>
      </c>
      <c r="Z1797" s="4">
        <f>IF(L1797&lt;&gt;"",SQRT(3)*G1797*L1797/1000,"")</f>
        <v/>
      </c>
      <c r="AA1797" t="inlineStr">
        <is>
          <t>Source=Copeland 2D/3D/4D/4R/6D/8D/9R compressors (pdf) p94; PWS_RLA=71.0</t>
        </is>
      </c>
      <c r="AB1797" t="inlineStr">
        <is>
          <t>Copeland_RLA_230_460_3ph_60Hz.xlsx</t>
        </is>
      </c>
      <c r="AC1797" t="inlineStr">
        <is>
          <t>Recip_2D-9R</t>
        </is>
      </c>
    </row>
    <row r="1798">
      <c r="A1798" t="inlineStr">
        <is>
          <t>COPELAND</t>
        </is>
      </c>
      <c r="B1798" t="inlineStr">
        <is>
          <t>6DS3-4000-TSN</t>
        </is>
      </c>
      <c r="D1798" t="inlineStr">
        <is>
          <t>Reciprocating Semi-hermetic</t>
        </is>
      </c>
      <c r="E1798" s="2" t="n">
        <v>3</v>
      </c>
      <c r="F1798" s="2" t="n">
        <v>60</v>
      </c>
      <c r="G1798" s="2" t="n">
        <v>460</v>
      </c>
      <c r="H1798" t="inlineStr">
        <is>
          <t>460</t>
        </is>
      </c>
      <c r="I1798" s="2" t="n">
        <v>460</v>
      </c>
      <c r="J1798" s="2" t="n">
        <v>460</v>
      </c>
      <c r="L1798" s="3" t="n"/>
      <c r="M1798" s="3" t="n"/>
      <c r="N1798" s="3" t="n">
        <v>70.7</v>
      </c>
      <c r="O1798" s="3" t="n"/>
      <c r="P1798" s="3">
        <f>IF(L1798&lt;&gt;"",L1798/1.4,"")</f>
        <v/>
      </c>
      <c r="Q1798" s="3">
        <f>IF(L1798&lt;&gt;"",L1798/1.56,"")</f>
        <v/>
      </c>
      <c r="R1798" s="3">
        <f>IF(M1798&lt;&gt;"",M1798/1.4,"")</f>
        <v/>
      </c>
      <c r="S1798" s="3">
        <f>IF(M1798&lt;&gt;"",M1798/1.56,"")</f>
        <v/>
      </c>
      <c r="T1798" s="3">
        <f>IF(N1798&lt;&gt;"",N1798,IF(O1798&lt;&gt;"",O1798,IF(L1798&lt;&gt;"",L1798/1.56,IF(M1798&lt;&gt;"",M1798/1.56,""))))</f>
        <v/>
      </c>
      <c r="U1798" s="3" t="n">
        <v>297</v>
      </c>
      <c r="V1798" s="3" t="n"/>
      <c r="W1798" s="3" t="n"/>
      <c r="X1798" s="4" t="n"/>
      <c r="Y1798" s="5" t="n">
        <v>0.34</v>
      </c>
      <c r="Z1798" s="4">
        <f>IF(L1798&lt;&gt;"",SQRT(3)*G1798*L1798/1000,"")</f>
        <v/>
      </c>
      <c r="AA1798" t="inlineStr">
        <is>
          <t>Source=Copeland 2D/3D/4D/4R/6D/8D/9R compressors (pdf) p94</t>
        </is>
      </c>
      <c r="AB1798" t="inlineStr">
        <is>
          <t>Copeland_RLA_230_460_3ph_60Hz.xlsx</t>
        </is>
      </c>
      <c r="AC1798" t="inlineStr">
        <is>
          <t>Recip_2D-9R</t>
        </is>
      </c>
    </row>
    <row r="1799">
      <c r="A1799" t="inlineStr">
        <is>
          <t>COPELAND</t>
        </is>
      </c>
      <c r="B1799" t="inlineStr">
        <is>
          <t>6DS3-4000-TXN</t>
        </is>
      </c>
      <c r="D1799" t="inlineStr">
        <is>
          <t>Reciprocating Semi-hermetic</t>
        </is>
      </c>
      <c r="E1799" s="2" t="n">
        <v>3</v>
      </c>
      <c r="F1799" s="2" t="n">
        <v>60</v>
      </c>
      <c r="G1799" s="2" t="n">
        <v>230</v>
      </c>
      <c r="H1799" t="inlineStr">
        <is>
          <t>230</t>
        </is>
      </c>
      <c r="I1799" s="2" t="n">
        <v>230</v>
      </c>
      <c r="J1799" s="2" t="n">
        <v>230</v>
      </c>
      <c r="L1799" s="3" t="n"/>
      <c r="M1799" s="3" t="n"/>
      <c r="N1799" s="3" t="n"/>
      <c r="O1799" s="3" t="n"/>
      <c r="P1799" s="3">
        <f>IF(L1799&lt;&gt;"",L1799/1.4,"")</f>
        <v/>
      </c>
      <c r="Q1799" s="3">
        <f>IF(L1799&lt;&gt;"",L1799/1.56,"")</f>
        <v/>
      </c>
      <c r="R1799" s="3">
        <f>IF(M1799&lt;&gt;"",M1799/1.4,"")</f>
        <v/>
      </c>
      <c r="S1799" s="3">
        <f>IF(M1799&lt;&gt;"",M1799/1.56,"")</f>
        <v/>
      </c>
      <c r="T1799" s="3">
        <f>IF(N1799&lt;&gt;"",N1799,IF(O1799&lt;&gt;"",O1799,IF(L1799&lt;&gt;"",L1799/1.56,IF(M1799&lt;&gt;"",M1799/1.56,""))))</f>
        <v/>
      </c>
      <c r="U1799" s="3" t="n">
        <v>594</v>
      </c>
      <c r="V1799" s="3" t="n">
        <v>340</v>
      </c>
      <c r="W1799" s="3" t="n"/>
      <c r="X1799" s="4" t="n"/>
      <c r="Y1799" s="5" t="n">
        <v>0.08500000000000001</v>
      </c>
      <c r="Z1799" s="4">
        <f>IF(L1799&lt;&gt;"",SQRT(3)*G1799*L1799/1000,"")</f>
        <v/>
      </c>
      <c r="AA1799" t="inlineStr">
        <is>
          <t>Source=Copeland 2D/3D/4D/4R/6D/8D/9R compressors (pdf) p94</t>
        </is>
      </c>
      <c r="AB1799" t="inlineStr">
        <is>
          <t>Copeland_RLA_230_460_3ph_60Hz.xlsx</t>
        </is>
      </c>
      <c r="AC1799" t="inlineStr">
        <is>
          <t>Recip_2D-9R</t>
        </is>
      </c>
    </row>
    <row r="1800">
      <c r="A1800" t="inlineStr">
        <is>
          <t>COPELAND</t>
        </is>
      </c>
      <c r="B1800" t="inlineStr">
        <is>
          <t>6DS3-4000-TXN</t>
        </is>
      </c>
      <c r="D1800" t="inlineStr">
        <is>
          <t>Reciprocating Semi-hermetic</t>
        </is>
      </c>
      <c r="E1800" s="2" t="n">
        <v>3</v>
      </c>
      <c r="F1800" s="2" t="n">
        <v>60</v>
      </c>
      <c r="G1800" s="2" t="n">
        <v>460</v>
      </c>
      <c r="H1800" t="inlineStr">
        <is>
          <t>460</t>
        </is>
      </c>
      <c r="I1800" s="2" t="n">
        <v>460</v>
      </c>
      <c r="J1800" s="2" t="n">
        <v>460</v>
      </c>
      <c r="L1800" s="3" t="n"/>
      <c r="M1800" s="3" t="n"/>
      <c r="N1800" s="3" t="n"/>
      <c r="O1800" s="3" t="n"/>
      <c r="P1800" s="3">
        <f>IF(L1800&lt;&gt;"",L1800/1.4,"")</f>
        <v/>
      </c>
      <c r="Q1800" s="3">
        <f>IF(L1800&lt;&gt;"",L1800/1.56,"")</f>
        <v/>
      </c>
      <c r="R1800" s="3">
        <f>IF(M1800&lt;&gt;"",M1800/1.4,"")</f>
        <v/>
      </c>
      <c r="S1800" s="3">
        <f>IF(M1800&lt;&gt;"",M1800/1.56,"")</f>
        <v/>
      </c>
      <c r="T1800" s="3">
        <f>IF(N1800&lt;&gt;"",N1800,IF(O1800&lt;&gt;"",O1800,IF(L1800&lt;&gt;"",L1800/1.56,IF(M1800&lt;&gt;"",M1800/1.56,""))))</f>
        <v/>
      </c>
      <c r="U1800" s="3" t="n">
        <v>297</v>
      </c>
      <c r="V1800" s="3" t="n"/>
      <c r="W1800" s="3" t="n"/>
      <c r="X1800" s="4" t="n"/>
      <c r="Y1800" s="5" t="n">
        <v>0.34</v>
      </c>
      <c r="Z1800" s="4">
        <f>IF(L1800&lt;&gt;"",SQRT(3)*G1800*L1800/1000,"")</f>
        <v/>
      </c>
      <c r="AA1800" t="inlineStr">
        <is>
          <t>Source=Copeland 2D/3D/4D/4R/6D/8D/9R compressors (pdf) p94</t>
        </is>
      </c>
      <c r="AB1800" t="inlineStr">
        <is>
          <t>Copeland_RLA_230_460_3ph_60Hz.xlsx</t>
        </is>
      </c>
      <c r="AC1800" t="inlineStr">
        <is>
          <t>Recip_2D-9R</t>
        </is>
      </c>
    </row>
    <row r="1801">
      <c r="A1801" t="inlineStr">
        <is>
          <t>COPELAND</t>
        </is>
      </c>
      <c r="B1801" t="inlineStr">
        <is>
          <t>6DS3-400E-FSD</t>
        </is>
      </c>
      <c r="D1801" t="inlineStr">
        <is>
          <t>Reciprocating Semi-hermetic</t>
        </is>
      </c>
      <c r="E1801" s="2" t="n">
        <v>3</v>
      </c>
      <c r="F1801" s="2" t="n">
        <v>60</v>
      </c>
      <c r="G1801" s="2" t="n">
        <v>460</v>
      </c>
      <c r="H1801" t="inlineStr">
        <is>
          <t>460</t>
        </is>
      </c>
      <c r="I1801" s="2" t="n">
        <v>460</v>
      </c>
      <c r="J1801" s="2" t="n">
        <v>460</v>
      </c>
      <c r="L1801" s="3" t="n"/>
      <c r="M1801" s="3" t="n"/>
      <c r="N1801" s="3" t="n">
        <v>70</v>
      </c>
      <c r="O1801" s="3" t="n"/>
      <c r="P1801" s="3">
        <f>IF(L1801&lt;&gt;"",L1801/1.4,"")</f>
        <v/>
      </c>
      <c r="Q1801" s="3">
        <f>IF(L1801&lt;&gt;"",L1801/1.56,"")</f>
        <v/>
      </c>
      <c r="R1801" s="3">
        <f>IF(M1801&lt;&gt;"",M1801/1.4,"")</f>
        <v/>
      </c>
      <c r="S1801" s="3">
        <f>IF(M1801&lt;&gt;"",M1801/1.56,"")</f>
        <v/>
      </c>
      <c r="T1801" s="3">
        <f>IF(N1801&lt;&gt;"",N1801,IF(O1801&lt;&gt;"",O1801,IF(L1801&lt;&gt;"",L1801/1.56,IF(M1801&lt;&gt;"",M1801/1.56,""))))</f>
        <v/>
      </c>
      <c r="U1801" s="3" t="n">
        <v>315</v>
      </c>
      <c r="V1801" s="3" t="n">
        <v>195</v>
      </c>
      <c r="W1801" s="3" t="n"/>
      <c r="X1801" s="4" t="n"/>
      <c r="Y1801" s="5" t="n">
        <v>0.32</v>
      </c>
      <c r="Z1801" s="4">
        <f>IF(L1801&lt;&gt;"",SQRT(3)*G1801*L1801/1000,"")</f>
        <v/>
      </c>
      <c r="AA1801" t="inlineStr">
        <is>
          <t>Source=Copeland 2D/3D/4D/4R/6D/8D/9R compressors (pdf) p94; PWS_RLA=35.0</t>
        </is>
      </c>
      <c r="AB1801" t="inlineStr">
        <is>
          <t>Copeland_RLA_230_460_3ph_60Hz.xlsx</t>
        </is>
      </c>
      <c r="AC1801" t="inlineStr">
        <is>
          <t>Recip_2D-9R</t>
        </is>
      </c>
    </row>
    <row r="1802">
      <c r="A1802" t="inlineStr">
        <is>
          <t>COPELAND</t>
        </is>
      </c>
      <c r="B1802" t="inlineStr">
        <is>
          <t>6DS3-400E-TSN</t>
        </is>
      </c>
      <c r="D1802" t="inlineStr">
        <is>
          <t>Reciprocating Semi-hermetic</t>
        </is>
      </c>
      <c r="E1802" s="2" t="n">
        <v>3</v>
      </c>
      <c r="F1802" s="2" t="n">
        <v>60</v>
      </c>
      <c r="G1802" s="2" t="n">
        <v>230</v>
      </c>
      <c r="H1802" t="inlineStr">
        <is>
          <t>230</t>
        </is>
      </c>
      <c r="I1802" s="2" t="n">
        <v>230</v>
      </c>
      <c r="J1802" s="2" t="n">
        <v>230</v>
      </c>
      <c r="L1802" s="3" t="n"/>
      <c r="M1802" s="3" t="n"/>
      <c r="N1802" s="3" t="n">
        <v>141.4</v>
      </c>
      <c r="O1802" s="3" t="n"/>
      <c r="P1802" s="3">
        <f>IF(L1802&lt;&gt;"",L1802/1.4,"")</f>
        <v/>
      </c>
      <c r="Q1802" s="3">
        <f>IF(L1802&lt;&gt;"",L1802/1.56,"")</f>
        <v/>
      </c>
      <c r="R1802" s="3">
        <f>IF(M1802&lt;&gt;"",M1802/1.4,"")</f>
        <v/>
      </c>
      <c r="S1802" s="3">
        <f>IF(M1802&lt;&gt;"",M1802/1.56,"")</f>
        <v/>
      </c>
      <c r="T1802" s="3">
        <f>IF(N1802&lt;&gt;"",N1802,IF(O1802&lt;&gt;"",O1802,IF(L1802&lt;&gt;"",L1802/1.56,IF(M1802&lt;&gt;"",M1802/1.56,""))))</f>
        <v/>
      </c>
      <c r="U1802" s="3" t="n">
        <v>594</v>
      </c>
      <c r="V1802" s="3" t="n">
        <v>340</v>
      </c>
      <c r="W1802" s="3" t="n"/>
      <c r="X1802" s="4" t="n"/>
      <c r="Y1802" s="5" t="n">
        <v>0.08500000000000001</v>
      </c>
      <c r="Z1802" s="4">
        <f>IF(L1802&lt;&gt;"",SQRT(3)*G1802*L1802/1000,"")</f>
        <v/>
      </c>
      <c r="AA1802" t="inlineStr">
        <is>
          <t>Source=Copeland 2D/3D/4D/4R/6D/8D/9R compressors (pdf) p94; PWS_RLA=71.0</t>
        </is>
      </c>
      <c r="AB1802" t="inlineStr">
        <is>
          <t>Copeland_RLA_230_460_3ph_60Hz.xlsx</t>
        </is>
      </c>
      <c r="AC1802" t="inlineStr">
        <is>
          <t>Recip_2D-9R</t>
        </is>
      </c>
    </row>
    <row r="1803">
      <c r="A1803" t="inlineStr">
        <is>
          <t>COPELAND</t>
        </is>
      </c>
      <c r="B1803" t="inlineStr">
        <is>
          <t>6DS3-400E-TSN</t>
        </is>
      </c>
      <c r="D1803" t="inlineStr">
        <is>
          <t>Reciprocating Semi-hermetic</t>
        </is>
      </c>
      <c r="E1803" s="2" t="n">
        <v>3</v>
      </c>
      <c r="F1803" s="2" t="n">
        <v>60</v>
      </c>
      <c r="G1803" s="2" t="n">
        <v>460</v>
      </c>
      <c r="H1803" t="inlineStr">
        <is>
          <t>460</t>
        </is>
      </c>
      <c r="I1803" s="2" t="n">
        <v>460</v>
      </c>
      <c r="J1803" s="2" t="n">
        <v>460</v>
      </c>
      <c r="L1803" s="3" t="n"/>
      <c r="M1803" s="3" t="n"/>
      <c r="N1803" s="3" t="n">
        <v>70.7</v>
      </c>
      <c r="O1803" s="3" t="n"/>
      <c r="P1803" s="3">
        <f>IF(L1803&lt;&gt;"",L1803/1.4,"")</f>
        <v/>
      </c>
      <c r="Q1803" s="3">
        <f>IF(L1803&lt;&gt;"",L1803/1.56,"")</f>
        <v/>
      </c>
      <c r="R1803" s="3">
        <f>IF(M1803&lt;&gt;"",M1803/1.4,"")</f>
        <v/>
      </c>
      <c r="S1803" s="3">
        <f>IF(M1803&lt;&gt;"",M1803/1.56,"")</f>
        <v/>
      </c>
      <c r="T1803" s="3">
        <f>IF(N1803&lt;&gt;"",N1803,IF(O1803&lt;&gt;"",O1803,IF(L1803&lt;&gt;"",L1803/1.56,IF(M1803&lt;&gt;"",M1803/1.56,""))))</f>
        <v/>
      </c>
      <c r="U1803" s="3" t="n">
        <v>297</v>
      </c>
      <c r="V1803" s="3" t="n"/>
      <c r="W1803" s="3" t="n"/>
      <c r="X1803" s="4" t="n"/>
      <c r="Y1803" s="5" t="n">
        <v>0.34</v>
      </c>
      <c r="Z1803" s="4">
        <f>IF(L1803&lt;&gt;"",SQRT(3)*G1803*L1803/1000,"")</f>
        <v/>
      </c>
      <c r="AA1803" t="inlineStr">
        <is>
          <t>Source=Copeland 2D/3D/4D/4R/6D/8D/9R compressors (pdf) p94</t>
        </is>
      </c>
      <c r="AB1803" t="inlineStr">
        <is>
          <t>Copeland_RLA_230_460_3ph_60Hz.xlsx</t>
        </is>
      </c>
      <c r="AC1803" t="inlineStr">
        <is>
          <t>Recip_2D-9R</t>
        </is>
      </c>
    </row>
    <row r="1804">
      <c r="A1804" t="inlineStr">
        <is>
          <t>COPELAND</t>
        </is>
      </c>
      <c r="B1804" t="inlineStr">
        <is>
          <t>6DS3-400L-FSD</t>
        </is>
      </c>
      <c r="D1804" t="inlineStr">
        <is>
          <t>Reciprocating Semi-hermetic</t>
        </is>
      </c>
      <c r="E1804" s="2" t="n">
        <v>3</v>
      </c>
      <c r="F1804" s="2" t="n">
        <v>60</v>
      </c>
      <c r="G1804" s="2" t="n">
        <v>460</v>
      </c>
      <c r="H1804" t="inlineStr">
        <is>
          <t>460</t>
        </is>
      </c>
      <c r="I1804" s="2" t="n">
        <v>460</v>
      </c>
      <c r="J1804" s="2" t="n">
        <v>460</v>
      </c>
      <c r="L1804" s="3" t="n"/>
      <c r="M1804" s="3" t="n"/>
      <c r="N1804" s="3" t="n">
        <v>70</v>
      </c>
      <c r="O1804" s="3" t="n"/>
      <c r="P1804" s="3">
        <f>IF(L1804&lt;&gt;"",L1804/1.4,"")</f>
        <v/>
      </c>
      <c r="Q1804" s="3">
        <f>IF(L1804&lt;&gt;"",L1804/1.56,"")</f>
        <v/>
      </c>
      <c r="R1804" s="3">
        <f>IF(M1804&lt;&gt;"",M1804/1.4,"")</f>
        <v/>
      </c>
      <c r="S1804" s="3">
        <f>IF(M1804&lt;&gt;"",M1804/1.56,"")</f>
        <v/>
      </c>
      <c r="T1804" s="3">
        <f>IF(N1804&lt;&gt;"",N1804,IF(O1804&lt;&gt;"",O1804,IF(L1804&lt;&gt;"",L1804/1.56,IF(M1804&lt;&gt;"",M1804/1.56,""))))</f>
        <v/>
      </c>
      <c r="U1804" s="3" t="n">
        <v>315</v>
      </c>
      <c r="V1804" s="3" t="n">
        <v>195</v>
      </c>
      <c r="W1804" s="3" t="n"/>
      <c r="X1804" s="4" t="n"/>
      <c r="Y1804" s="5" t="n">
        <v>0.32</v>
      </c>
      <c r="Z1804" s="4">
        <f>IF(L1804&lt;&gt;"",SQRT(3)*G1804*L1804/1000,"")</f>
        <v/>
      </c>
      <c r="AA1804" t="inlineStr">
        <is>
          <t>Source=Copeland 2D/3D/4D/4R/6D/8D/9R compressors (pdf) p95; PWS_RLA=35.0</t>
        </is>
      </c>
      <c r="AB1804" t="inlineStr">
        <is>
          <t>Copeland_RLA_230_460_3ph_60Hz.xlsx</t>
        </is>
      </c>
      <c r="AC1804" t="inlineStr">
        <is>
          <t>Recip_2D-9R</t>
        </is>
      </c>
    </row>
    <row r="1805">
      <c r="A1805" t="inlineStr">
        <is>
          <t>COPELAND</t>
        </is>
      </c>
      <c r="B1805" t="inlineStr">
        <is>
          <t>6DS3-400L-TSN</t>
        </is>
      </c>
      <c r="D1805" t="inlineStr">
        <is>
          <t>Reciprocating Semi-hermetic</t>
        </is>
      </c>
      <c r="E1805" s="2" t="n">
        <v>3</v>
      </c>
      <c r="F1805" s="2" t="n">
        <v>60</v>
      </c>
      <c r="G1805" s="2" t="n">
        <v>230</v>
      </c>
      <c r="H1805" t="inlineStr">
        <is>
          <t>230</t>
        </is>
      </c>
      <c r="I1805" s="2" t="n">
        <v>230</v>
      </c>
      <c r="J1805" s="2" t="n">
        <v>230</v>
      </c>
      <c r="L1805" s="3" t="n"/>
      <c r="M1805" s="3" t="n"/>
      <c r="N1805" s="3" t="n">
        <v>141.4</v>
      </c>
      <c r="O1805" s="3" t="n"/>
      <c r="P1805" s="3">
        <f>IF(L1805&lt;&gt;"",L1805/1.4,"")</f>
        <v/>
      </c>
      <c r="Q1805" s="3">
        <f>IF(L1805&lt;&gt;"",L1805/1.56,"")</f>
        <v/>
      </c>
      <c r="R1805" s="3">
        <f>IF(M1805&lt;&gt;"",M1805/1.4,"")</f>
        <v/>
      </c>
      <c r="S1805" s="3">
        <f>IF(M1805&lt;&gt;"",M1805/1.56,"")</f>
        <v/>
      </c>
      <c r="T1805" s="3">
        <f>IF(N1805&lt;&gt;"",N1805,IF(O1805&lt;&gt;"",O1805,IF(L1805&lt;&gt;"",L1805/1.56,IF(M1805&lt;&gt;"",M1805/1.56,""))))</f>
        <v/>
      </c>
      <c r="U1805" s="3" t="n">
        <v>594</v>
      </c>
      <c r="V1805" s="3" t="n">
        <v>340</v>
      </c>
      <c r="W1805" s="3" t="n"/>
      <c r="X1805" s="4" t="n"/>
      <c r="Y1805" s="5" t="n">
        <v>0.08500000000000001</v>
      </c>
      <c r="Z1805" s="4">
        <f>IF(L1805&lt;&gt;"",SQRT(3)*G1805*L1805/1000,"")</f>
        <v/>
      </c>
      <c r="AA1805" t="inlineStr">
        <is>
          <t>Source=Copeland 2D/3D/4D/4R/6D/8D/9R compressors (pdf) p95; PWS_RLA=71.0</t>
        </is>
      </c>
      <c r="AB1805" t="inlineStr">
        <is>
          <t>Copeland_RLA_230_460_3ph_60Hz.xlsx</t>
        </is>
      </c>
      <c r="AC1805" t="inlineStr">
        <is>
          <t>Recip_2D-9R</t>
        </is>
      </c>
    </row>
    <row r="1806">
      <c r="A1806" t="inlineStr">
        <is>
          <t>COPELAND</t>
        </is>
      </c>
      <c r="B1806" t="inlineStr">
        <is>
          <t>6DS3-400L-TSN</t>
        </is>
      </c>
      <c r="D1806" t="inlineStr">
        <is>
          <t>Reciprocating Semi-hermetic</t>
        </is>
      </c>
      <c r="E1806" s="2" t="n">
        <v>3</v>
      </c>
      <c r="F1806" s="2" t="n">
        <v>60</v>
      </c>
      <c r="G1806" s="2" t="n">
        <v>460</v>
      </c>
      <c r="H1806" t="inlineStr">
        <is>
          <t>460</t>
        </is>
      </c>
      <c r="I1806" s="2" t="n">
        <v>460</v>
      </c>
      <c r="J1806" s="2" t="n">
        <v>460</v>
      </c>
      <c r="L1806" s="3" t="n"/>
      <c r="M1806" s="3" t="n"/>
      <c r="N1806" s="3" t="n">
        <v>70.7</v>
      </c>
      <c r="O1806" s="3" t="n"/>
      <c r="P1806" s="3">
        <f>IF(L1806&lt;&gt;"",L1806/1.4,"")</f>
        <v/>
      </c>
      <c r="Q1806" s="3">
        <f>IF(L1806&lt;&gt;"",L1806/1.56,"")</f>
        <v/>
      </c>
      <c r="R1806" s="3">
        <f>IF(M1806&lt;&gt;"",M1806/1.4,"")</f>
        <v/>
      </c>
      <c r="S1806" s="3">
        <f>IF(M1806&lt;&gt;"",M1806/1.56,"")</f>
        <v/>
      </c>
      <c r="T1806" s="3">
        <f>IF(N1806&lt;&gt;"",N1806,IF(O1806&lt;&gt;"",O1806,IF(L1806&lt;&gt;"",L1806/1.56,IF(M1806&lt;&gt;"",M1806/1.56,""))))</f>
        <v/>
      </c>
      <c r="U1806" s="3" t="n">
        <v>297</v>
      </c>
      <c r="V1806" s="3" t="n"/>
      <c r="W1806" s="3" t="n"/>
      <c r="X1806" s="4" t="n"/>
      <c r="Y1806" s="5" t="n">
        <v>0.34</v>
      </c>
      <c r="Z1806" s="4">
        <f>IF(L1806&lt;&gt;"",SQRT(3)*G1806*L1806/1000,"")</f>
        <v/>
      </c>
      <c r="AA1806" t="inlineStr">
        <is>
          <t>Source=Copeland 2D/3D/4D/4R/6D/8D/9R compressors (pdf) p95</t>
        </is>
      </c>
      <c r="AB1806" t="inlineStr">
        <is>
          <t>Copeland_RLA_230_460_3ph_60Hz.xlsx</t>
        </is>
      </c>
      <c r="AC1806" t="inlineStr">
        <is>
          <t>Recip_2D-9R</t>
        </is>
      </c>
    </row>
    <row r="1807">
      <c r="A1807" t="inlineStr">
        <is>
          <t>COPELAND</t>
        </is>
      </c>
      <c r="B1807" t="inlineStr">
        <is>
          <t>6DS3A300E-TSK</t>
        </is>
      </c>
      <c r="D1807" t="inlineStr">
        <is>
          <t>Reciprocating Semi-hermetic</t>
        </is>
      </c>
      <c r="E1807" s="2" t="n">
        <v>3</v>
      </c>
      <c r="F1807" s="2" t="n">
        <v>60</v>
      </c>
      <c r="G1807" s="2" t="n">
        <v>230</v>
      </c>
      <c r="H1807" t="inlineStr">
        <is>
          <t>208/230</t>
        </is>
      </c>
      <c r="I1807" s="2" t="n">
        <v>208</v>
      </c>
      <c r="J1807" s="2" t="n">
        <v>230</v>
      </c>
      <c r="L1807" s="3" t="n"/>
      <c r="M1807" s="3" t="n"/>
      <c r="N1807" s="3" t="n">
        <v>100</v>
      </c>
      <c r="O1807" s="3" t="n"/>
      <c r="P1807" s="3">
        <f>IF(L1807&lt;&gt;"",L1807/1.4,"")</f>
        <v/>
      </c>
      <c r="Q1807" s="3">
        <f>IF(L1807&lt;&gt;"",L1807/1.56,"")</f>
        <v/>
      </c>
      <c r="R1807" s="3">
        <f>IF(M1807&lt;&gt;"",M1807/1.4,"")</f>
        <v/>
      </c>
      <c r="S1807" s="3">
        <f>IF(M1807&lt;&gt;"",M1807/1.56,"")</f>
        <v/>
      </c>
      <c r="T1807" s="3">
        <f>IF(N1807&lt;&gt;"",N1807,IF(O1807&lt;&gt;"",O1807,IF(L1807&lt;&gt;"",L1807/1.56,IF(M1807&lt;&gt;"",M1807/1.56,""))))</f>
        <v/>
      </c>
      <c r="U1807" s="3" t="n">
        <v>470</v>
      </c>
      <c r="V1807" s="3" t="n">
        <v>292</v>
      </c>
      <c r="W1807" s="3" t="n"/>
      <c r="X1807" s="4" t="n"/>
      <c r="Y1807" s="5" t="n">
        <v>0.111</v>
      </c>
      <c r="Z1807" s="4">
        <f>IF(L1807&lt;&gt;"",SQRT(3)*G1807*L1807/1000,"")</f>
        <v/>
      </c>
      <c r="AA1807" t="inlineStr">
        <is>
          <t>Source=Copeland 2D/3D/4D/4R/6D/8D/9R compressors (pdf) p95; PWS_RLA=50.0</t>
        </is>
      </c>
      <c r="AB1807" t="inlineStr">
        <is>
          <t>Copeland_RLA_230_460_3ph_60Hz.xlsx</t>
        </is>
      </c>
      <c r="AC1807" t="inlineStr">
        <is>
          <t>Recip_2D-9R</t>
        </is>
      </c>
    </row>
    <row r="1808">
      <c r="A1808" t="inlineStr">
        <is>
          <t>COPELAND</t>
        </is>
      </c>
      <c r="B1808" t="inlineStr">
        <is>
          <t>6DS3A300E-TSK</t>
        </is>
      </c>
      <c r="D1808" t="inlineStr">
        <is>
          <t>Reciprocating Semi-hermetic</t>
        </is>
      </c>
      <c r="E1808" s="2" t="n">
        <v>3</v>
      </c>
      <c r="F1808" s="2" t="n">
        <v>60</v>
      </c>
      <c r="G1808" s="2" t="n">
        <v>460</v>
      </c>
      <c r="H1808" t="inlineStr">
        <is>
          <t>460</t>
        </is>
      </c>
      <c r="I1808" s="2" t="n">
        <v>460</v>
      </c>
      <c r="J1808" s="2" t="n">
        <v>460</v>
      </c>
      <c r="L1808" s="3" t="n"/>
      <c r="M1808" s="3" t="n"/>
      <c r="N1808" s="3" t="n">
        <v>50</v>
      </c>
      <c r="O1808" s="3" t="n"/>
      <c r="P1808" s="3">
        <f>IF(L1808&lt;&gt;"",L1808/1.4,"")</f>
        <v/>
      </c>
      <c r="Q1808" s="3">
        <f>IF(L1808&lt;&gt;"",L1808/1.56,"")</f>
        <v/>
      </c>
      <c r="R1808" s="3">
        <f>IF(M1808&lt;&gt;"",M1808/1.4,"")</f>
        <v/>
      </c>
      <c r="S1808" s="3">
        <f>IF(M1808&lt;&gt;"",M1808/1.56,"")</f>
        <v/>
      </c>
      <c r="T1808" s="3">
        <f>IF(N1808&lt;&gt;"",N1808,IF(O1808&lt;&gt;"",O1808,IF(L1808&lt;&gt;"",L1808/1.56,IF(M1808&lt;&gt;"",M1808/1.56,""))))</f>
        <v/>
      </c>
      <c r="U1808" s="3" t="n">
        <v>235</v>
      </c>
      <c r="V1808" s="3" t="n"/>
      <c r="W1808" s="3" t="n"/>
      <c r="X1808" s="4" t="n"/>
      <c r="Y1808" s="5" t="n">
        <v>0.444</v>
      </c>
      <c r="Z1808" s="4">
        <f>IF(L1808&lt;&gt;"",SQRT(3)*G1808*L1808/1000,"")</f>
        <v/>
      </c>
      <c r="AA1808" t="inlineStr">
        <is>
          <t>Source=Copeland 2D/3D/4D/4R/6D/8D/9R compressors (pdf) p95</t>
        </is>
      </c>
      <c r="AB1808" t="inlineStr">
        <is>
          <t>Copeland_RLA_230_460_3ph_60Hz.xlsx</t>
        </is>
      </c>
      <c r="AC1808" t="inlineStr">
        <is>
          <t>Recip_2D-9R</t>
        </is>
      </c>
    </row>
    <row r="1809">
      <c r="A1809" t="inlineStr">
        <is>
          <t>COPELAND</t>
        </is>
      </c>
      <c r="B1809" t="inlineStr">
        <is>
          <t>6DS3A300L-TSK</t>
        </is>
      </c>
      <c r="D1809" t="inlineStr">
        <is>
          <t>Reciprocating Semi-hermetic</t>
        </is>
      </c>
      <c r="E1809" s="2" t="n">
        <v>3</v>
      </c>
      <c r="F1809" s="2" t="n">
        <v>60</v>
      </c>
      <c r="G1809" s="2" t="n">
        <v>230</v>
      </c>
      <c r="H1809" t="inlineStr">
        <is>
          <t>208/230</t>
        </is>
      </c>
      <c r="I1809" s="2" t="n">
        <v>208</v>
      </c>
      <c r="J1809" s="2" t="n">
        <v>230</v>
      </c>
      <c r="L1809" s="3" t="n"/>
      <c r="M1809" s="3" t="n"/>
      <c r="N1809" s="3" t="n">
        <v>100</v>
      </c>
      <c r="O1809" s="3" t="n"/>
      <c r="P1809" s="3">
        <f>IF(L1809&lt;&gt;"",L1809/1.4,"")</f>
        <v/>
      </c>
      <c r="Q1809" s="3">
        <f>IF(L1809&lt;&gt;"",L1809/1.56,"")</f>
        <v/>
      </c>
      <c r="R1809" s="3">
        <f>IF(M1809&lt;&gt;"",M1809/1.4,"")</f>
        <v/>
      </c>
      <c r="S1809" s="3">
        <f>IF(M1809&lt;&gt;"",M1809/1.56,"")</f>
        <v/>
      </c>
      <c r="T1809" s="3">
        <f>IF(N1809&lt;&gt;"",N1809,IF(O1809&lt;&gt;"",O1809,IF(L1809&lt;&gt;"",L1809/1.56,IF(M1809&lt;&gt;"",M1809/1.56,""))))</f>
        <v/>
      </c>
      <c r="U1809" s="3" t="n">
        <v>470</v>
      </c>
      <c r="V1809" s="3" t="n">
        <v>292</v>
      </c>
      <c r="W1809" s="3" t="n"/>
      <c r="X1809" s="4" t="n"/>
      <c r="Y1809" s="5" t="n">
        <v>0.111</v>
      </c>
      <c r="Z1809" s="4">
        <f>IF(L1809&lt;&gt;"",SQRT(3)*G1809*L1809/1000,"")</f>
        <v/>
      </c>
      <c r="AA1809" t="inlineStr">
        <is>
          <t>Source=Copeland 2D/3D/4D/4R/6D/8D/9R compressors (pdf) p95; PWS_RLA=50.0</t>
        </is>
      </c>
      <c r="AB1809" t="inlineStr">
        <is>
          <t>Copeland_RLA_230_460_3ph_60Hz.xlsx</t>
        </is>
      </c>
      <c r="AC1809" t="inlineStr">
        <is>
          <t>Recip_2D-9R</t>
        </is>
      </c>
    </row>
    <row r="1810">
      <c r="A1810" t="inlineStr">
        <is>
          <t>COPELAND</t>
        </is>
      </c>
      <c r="B1810" t="inlineStr">
        <is>
          <t>6DS3A300L-TSK</t>
        </is>
      </c>
      <c r="D1810" t="inlineStr">
        <is>
          <t>Reciprocating Semi-hermetic</t>
        </is>
      </c>
      <c r="E1810" s="2" t="n">
        <v>3</v>
      </c>
      <c r="F1810" s="2" t="n">
        <v>60</v>
      </c>
      <c r="G1810" s="2" t="n">
        <v>460</v>
      </c>
      <c r="H1810" t="inlineStr">
        <is>
          <t>460</t>
        </is>
      </c>
      <c r="I1810" s="2" t="n">
        <v>460</v>
      </c>
      <c r="J1810" s="2" t="n">
        <v>460</v>
      </c>
      <c r="L1810" s="3" t="n"/>
      <c r="M1810" s="3" t="n"/>
      <c r="N1810" s="3" t="n">
        <v>50</v>
      </c>
      <c r="O1810" s="3" t="n"/>
      <c r="P1810" s="3">
        <f>IF(L1810&lt;&gt;"",L1810/1.4,"")</f>
        <v/>
      </c>
      <c r="Q1810" s="3">
        <f>IF(L1810&lt;&gt;"",L1810/1.56,"")</f>
        <v/>
      </c>
      <c r="R1810" s="3">
        <f>IF(M1810&lt;&gt;"",M1810/1.4,"")</f>
        <v/>
      </c>
      <c r="S1810" s="3">
        <f>IF(M1810&lt;&gt;"",M1810/1.56,"")</f>
        <v/>
      </c>
      <c r="T1810" s="3">
        <f>IF(N1810&lt;&gt;"",N1810,IF(O1810&lt;&gt;"",O1810,IF(L1810&lt;&gt;"",L1810/1.56,IF(M1810&lt;&gt;"",M1810/1.56,""))))</f>
        <v/>
      </c>
      <c r="U1810" s="3" t="n">
        <v>235</v>
      </c>
      <c r="V1810" s="3" t="n"/>
      <c r="W1810" s="3" t="n"/>
      <c r="X1810" s="4" t="n"/>
      <c r="Y1810" s="5" t="n">
        <v>0.444</v>
      </c>
      <c r="Z1810" s="4">
        <f>IF(L1810&lt;&gt;"",SQRT(3)*G1810*L1810/1000,"")</f>
        <v/>
      </c>
      <c r="AA1810" t="inlineStr">
        <is>
          <t>Source=Copeland 2D/3D/4D/4R/6D/8D/9R compressors (pdf) p95</t>
        </is>
      </c>
      <c r="AB1810" t="inlineStr">
        <is>
          <t>Copeland_RLA_230_460_3ph_60Hz.xlsx</t>
        </is>
      </c>
      <c r="AC1810" t="inlineStr">
        <is>
          <t>Recip_2D-9R</t>
        </is>
      </c>
    </row>
    <row r="1811">
      <c r="A1811" t="inlineStr">
        <is>
          <t>COPELAND</t>
        </is>
      </c>
      <c r="B1811" t="inlineStr">
        <is>
          <t>6DS3A4000-FSD</t>
        </is>
      </c>
      <c r="D1811" t="inlineStr">
        <is>
          <t>Reciprocating Semi-hermetic</t>
        </is>
      </c>
      <c r="E1811" s="2" t="n">
        <v>3</v>
      </c>
      <c r="F1811" s="2" t="n">
        <v>60</v>
      </c>
      <c r="G1811" s="2" t="n">
        <v>460</v>
      </c>
      <c r="H1811" t="inlineStr">
        <is>
          <t>460</t>
        </is>
      </c>
      <c r="I1811" s="2" t="n">
        <v>460</v>
      </c>
      <c r="J1811" s="2" t="n">
        <v>460</v>
      </c>
      <c r="L1811" s="3" t="n"/>
      <c r="M1811" s="3" t="n"/>
      <c r="N1811" s="3" t="n">
        <v>70</v>
      </c>
      <c r="O1811" s="3" t="n"/>
      <c r="P1811" s="3">
        <f>IF(L1811&lt;&gt;"",L1811/1.4,"")</f>
        <v/>
      </c>
      <c r="Q1811" s="3">
        <f>IF(L1811&lt;&gt;"",L1811/1.56,"")</f>
        <v/>
      </c>
      <c r="R1811" s="3">
        <f>IF(M1811&lt;&gt;"",M1811/1.4,"")</f>
        <v/>
      </c>
      <c r="S1811" s="3">
        <f>IF(M1811&lt;&gt;"",M1811/1.56,"")</f>
        <v/>
      </c>
      <c r="T1811" s="3">
        <f>IF(N1811&lt;&gt;"",N1811,IF(O1811&lt;&gt;"",O1811,IF(L1811&lt;&gt;"",L1811/1.56,IF(M1811&lt;&gt;"",M1811/1.56,""))))</f>
        <v/>
      </c>
      <c r="U1811" s="3" t="n">
        <v>315</v>
      </c>
      <c r="V1811" s="3" t="n">
        <v>195</v>
      </c>
      <c r="W1811" s="3" t="n"/>
      <c r="X1811" s="4" t="n"/>
      <c r="Y1811" s="5" t="n">
        <v>0.32</v>
      </c>
      <c r="Z1811" s="4">
        <f>IF(L1811&lt;&gt;"",SQRT(3)*G1811*L1811/1000,"")</f>
        <v/>
      </c>
      <c r="AA1811" t="inlineStr">
        <is>
          <t>Source=Copeland 2D/3D/4D/4R/6D/8D/9R compressors (pdf) p95; PWS_RLA=35.0</t>
        </is>
      </c>
      <c r="AB1811" t="inlineStr">
        <is>
          <t>Copeland_RLA_230_460_3ph_60Hz.xlsx</t>
        </is>
      </c>
      <c r="AC1811" t="inlineStr">
        <is>
          <t>Recip_2D-9R</t>
        </is>
      </c>
    </row>
    <row r="1812">
      <c r="A1812" t="inlineStr">
        <is>
          <t>COPELAND</t>
        </is>
      </c>
      <c r="B1812" t="inlineStr">
        <is>
          <t>6DS3A4000-FXD</t>
        </is>
      </c>
      <c r="D1812" t="inlineStr">
        <is>
          <t>Reciprocating Semi-hermetic</t>
        </is>
      </c>
      <c r="E1812" s="2" t="n">
        <v>3</v>
      </c>
      <c r="F1812" s="2" t="n">
        <v>60</v>
      </c>
      <c r="G1812" s="2" t="n">
        <v>460</v>
      </c>
      <c r="H1812" t="inlineStr">
        <is>
          <t>460</t>
        </is>
      </c>
      <c r="I1812" s="2" t="n">
        <v>460</v>
      </c>
      <c r="J1812" s="2" t="n">
        <v>460</v>
      </c>
      <c r="L1812" s="3" t="n"/>
      <c r="M1812" s="3" t="n"/>
      <c r="N1812" s="3" t="n"/>
      <c r="O1812" s="3" t="n"/>
      <c r="P1812" s="3">
        <f>IF(L1812&lt;&gt;"",L1812/1.4,"")</f>
        <v/>
      </c>
      <c r="Q1812" s="3">
        <f>IF(L1812&lt;&gt;"",L1812/1.56,"")</f>
        <v/>
      </c>
      <c r="R1812" s="3">
        <f>IF(M1812&lt;&gt;"",M1812/1.4,"")</f>
        <v/>
      </c>
      <c r="S1812" s="3">
        <f>IF(M1812&lt;&gt;"",M1812/1.56,"")</f>
        <v/>
      </c>
      <c r="T1812" s="3">
        <f>IF(N1812&lt;&gt;"",N1812,IF(O1812&lt;&gt;"",O1812,IF(L1812&lt;&gt;"",L1812/1.56,IF(M1812&lt;&gt;"",M1812/1.56,""))))</f>
        <v/>
      </c>
      <c r="U1812" s="3" t="n">
        <v>315</v>
      </c>
      <c r="V1812" s="3" t="n">
        <v>195</v>
      </c>
      <c r="W1812" s="3" t="n"/>
      <c r="X1812" s="4" t="n"/>
      <c r="Y1812" s="5" t="n">
        <v>0.32</v>
      </c>
      <c r="Z1812" s="4">
        <f>IF(L1812&lt;&gt;"",SQRT(3)*G1812*L1812/1000,"")</f>
        <v/>
      </c>
      <c r="AA1812" t="inlineStr">
        <is>
          <t>Source=Copeland 2D/3D/4D/4R/6D/8D/9R compressors (pdf) p95</t>
        </is>
      </c>
      <c r="AB1812" t="inlineStr">
        <is>
          <t>Copeland_RLA_230_460_3ph_60Hz.xlsx</t>
        </is>
      </c>
      <c r="AC1812" t="inlineStr">
        <is>
          <t>Recip_2D-9R</t>
        </is>
      </c>
    </row>
    <row r="1813">
      <c r="A1813" t="inlineStr">
        <is>
          <t>COPELAND</t>
        </is>
      </c>
      <c r="B1813" t="inlineStr">
        <is>
          <t>6DS3A4000-TSN</t>
        </is>
      </c>
      <c r="D1813" t="inlineStr">
        <is>
          <t>Reciprocating Semi-hermetic</t>
        </is>
      </c>
      <c r="E1813" s="2" t="n">
        <v>3</v>
      </c>
      <c r="F1813" s="2" t="n">
        <v>60</v>
      </c>
      <c r="G1813" s="2" t="n">
        <v>230</v>
      </c>
      <c r="H1813" t="inlineStr">
        <is>
          <t>230</t>
        </is>
      </c>
      <c r="I1813" s="2" t="n">
        <v>230</v>
      </c>
      <c r="J1813" s="2" t="n">
        <v>230</v>
      </c>
      <c r="L1813" s="3" t="n"/>
      <c r="M1813" s="3" t="n"/>
      <c r="N1813" s="3" t="n">
        <v>141.4</v>
      </c>
      <c r="O1813" s="3" t="n"/>
      <c r="P1813" s="3">
        <f>IF(L1813&lt;&gt;"",L1813/1.4,"")</f>
        <v/>
      </c>
      <c r="Q1813" s="3">
        <f>IF(L1813&lt;&gt;"",L1813/1.56,"")</f>
        <v/>
      </c>
      <c r="R1813" s="3">
        <f>IF(M1813&lt;&gt;"",M1813/1.4,"")</f>
        <v/>
      </c>
      <c r="S1813" s="3">
        <f>IF(M1813&lt;&gt;"",M1813/1.56,"")</f>
        <v/>
      </c>
      <c r="T1813" s="3">
        <f>IF(N1813&lt;&gt;"",N1813,IF(O1813&lt;&gt;"",O1813,IF(L1813&lt;&gt;"",L1813/1.56,IF(M1813&lt;&gt;"",M1813/1.56,""))))</f>
        <v/>
      </c>
      <c r="U1813" s="3" t="n">
        <v>594</v>
      </c>
      <c r="V1813" s="3" t="n">
        <v>340</v>
      </c>
      <c r="W1813" s="3" t="n"/>
      <c r="X1813" s="4" t="n"/>
      <c r="Y1813" s="5" t="n">
        <v>0.08500000000000001</v>
      </c>
      <c r="Z1813" s="4">
        <f>IF(L1813&lt;&gt;"",SQRT(3)*G1813*L1813/1000,"")</f>
        <v/>
      </c>
      <c r="AA1813" t="inlineStr">
        <is>
          <t>Source=Copeland 2D/3D/4D/4R/6D/8D/9R compressors (pdf) p95; PWS_RLA=71.0</t>
        </is>
      </c>
      <c r="AB1813" t="inlineStr">
        <is>
          <t>Copeland_RLA_230_460_3ph_60Hz.xlsx</t>
        </is>
      </c>
      <c r="AC1813" t="inlineStr">
        <is>
          <t>Recip_2D-9R</t>
        </is>
      </c>
    </row>
    <row r="1814">
      <c r="A1814" t="inlineStr">
        <is>
          <t>COPELAND</t>
        </is>
      </c>
      <c r="B1814" t="inlineStr">
        <is>
          <t>6DS3A4000-TSN</t>
        </is>
      </c>
      <c r="D1814" t="inlineStr">
        <is>
          <t>Reciprocating Semi-hermetic</t>
        </is>
      </c>
      <c r="E1814" s="2" t="n">
        <v>3</v>
      </c>
      <c r="F1814" s="2" t="n">
        <v>60</v>
      </c>
      <c r="G1814" s="2" t="n">
        <v>460</v>
      </c>
      <c r="H1814" t="inlineStr">
        <is>
          <t>460</t>
        </is>
      </c>
      <c r="I1814" s="2" t="n">
        <v>460</v>
      </c>
      <c r="J1814" s="2" t="n">
        <v>460</v>
      </c>
      <c r="L1814" s="3" t="n"/>
      <c r="M1814" s="3" t="n"/>
      <c r="N1814" s="3" t="n">
        <v>70.7</v>
      </c>
      <c r="O1814" s="3" t="n"/>
      <c r="P1814" s="3">
        <f>IF(L1814&lt;&gt;"",L1814/1.4,"")</f>
        <v/>
      </c>
      <c r="Q1814" s="3">
        <f>IF(L1814&lt;&gt;"",L1814/1.56,"")</f>
        <v/>
      </c>
      <c r="R1814" s="3">
        <f>IF(M1814&lt;&gt;"",M1814/1.4,"")</f>
        <v/>
      </c>
      <c r="S1814" s="3">
        <f>IF(M1814&lt;&gt;"",M1814/1.56,"")</f>
        <v/>
      </c>
      <c r="T1814" s="3">
        <f>IF(N1814&lt;&gt;"",N1814,IF(O1814&lt;&gt;"",O1814,IF(L1814&lt;&gt;"",L1814/1.56,IF(M1814&lt;&gt;"",M1814/1.56,""))))</f>
        <v/>
      </c>
      <c r="U1814" s="3" t="n">
        <v>297</v>
      </c>
      <c r="V1814" s="3" t="n"/>
      <c r="W1814" s="3" t="n"/>
      <c r="X1814" s="4" t="n"/>
      <c r="Y1814" s="5" t="n">
        <v>0.34</v>
      </c>
      <c r="Z1814" s="4">
        <f>IF(L1814&lt;&gt;"",SQRT(3)*G1814*L1814/1000,"")</f>
        <v/>
      </c>
      <c r="AA1814" t="inlineStr">
        <is>
          <t>Source=Copeland 2D/3D/4D/4R/6D/8D/9R compressors (pdf) p95</t>
        </is>
      </c>
      <c r="AB1814" t="inlineStr">
        <is>
          <t>Copeland_RLA_230_460_3ph_60Hz.xlsx</t>
        </is>
      </c>
      <c r="AC1814" t="inlineStr">
        <is>
          <t>Recip_2D-9R</t>
        </is>
      </c>
    </row>
    <row r="1815">
      <c r="A1815" t="inlineStr">
        <is>
          <t>COPELAND</t>
        </is>
      </c>
      <c r="B1815" t="inlineStr">
        <is>
          <t>6DS3A4000-TXN</t>
        </is>
      </c>
      <c r="D1815" t="inlineStr">
        <is>
          <t>Reciprocating Semi-hermetic</t>
        </is>
      </c>
      <c r="E1815" s="2" t="n">
        <v>3</v>
      </c>
      <c r="F1815" s="2" t="n">
        <v>60</v>
      </c>
      <c r="G1815" s="2" t="n">
        <v>230</v>
      </c>
      <c r="H1815" t="inlineStr">
        <is>
          <t>230</t>
        </is>
      </c>
      <c r="I1815" s="2" t="n">
        <v>230</v>
      </c>
      <c r="J1815" s="2" t="n">
        <v>230</v>
      </c>
      <c r="L1815" s="3" t="n"/>
      <c r="M1815" s="3" t="n"/>
      <c r="N1815" s="3" t="n"/>
      <c r="O1815" s="3" t="n"/>
      <c r="P1815" s="3">
        <f>IF(L1815&lt;&gt;"",L1815/1.4,"")</f>
        <v/>
      </c>
      <c r="Q1815" s="3">
        <f>IF(L1815&lt;&gt;"",L1815/1.56,"")</f>
        <v/>
      </c>
      <c r="R1815" s="3">
        <f>IF(M1815&lt;&gt;"",M1815/1.4,"")</f>
        <v/>
      </c>
      <c r="S1815" s="3">
        <f>IF(M1815&lt;&gt;"",M1815/1.56,"")</f>
        <v/>
      </c>
      <c r="T1815" s="3">
        <f>IF(N1815&lt;&gt;"",N1815,IF(O1815&lt;&gt;"",O1815,IF(L1815&lt;&gt;"",L1815/1.56,IF(M1815&lt;&gt;"",M1815/1.56,""))))</f>
        <v/>
      </c>
      <c r="U1815" s="3" t="n">
        <v>594</v>
      </c>
      <c r="V1815" s="3" t="n">
        <v>340</v>
      </c>
      <c r="W1815" s="3" t="n"/>
      <c r="X1815" s="4" t="n"/>
      <c r="Y1815" s="5" t="n">
        <v>0.08500000000000001</v>
      </c>
      <c r="Z1815" s="4">
        <f>IF(L1815&lt;&gt;"",SQRT(3)*G1815*L1815/1000,"")</f>
        <v/>
      </c>
      <c r="AA1815" t="inlineStr">
        <is>
          <t>Source=Copeland 2D/3D/4D/4R/6D/8D/9R compressors (pdf) p95</t>
        </is>
      </c>
      <c r="AB1815" t="inlineStr">
        <is>
          <t>Copeland_RLA_230_460_3ph_60Hz.xlsx</t>
        </is>
      </c>
      <c r="AC1815" t="inlineStr">
        <is>
          <t>Recip_2D-9R</t>
        </is>
      </c>
    </row>
    <row r="1816">
      <c r="A1816" t="inlineStr">
        <is>
          <t>COPELAND</t>
        </is>
      </c>
      <c r="B1816" t="inlineStr">
        <is>
          <t>6DS3A4000-TXN</t>
        </is>
      </c>
      <c r="D1816" t="inlineStr">
        <is>
          <t>Reciprocating Semi-hermetic</t>
        </is>
      </c>
      <c r="E1816" s="2" t="n">
        <v>3</v>
      </c>
      <c r="F1816" s="2" t="n">
        <v>60</v>
      </c>
      <c r="G1816" s="2" t="n">
        <v>460</v>
      </c>
      <c r="H1816" t="inlineStr">
        <is>
          <t>460</t>
        </is>
      </c>
      <c r="I1816" s="2" t="n">
        <v>460</v>
      </c>
      <c r="J1816" s="2" t="n">
        <v>460</v>
      </c>
      <c r="L1816" s="3" t="n"/>
      <c r="M1816" s="3" t="n"/>
      <c r="N1816" s="3" t="n"/>
      <c r="O1816" s="3" t="n"/>
      <c r="P1816" s="3">
        <f>IF(L1816&lt;&gt;"",L1816/1.4,"")</f>
        <v/>
      </c>
      <c r="Q1816" s="3">
        <f>IF(L1816&lt;&gt;"",L1816/1.56,"")</f>
        <v/>
      </c>
      <c r="R1816" s="3">
        <f>IF(M1816&lt;&gt;"",M1816/1.4,"")</f>
        <v/>
      </c>
      <c r="S1816" s="3">
        <f>IF(M1816&lt;&gt;"",M1816/1.56,"")</f>
        <v/>
      </c>
      <c r="T1816" s="3">
        <f>IF(N1816&lt;&gt;"",N1816,IF(O1816&lt;&gt;"",O1816,IF(L1816&lt;&gt;"",L1816/1.56,IF(M1816&lt;&gt;"",M1816/1.56,""))))</f>
        <v/>
      </c>
      <c r="U1816" s="3" t="n">
        <v>297</v>
      </c>
      <c r="V1816" s="3" t="n"/>
      <c r="W1816" s="3" t="n"/>
      <c r="X1816" s="4" t="n"/>
      <c r="Y1816" s="5" t="n">
        <v>0.34</v>
      </c>
      <c r="Z1816" s="4">
        <f>IF(L1816&lt;&gt;"",SQRT(3)*G1816*L1816/1000,"")</f>
        <v/>
      </c>
      <c r="AA1816" t="inlineStr">
        <is>
          <t>Source=Copeland 2D/3D/4D/4R/6D/8D/9R compressors (pdf) p95</t>
        </is>
      </c>
      <c r="AB1816" t="inlineStr">
        <is>
          <t>Copeland_RLA_230_460_3ph_60Hz.xlsx</t>
        </is>
      </c>
      <c r="AC1816" t="inlineStr">
        <is>
          <t>Recip_2D-9R</t>
        </is>
      </c>
    </row>
    <row r="1817">
      <c r="A1817" t="inlineStr">
        <is>
          <t>COPELAND</t>
        </is>
      </c>
      <c r="B1817" t="inlineStr">
        <is>
          <t>6DS3A400E-FSD</t>
        </is>
      </c>
      <c r="D1817" t="inlineStr">
        <is>
          <t>Reciprocating Semi-hermetic</t>
        </is>
      </c>
      <c r="E1817" s="2" t="n">
        <v>3</v>
      </c>
      <c r="F1817" s="2" t="n">
        <v>60</v>
      </c>
      <c r="G1817" s="2" t="n">
        <v>460</v>
      </c>
      <c r="H1817" t="inlineStr">
        <is>
          <t>460</t>
        </is>
      </c>
      <c r="I1817" s="2" t="n">
        <v>460</v>
      </c>
      <c r="J1817" s="2" t="n">
        <v>460</v>
      </c>
      <c r="L1817" s="3" t="n"/>
      <c r="M1817" s="3" t="n"/>
      <c r="N1817" s="3" t="n">
        <v>86.40000000000001</v>
      </c>
      <c r="O1817" s="3" t="n"/>
      <c r="P1817" s="3">
        <f>IF(L1817&lt;&gt;"",L1817/1.4,"")</f>
        <v/>
      </c>
      <c r="Q1817" s="3">
        <f>IF(L1817&lt;&gt;"",L1817/1.56,"")</f>
        <v/>
      </c>
      <c r="R1817" s="3">
        <f>IF(M1817&lt;&gt;"",M1817/1.4,"")</f>
        <v/>
      </c>
      <c r="S1817" s="3">
        <f>IF(M1817&lt;&gt;"",M1817/1.56,"")</f>
        <v/>
      </c>
      <c r="T1817" s="3">
        <f>IF(N1817&lt;&gt;"",N1817,IF(O1817&lt;&gt;"",O1817,IF(L1817&lt;&gt;"",L1817/1.56,IF(M1817&lt;&gt;"",M1817/1.56,""))))</f>
        <v/>
      </c>
      <c r="U1817" s="3" t="n">
        <v>315</v>
      </c>
      <c r="V1817" s="3" t="n">
        <v>195</v>
      </c>
      <c r="W1817" s="3" t="n"/>
      <c r="X1817" s="4" t="n"/>
      <c r="Y1817" s="5" t="n">
        <v>0.32</v>
      </c>
      <c r="Z1817" s="4">
        <f>IF(L1817&lt;&gt;"",SQRT(3)*G1817*L1817/1000,"")</f>
        <v/>
      </c>
      <c r="AA1817" t="inlineStr">
        <is>
          <t>Source=Copeland 2D/3D/4D/4R/6D/8D/9R compressors (pdf) p95; PWS_RLA=35.0</t>
        </is>
      </c>
      <c r="AB1817" t="inlineStr">
        <is>
          <t>Copeland_RLA_230_460_3ph_60Hz.xlsx</t>
        </is>
      </c>
      <c r="AC1817" t="inlineStr">
        <is>
          <t>Recip_2D-9R</t>
        </is>
      </c>
    </row>
    <row r="1818">
      <c r="A1818" t="inlineStr">
        <is>
          <t>COPELAND</t>
        </is>
      </c>
      <c r="B1818" t="inlineStr">
        <is>
          <t>6DS3A400E-TSN</t>
        </is>
      </c>
      <c r="D1818" t="inlineStr">
        <is>
          <t>Reciprocating Semi-hermetic</t>
        </is>
      </c>
      <c r="E1818" s="2" t="n">
        <v>3</v>
      </c>
      <c r="F1818" s="2" t="n">
        <v>60</v>
      </c>
      <c r="G1818" s="2" t="n">
        <v>230</v>
      </c>
      <c r="H1818" t="inlineStr">
        <is>
          <t>230</t>
        </is>
      </c>
      <c r="I1818" s="2" t="n">
        <v>230</v>
      </c>
      <c r="J1818" s="2" t="n">
        <v>230</v>
      </c>
      <c r="L1818" s="3" t="n"/>
      <c r="M1818" s="3" t="n"/>
      <c r="N1818" s="3" t="n">
        <v>141.4</v>
      </c>
      <c r="O1818" s="3" t="n"/>
      <c r="P1818" s="3">
        <f>IF(L1818&lt;&gt;"",L1818/1.4,"")</f>
        <v/>
      </c>
      <c r="Q1818" s="3">
        <f>IF(L1818&lt;&gt;"",L1818/1.56,"")</f>
        <v/>
      </c>
      <c r="R1818" s="3">
        <f>IF(M1818&lt;&gt;"",M1818/1.4,"")</f>
        <v/>
      </c>
      <c r="S1818" s="3">
        <f>IF(M1818&lt;&gt;"",M1818/1.56,"")</f>
        <v/>
      </c>
      <c r="T1818" s="3">
        <f>IF(N1818&lt;&gt;"",N1818,IF(O1818&lt;&gt;"",O1818,IF(L1818&lt;&gt;"",L1818/1.56,IF(M1818&lt;&gt;"",M1818/1.56,""))))</f>
        <v/>
      </c>
      <c r="U1818" s="3" t="n">
        <v>594</v>
      </c>
      <c r="V1818" s="3" t="n">
        <v>340</v>
      </c>
      <c r="W1818" s="3" t="n"/>
      <c r="X1818" s="4" t="n"/>
      <c r="Y1818" s="5" t="n">
        <v>0.08500000000000001</v>
      </c>
      <c r="Z1818" s="4">
        <f>IF(L1818&lt;&gt;"",SQRT(3)*G1818*L1818/1000,"")</f>
        <v/>
      </c>
      <c r="AA1818" t="inlineStr">
        <is>
          <t>Source=Copeland 2D/3D/4D/4R/6D/8D/9R compressors (pdf) p96; PWS_RLA=71.0</t>
        </is>
      </c>
      <c r="AB1818" t="inlineStr">
        <is>
          <t>Copeland_RLA_230_460_3ph_60Hz.xlsx</t>
        </is>
      </c>
      <c r="AC1818" t="inlineStr">
        <is>
          <t>Recip_2D-9R</t>
        </is>
      </c>
    </row>
    <row r="1819">
      <c r="A1819" t="inlineStr">
        <is>
          <t>COPELAND</t>
        </is>
      </c>
      <c r="B1819" t="inlineStr">
        <is>
          <t>6DS3A400E-TSN</t>
        </is>
      </c>
      <c r="D1819" t="inlineStr">
        <is>
          <t>Reciprocating Semi-hermetic</t>
        </is>
      </c>
      <c r="E1819" s="2" t="n">
        <v>3</v>
      </c>
      <c r="F1819" s="2" t="n">
        <v>60</v>
      </c>
      <c r="G1819" s="2" t="n">
        <v>460</v>
      </c>
      <c r="H1819" t="inlineStr">
        <is>
          <t>460</t>
        </is>
      </c>
      <c r="I1819" s="2" t="n">
        <v>460</v>
      </c>
      <c r="J1819" s="2" t="n">
        <v>460</v>
      </c>
      <c r="L1819" s="3" t="n"/>
      <c r="M1819" s="3" t="n"/>
      <c r="N1819" s="3" t="n">
        <v>70.7</v>
      </c>
      <c r="O1819" s="3" t="n"/>
      <c r="P1819" s="3">
        <f>IF(L1819&lt;&gt;"",L1819/1.4,"")</f>
        <v/>
      </c>
      <c r="Q1819" s="3">
        <f>IF(L1819&lt;&gt;"",L1819/1.56,"")</f>
        <v/>
      </c>
      <c r="R1819" s="3">
        <f>IF(M1819&lt;&gt;"",M1819/1.4,"")</f>
        <v/>
      </c>
      <c r="S1819" s="3">
        <f>IF(M1819&lt;&gt;"",M1819/1.56,"")</f>
        <v/>
      </c>
      <c r="T1819" s="3">
        <f>IF(N1819&lt;&gt;"",N1819,IF(O1819&lt;&gt;"",O1819,IF(L1819&lt;&gt;"",L1819/1.56,IF(M1819&lt;&gt;"",M1819/1.56,""))))</f>
        <v/>
      </c>
      <c r="U1819" s="3" t="n">
        <v>297</v>
      </c>
      <c r="V1819" s="3" t="n"/>
      <c r="W1819" s="3" t="n"/>
      <c r="X1819" s="4" t="n"/>
      <c r="Y1819" s="5" t="n">
        <v>0.34</v>
      </c>
      <c r="Z1819" s="4">
        <f>IF(L1819&lt;&gt;"",SQRT(3)*G1819*L1819/1000,"")</f>
        <v/>
      </c>
      <c r="AA1819" t="inlineStr">
        <is>
          <t>Source=Copeland 2D/3D/4D/4R/6D/8D/9R compressors (pdf) p96</t>
        </is>
      </c>
      <c r="AB1819" t="inlineStr">
        <is>
          <t>Copeland_RLA_230_460_3ph_60Hz.xlsx</t>
        </is>
      </c>
      <c r="AC1819" t="inlineStr">
        <is>
          <t>Recip_2D-9R</t>
        </is>
      </c>
    </row>
    <row r="1820">
      <c r="A1820" t="inlineStr">
        <is>
          <t>COPELAND</t>
        </is>
      </c>
      <c r="B1820" t="inlineStr">
        <is>
          <t>6DS3A400L-FSD</t>
        </is>
      </c>
      <c r="D1820" t="inlineStr">
        <is>
          <t>Reciprocating Semi-hermetic</t>
        </is>
      </c>
      <c r="E1820" s="2" t="n">
        <v>3</v>
      </c>
      <c r="F1820" s="2" t="n">
        <v>60</v>
      </c>
      <c r="G1820" s="2" t="n">
        <v>460</v>
      </c>
      <c r="H1820" t="inlineStr">
        <is>
          <t>460</t>
        </is>
      </c>
      <c r="I1820" s="2" t="n">
        <v>460</v>
      </c>
      <c r="J1820" s="2" t="n">
        <v>460</v>
      </c>
      <c r="L1820" s="3" t="n"/>
      <c r="M1820" s="3" t="n"/>
      <c r="N1820" s="3" t="n">
        <v>86.40000000000001</v>
      </c>
      <c r="O1820" s="3" t="n"/>
      <c r="P1820" s="3">
        <f>IF(L1820&lt;&gt;"",L1820/1.4,"")</f>
        <v/>
      </c>
      <c r="Q1820" s="3">
        <f>IF(L1820&lt;&gt;"",L1820/1.56,"")</f>
        <v/>
      </c>
      <c r="R1820" s="3">
        <f>IF(M1820&lt;&gt;"",M1820/1.4,"")</f>
        <v/>
      </c>
      <c r="S1820" s="3">
        <f>IF(M1820&lt;&gt;"",M1820/1.56,"")</f>
        <v/>
      </c>
      <c r="T1820" s="3">
        <f>IF(N1820&lt;&gt;"",N1820,IF(O1820&lt;&gt;"",O1820,IF(L1820&lt;&gt;"",L1820/1.56,IF(M1820&lt;&gt;"",M1820/1.56,""))))</f>
        <v/>
      </c>
      <c r="U1820" s="3" t="n">
        <v>315</v>
      </c>
      <c r="V1820" s="3" t="n">
        <v>195</v>
      </c>
      <c r="W1820" s="3" t="n"/>
      <c r="X1820" s="4" t="n"/>
      <c r="Y1820" s="5" t="n">
        <v>0.32</v>
      </c>
      <c r="Z1820" s="4">
        <f>IF(L1820&lt;&gt;"",SQRT(3)*G1820*L1820/1000,"")</f>
        <v/>
      </c>
      <c r="AA1820" t="inlineStr">
        <is>
          <t>Source=Copeland 2D/3D/4D/4R/6D/8D/9R compressors (pdf) p96; PWS_RLA=35.0</t>
        </is>
      </c>
      <c r="AB1820" t="inlineStr">
        <is>
          <t>Copeland_RLA_230_460_3ph_60Hz.xlsx</t>
        </is>
      </c>
      <c r="AC1820" t="inlineStr">
        <is>
          <t>Recip_2D-9R</t>
        </is>
      </c>
    </row>
    <row r="1821">
      <c r="A1821" t="inlineStr">
        <is>
          <t>COPELAND</t>
        </is>
      </c>
      <c r="B1821" t="inlineStr">
        <is>
          <t>6DS3A400L-TSN</t>
        </is>
      </c>
      <c r="D1821" t="inlineStr">
        <is>
          <t>Reciprocating Semi-hermetic</t>
        </is>
      </c>
      <c r="E1821" s="2" t="n">
        <v>3</v>
      </c>
      <c r="F1821" s="2" t="n">
        <v>60</v>
      </c>
      <c r="G1821" s="2" t="n">
        <v>230</v>
      </c>
      <c r="H1821" t="inlineStr">
        <is>
          <t>230</t>
        </is>
      </c>
      <c r="I1821" s="2" t="n">
        <v>230</v>
      </c>
      <c r="J1821" s="2" t="n">
        <v>230</v>
      </c>
      <c r="L1821" s="3" t="n"/>
      <c r="M1821" s="3" t="n"/>
      <c r="N1821" s="3" t="n">
        <v>141.4</v>
      </c>
      <c r="O1821" s="3" t="n"/>
      <c r="P1821" s="3">
        <f>IF(L1821&lt;&gt;"",L1821/1.4,"")</f>
        <v/>
      </c>
      <c r="Q1821" s="3">
        <f>IF(L1821&lt;&gt;"",L1821/1.56,"")</f>
        <v/>
      </c>
      <c r="R1821" s="3">
        <f>IF(M1821&lt;&gt;"",M1821/1.4,"")</f>
        <v/>
      </c>
      <c r="S1821" s="3">
        <f>IF(M1821&lt;&gt;"",M1821/1.56,"")</f>
        <v/>
      </c>
      <c r="T1821" s="3">
        <f>IF(N1821&lt;&gt;"",N1821,IF(O1821&lt;&gt;"",O1821,IF(L1821&lt;&gt;"",L1821/1.56,IF(M1821&lt;&gt;"",M1821/1.56,""))))</f>
        <v/>
      </c>
      <c r="U1821" s="3" t="n">
        <v>594</v>
      </c>
      <c r="V1821" s="3" t="n">
        <v>340</v>
      </c>
      <c r="W1821" s="3" t="n"/>
      <c r="X1821" s="4" t="n"/>
      <c r="Y1821" s="5" t="n">
        <v>0.08500000000000001</v>
      </c>
      <c r="Z1821" s="4">
        <f>IF(L1821&lt;&gt;"",SQRT(3)*G1821*L1821/1000,"")</f>
        <v/>
      </c>
      <c r="AA1821" t="inlineStr">
        <is>
          <t>Source=Copeland 2D/3D/4D/4R/6D/8D/9R compressors (pdf) p96; PWS_RLA=71.0</t>
        </is>
      </c>
      <c r="AB1821" t="inlineStr">
        <is>
          <t>Copeland_RLA_230_460_3ph_60Hz.xlsx</t>
        </is>
      </c>
      <c r="AC1821" t="inlineStr">
        <is>
          <t>Recip_2D-9R</t>
        </is>
      </c>
    </row>
    <row r="1822">
      <c r="A1822" t="inlineStr">
        <is>
          <t>COPELAND</t>
        </is>
      </c>
      <c r="B1822" t="inlineStr">
        <is>
          <t>6DS3A400L-TSN</t>
        </is>
      </c>
      <c r="D1822" t="inlineStr">
        <is>
          <t>Reciprocating Semi-hermetic</t>
        </is>
      </c>
      <c r="E1822" s="2" t="n">
        <v>3</v>
      </c>
      <c r="F1822" s="2" t="n">
        <v>60</v>
      </c>
      <c r="G1822" s="2" t="n">
        <v>460</v>
      </c>
      <c r="H1822" t="inlineStr">
        <is>
          <t>460</t>
        </is>
      </c>
      <c r="I1822" s="2" t="n">
        <v>460</v>
      </c>
      <c r="J1822" s="2" t="n">
        <v>460</v>
      </c>
      <c r="L1822" s="3" t="n"/>
      <c r="M1822" s="3" t="n"/>
      <c r="N1822" s="3" t="n">
        <v>70.7</v>
      </c>
      <c r="O1822" s="3" t="n"/>
      <c r="P1822" s="3">
        <f>IF(L1822&lt;&gt;"",L1822/1.4,"")</f>
        <v/>
      </c>
      <c r="Q1822" s="3">
        <f>IF(L1822&lt;&gt;"",L1822/1.56,"")</f>
        <v/>
      </c>
      <c r="R1822" s="3">
        <f>IF(M1822&lt;&gt;"",M1822/1.4,"")</f>
        <v/>
      </c>
      <c r="S1822" s="3">
        <f>IF(M1822&lt;&gt;"",M1822/1.56,"")</f>
        <v/>
      </c>
      <c r="T1822" s="3">
        <f>IF(N1822&lt;&gt;"",N1822,IF(O1822&lt;&gt;"",O1822,IF(L1822&lt;&gt;"",L1822/1.56,IF(M1822&lt;&gt;"",M1822/1.56,""))))</f>
        <v/>
      </c>
      <c r="U1822" s="3" t="n">
        <v>297</v>
      </c>
      <c r="V1822" s="3" t="n"/>
      <c r="W1822" s="3" t="n"/>
      <c r="X1822" s="4" t="n"/>
      <c r="Y1822" s="5" t="n">
        <v>0.34</v>
      </c>
      <c r="Z1822" s="4">
        <f>IF(L1822&lt;&gt;"",SQRT(3)*G1822*L1822/1000,"")</f>
        <v/>
      </c>
      <c r="AA1822" t="inlineStr">
        <is>
          <t>Source=Copeland 2D/3D/4D/4R/6D/8D/9R compressors (pdf) p96</t>
        </is>
      </c>
      <c r="AB1822" t="inlineStr">
        <is>
          <t>Copeland_RLA_230_460_3ph_60Hz.xlsx</t>
        </is>
      </c>
      <c r="AC1822" t="inlineStr">
        <is>
          <t>Recip_2D-9R</t>
        </is>
      </c>
    </row>
    <row r="1823">
      <c r="A1823" t="inlineStr">
        <is>
          <t>COPELAND</t>
        </is>
      </c>
      <c r="B1823" t="inlineStr">
        <is>
          <t>6DS3F11ME-FSD</t>
        </is>
      </c>
      <c r="D1823" t="inlineStr">
        <is>
          <t>Reciprocating Semi-hermetic</t>
        </is>
      </c>
      <c r="E1823" s="2" t="n">
        <v>3</v>
      </c>
      <c r="F1823" s="2" t="n">
        <v>60</v>
      </c>
      <c r="G1823" s="2" t="n">
        <v>460</v>
      </c>
      <c r="H1823" t="inlineStr">
        <is>
          <t>460</t>
        </is>
      </c>
      <c r="I1823" s="2" t="n">
        <v>460</v>
      </c>
      <c r="J1823" s="2" t="n">
        <v>460</v>
      </c>
      <c r="L1823" s="3" t="n"/>
      <c r="M1823" s="3" t="n"/>
      <c r="N1823" s="3" t="n">
        <v>47.4</v>
      </c>
      <c r="O1823" s="3" t="n"/>
      <c r="P1823" s="3">
        <f>IF(L1823&lt;&gt;"",L1823/1.4,"")</f>
        <v/>
      </c>
      <c r="Q1823" s="3">
        <f>IF(L1823&lt;&gt;"",L1823/1.56,"")</f>
        <v/>
      </c>
      <c r="R1823" s="3">
        <f>IF(M1823&lt;&gt;"",M1823/1.4,"")</f>
        <v/>
      </c>
      <c r="S1823" s="3">
        <f>IF(M1823&lt;&gt;"",M1823/1.56,"")</f>
        <v/>
      </c>
      <c r="T1823" s="3">
        <f>IF(N1823&lt;&gt;"",N1823,IF(O1823&lt;&gt;"",O1823,IF(L1823&lt;&gt;"",L1823/1.56,IF(M1823&lt;&gt;"",M1823/1.56,""))))</f>
        <v/>
      </c>
      <c r="U1823" s="3" t="n">
        <v>235</v>
      </c>
      <c r="V1823" s="3" t="n">
        <v>141</v>
      </c>
      <c r="W1823" s="3" t="n"/>
      <c r="X1823" s="4" t="n"/>
      <c r="Y1823" s="5" t="n">
        <v>0.45</v>
      </c>
      <c r="Z1823" s="4">
        <f>IF(L1823&lt;&gt;"",SQRT(3)*G1823*L1823/1000,"")</f>
        <v/>
      </c>
      <c r="AA1823" t="inlineStr">
        <is>
          <t>Source=Copeland 2D/3D/4D/4R/6D/8D/9R compressors (pdf) p96; PWS_RLA=23.7</t>
        </is>
      </c>
      <c r="AB1823" t="inlineStr">
        <is>
          <t>Copeland_RLA_230_460_3ph_60Hz.xlsx</t>
        </is>
      </c>
      <c r="AC1823" t="inlineStr">
        <is>
          <t>Recip_2D-9R</t>
        </is>
      </c>
    </row>
    <row r="1824">
      <c r="A1824" t="inlineStr">
        <is>
          <t>COPELAND</t>
        </is>
      </c>
      <c r="B1824" t="inlineStr">
        <is>
          <t>6DS3F11ME-TSK</t>
        </is>
      </c>
      <c r="D1824" t="inlineStr">
        <is>
          <t>Reciprocating Semi-hermetic</t>
        </is>
      </c>
      <c r="E1824" s="2" t="n">
        <v>3</v>
      </c>
      <c r="F1824" s="2" t="n">
        <v>60</v>
      </c>
      <c r="G1824" s="2" t="n">
        <v>230</v>
      </c>
      <c r="H1824" t="inlineStr">
        <is>
          <t>208/230</t>
        </is>
      </c>
      <c r="I1824" s="2" t="n">
        <v>208</v>
      </c>
      <c r="J1824" s="2" t="n">
        <v>230</v>
      </c>
      <c r="L1824" s="3" t="n"/>
      <c r="M1824" s="3" t="n"/>
      <c r="N1824" s="3" t="n">
        <v>95.7</v>
      </c>
      <c r="O1824" s="3" t="n"/>
      <c r="P1824" s="3">
        <f>IF(L1824&lt;&gt;"",L1824/1.4,"")</f>
        <v/>
      </c>
      <c r="Q1824" s="3">
        <f>IF(L1824&lt;&gt;"",L1824/1.56,"")</f>
        <v/>
      </c>
      <c r="R1824" s="3">
        <f>IF(M1824&lt;&gt;"",M1824/1.4,"")</f>
        <v/>
      </c>
      <c r="S1824" s="3">
        <f>IF(M1824&lt;&gt;"",M1824/1.56,"")</f>
        <v/>
      </c>
      <c r="T1824" s="3">
        <f>IF(N1824&lt;&gt;"",N1824,IF(O1824&lt;&gt;"",O1824,IF(L1824&lt;&gt;"",L1824/1.56,IF(M1824&lt;&gt;"",M1824/1.56,""))))</f>
        <v/>
      </c>
      <c r="U1824" s="3" t="n">
        <v>470</v>
      </c>
      <c r="V1824" s="3" t="n">
        <v>292</v>
      </c>
      <c r="W1824" s="3" t="n"/>
      <c r="X1824" s="4" t="n"/>
      <c r="Y1824" s="5" t="n">
        <v>0.111</v>
      </c>
      <c r="Z1824" s="4">
        <f>IF(L1824&lt;&gt;"",SQRT(3)*G1824*L1824/1000,"")</f>
        <v/>
      </c>
      <c r="AA1824" t="inlineStr">
        <is>
          <t>Source=Copeland 2D/3D/4D/4R/6D/8D/9R compressors (pdf) p96; PWS_RLA=47.8</t>
        </is>
      </c>
      <c r="AB1824" t="inlineStr">
        <is>
          <t>Copeland_RLA_230_460_3ph_60Hz.xlsx</t>
        </is>
      </c>
      <c r="AC1824" t="inlineStr">
        <is>
          <t>Recip_2D-9R</t>
        </is>
      </c>
    </row>
    <row r="1825">
      <c r="A1825" t="inlineStr">
        <is>
          <t>COPELAND</t>
        </is>
      </c>
      <c r="B1825" t="inlineStr">
        <is>
          <t>6DS3F11ME-TSK</t>
        </is>
      </c>
      <c r="D1825" t="inlineStr">
        <is>
          <t>Reciprocating Semi-hermetic</t>
        </is>
      </c>
      <c r="E1825" s="2" t="n">
        <v>3</v>
      </c>
      <c r="F1825" s="2" t="n">
        <v>60</v>
      </c>
      <c r="G1825" s="2" t="n">
        <v>460</v>
      </c>
      <c r="H1825" t="inlineStr">
        <is>
          <t>460</t>
        </is>
      </c>
      <c r="I1825" s="2" t="n">
        <v>460</v>
      </c>
      <c r="J1825" s="2" t="n">
        <v>460</v>
      </c>
      <c r="L1825" s="3" t="n"/>
      <c r="M1825" s="3" t="n"/>
      <c r="N1825" s="3" t="n">
        <v>47.9</v>
      </c>
      <c r="O1825" s="3" t="n"/>
      <c r="P1825" s="3">
        <f>IF(L1825&lt;&gt;"",L1825/1.4,"")</f>
        <v/>
      </c>
      <c r="Q1825" s="3">
        <f>IF(L1825&lt;&gt;"",L1825/1.56,"")</f>
        <v/>
      </c>
      <c r="R1825" s="3">
        <f>IF(M1825&lt;&gt;"",M1825/1.4,"")</f>
        <v/>
      </c>
      <c r="S1825" s="3">
        <f>IF(M1825&lt;&gt;"",M1825/1.56,"")</f>
        <v/>
      </c>
      <c r="T1825" s="3">
        <f>IF(N1825&lt;&gt;"",N1825,IF(O1825&lt;&gt;"",O1825,IF(L1825&lt;&gt;"",L1825/1.56,IF(M1825&lt;&gt;"",M1825/1.56,""))))</f>
        <v/>
      </c>
      <c r="U1825" s="3" t="n">
        <v>235</v>
      </c>
      <c r="V1825" s="3" t="n"/>
      <c r="W1825" s="3" t="n"/>
      <c r="X1825" s="4" t="n"/>
      <c r="Y1825" s="5" t="n">
        <v>0.444</v>
      </c>
      <c r="Z1825" s="4">
        <f>IF(L1825&lt;&gt;"",SQRT(3)*G1825*L1825/1000,"")</f>
        <v/>
      </c>
      <c r="AA1825" t="inlineStr">
        <is>
          <t>Source=Copeland 2D/3D/4D/4R/6D/8D/9R compressors (pdf) p96</t>
        </is>
      </c>
      <c r="AB1825" t="inlineStr">
        <is>
          <t>Copeland_RLA_230_460_3ph_60Hz.xlsx</t>
        </is>
      </c>
      <c r="AC1825" t="inlineStr">
        <is>
          <t>Recip_2D-9R</t>
        </is>
      </c>
    </row>
    <row r="1826">
      <c r="A1826" t="inlineStr">
        <is>
          <t>COPELAND</t>
        </is>
      </c>
      <c r="B1826" t="inlineStr">
        <is>
          <t>6DS3F11ML-FSD</t>
        </is>
      </c>
      <c r="D1826" t="inlineStr">
        <is>
          <t>Reciprocating Semi-hermetic</t>
        </is>
      </c>
      <c r="E1826" s="2" t="n">
        <v>3</v>
      </c>
      <c r="F1826" s="2" t="n">
        <v>60</v>
      </c>
      <c r="G1826" s="2" t="n">
        <v>460</v>
      </c>
      <c r="H1826" t="inlineStr">
        <is>
          <t>460</t>
        </is>
      </c>
      <c r="I1826" s="2" t="n">
        <v>460</v>
      </c>
      <c r="J1826" s="2" t="n">
        <v>460</v>
      </c>
      <c r="L1826" s="3" t="n"/>
      <c r="M1826" s="3" t="n"/>
      <c r="N1826" s="3" t="n">
        <v>47.4</v>
      </c>
      <c r="O1826" s="3" t="n"/>
      <c r="P1826" s="3">
        <f>IF(L1826&lt;&gt;"",L1826/1.4,"")</f>
        <v/>
      </c>
      <c r="Q1826" s="3">
        <f>IF(L1826&lt;&gt;"",L1826/1.56,"")</f>
        <v/>
      </c>
      <c r="R1826" s="3">
        <f>IF(M1826&lt;&gt;"",M1826/1.4,"")</f>
        <v/>
      </c>
      <c r="S1826" s="3">
        <f>IF(M1826&lt;&gt;"",M1826/1.56,"")</f>
        <v/>
      </c>
      <c r="T1826" s="3">
        <f>IF(N1826&lt;&gt;"",N1826,IF(O1826&lt;&gt;"",O1826,IF(L1826&lt;&gt;"",L1826/1.56,IF(M1826&lt;&gt;"",M1826/1.56,""))))</f>
        <v/>
      </c>
      <c r="U1826" s="3" t="n">
        <v>235</v>
      </c>
      <c r="V1826" s="3" t="n">
        <v>141</v>
      </c>
      <c r="W1826" s="3" t="n"/>
      <c r="X1826" s="4" t="n"/>
      <c r="Y1826" s="5" t="n">
        <v>0.45</v>
      </c>
      <c r="Z1826" s="4">
        <f>IF(L1826&lt;&gt;"",SQRT(3)*G1826*L1826/1000,"")</f>
        <v/>
      </c>
      <c r="AA1826" t="inlineStr">
        <is>
          <t>Source=Copeland 2D/3D/4D/4R/6D/8D/9R compressors (pdf) p96; PWS_RLA=23.7</t>
        </is>
      </c>
      <c r="AB1826" t="inlineStr">
        <is>
          <t>Copeland_RLA_230_460_3ph_60Hz.xlsx</t>
        </is>
      </c>
      <c r="AC1826" t="inlineStr">
        <is>
          <t>Recip_2D-9R</t>
        </is>
      </c>
    </row>
    <row r="1827">
      <c r="A1827" t="inlineStr">
        <is>
          <t>COPELAND</t>
        </is>
      </c>
      <c r="B1827" t="inlineStr">
        <is>
          <t>6DS3F11ML-TSK</t>
        </is>
      </c>
      <c r="D1827" t="inlineStr">
        <is>
          <t>Reciprocating Semi-hermetic</t>
        </is>
      </c>
      <c r="E1827" s="2" t="n">
        <v>3</v>
      </c>
      <c r="F1827" s="2" t="n">
        <v>60</v>
      </c>
      <c r="G1827" s="2" t="n">
        <v>230</v>
      </c>
      <c r="H1827" t="inlineStr">
        <is>
          <t>208/230</t>
        </is>
      </c>
      <c r="I1827" s="2" t="n">
        <v>208</v>
      </c>
      <c r="J1827" s="2" t="n">
        <v>230</v>
      </c>
      <c r="L1827" s="3" t="n"/>
      <c r="M1827" s="3" t="n"/>
      <c r="N1827" s="3" t="n">
        <v>95.7</v>
      </c>
      <c r="O1827" s="3" t="n"/>
      <c r="P1827" s="3">
        <f>IF(L1827&lt;&gt;"",L1827/1.4,"")</f>
        <v/>
      </c>
      <c r="Q1827" s="3">
        <f>IF(L1827&lt;&gt;"",L1827/1.56,"")</f>
        <v/>
      </c>
      <c r="R1827" s="3">
        <f>IF(M1827&lt;&gt;"",M1827/1.4,"")</f>
        <v/>
      </c>
      <c r="S1827" s="3">
        <f>IF(M1827&lt;&gt;"",M1827/1.56,"")</f>
        <v/>
      </c>
      <c r="T1827" s="3">
        <f>IF(N1827&lt;&gt;"",N1827,IF(O1827&lt;&gt;"",O1827,IF(L1827&lt;&gt;"",L1827/1.56,IF(M1827&lt;&gt;"",M1827/1.56,""))))</f>
        <v/>
      </c>
      <c r="U1827" s="3" t="n">
        <v>470</v>
      </c>
      <c r="V1827" s="3" t="n">
        <v>292</v>
      </c>
      <c r="W1827" s="3" t="n"/>
      <c r="X1827" s="4" t="n"/>
      <c r="Y1827" s="5" t="n">
        <v>0.111</v>
      </c>
      <c r="Z1827" s="4">
        <f>IF(L1827&lt;&gt;"",SQRT(3)*G1827*L1827/1000,"")</f>
        <v/>
      </c>
      <c r="AA1827" t="inlineStr">
        <is>
          <t>Source=Copeland 2D/3D/4D/4R/6D/8D/9R compressors (pdf) p96; PWS_RLA=47.8</t>
        </is>
      </c>
      <c r="AB1827" t="inlineStr">
        <is>
          <t>Copeland_RLA_230_460_3ph_60Hz.xlsx</t>
        </is>
      </c>
      <c r="AC1827" t="inlineStr">
        <is>
          <t>Recip_2D-9R</t>
        </is>
      </c>
    </row>
    <row r="1828">
      <c r="A1828" t="inlineStr">
        <is>
          <t>COPELAND</t>
        </is>
      </c>
      <c r="B1828" t="inlineStr">
        <is>
          <t>6DS3F11ML-TSK</t>
        </is>
      </c>
      <c r="D1828" t="inlineStr">
        <is>
          <t>Reciprocating Semi-hermetic</t>
        </is>
      </c>
      <c r="E1828" s="2" t="n">
        <v>3</v>
      </c>
      <c r="F1828" s="2" t="n">
        <v>60</v>
      </c>
      <c r="G1828" s="2" t="n">
        <v>460</v>
      </c>
      <c r="H1828" t="inlineStr">
        <is>
          <t>460</t>
        </is>
      </c>
      <c r="I1828" s="2" t="n">
        <v>460</v>
      </c>
      <c r="J1828" s="2" t="n">
        <v>460</v>
      </c>
      <c r="L1828" s="3" t="n"/>
      <c r="M1828" s="3" t="n"/>
      <c r="N1828" s="3" t="n">
        <v>47.9</v>
      </c>
      <c r="O1828" s="3" t="n"/>
      <c r="P1828" s="3">
        <f>IF(L1828&lt;&gt;"",L1828/1.4,"")</f>
        <v/>
      </c>
      <c r="Q1828" s="3">
        <f>IF(L1828&lt;&gt;"",L1828/1.56,"")</f>
        <v/>
      </c>
      <c r="R1828" s="3">
        <f>IF(M1828&lt;&gt;"",M1828/1.4,"")</f>
        <v/>
      </c>
      <c r="S1828" s="3">
        <f>IF(M1828&lt;&gt;"",M1828/1.56,"")</f>
        <v/>
      </c>
      <c r="T1828" s="3">
        <f>IF(N1828&lt;&gt;"",N1828,IF(O1828&lt;&gt;"",O1828,IF(L1828&lt;&gt;"",L1828/1.56,IF(M1828&lt;&gt;"",M1828/1.56,""))))</f>
        <v/>
      </c>
      <c r="U1828" s="3" t="n">
        <v>235</v>
      </c>
      <c r="V1828" s="3" t="n"/>
      <c r="W1828" s="3" t="n"/>
      <c r="X1828" s="4" t="n"/>
      <c r="Y1828" s="5" t="n">
        <v>0.444</v>
      </c>
      <c r="Z1828" s="4">
        <f>IF(L1828&lt;&gt;"",SQRT(3)*G1828*L1828/1000,"")</f>
        <v/>
      </c>
      <c r="AA1828" t="inlineStr">
        <is>
          <t>Source=Copeland 2D/3D/4D/4R/6D/8D/9R compressors (pdf) p96</t>
        </is>
      </c>
      <c r="AB1828" t="inlineStr">
        <is>
          <t>Copeland_RLA_230_460_3ph_60Hz.xlsx</t>
        </is>
      </c>
      <c r="AC1828" t="inlineStr">
        <is>
          <t>Recip_2D-9R</t>
        </is>
      </c>
    </row>
    <row r="1829">
      <c r="A1829" t="inlineStr">
        <is>
          <t>COPELAND</t>
        </is>
      </c>
      <c r="B1829" t="inlineStr">
        <is>
          <t>6DS3R28ME-TSK</t>
        </is>
      </c>
      <c r="D1829" t="inlineStr">
        <is>
          <t>Reciprocating Semi-hermetic</t>
        </is>
      </c>
      <c r="E1829" s="2" t="n">
        <v>3</v>
      </c>
      <c r="F1829" s="2" t="n">
        <v>60</v>
      </c>
      <c r="G1829" s="2" t="n">
        <v>230</v>
      </c>
      <c r="H1829" t="inlineStr">
        <is>
          <t>208/230</t>
        </is>
      </c>
      <c r="I1829" s="2" t="n">
        <v>208</v>
      </c>
      <c r="J1829" s="2" t="n">
        <v>230</v>
      </c>
      <c r="L1829" s="3" t="n"/>
      <c r="M1829" s="3" t="n"/>
      <c r="N1829" s="3" t="n">
        <v>100</v>
      </c>
      <c r="O1829" s="3" t="n"/>
      <c r="P1829" s="3">
        <f>IF(L1829&lt;&gt;"",L1829/1.4,"")</f>
        <v/>
      </c>
      <c r="Q1829" s="3">
        <f>IF(L1829&lt;&gt;"",L1829/1.56,"")</f>
        <v/>
      </c>
      <c r="R1829" s="3">
        <f>IF(M1829&lt;&gt;"",M1829/1.4,"")</f>
        <v/>
      </c>
      <c r="S1829" s="3">
        <f>IF(M1829&lt;&gt;"",M1829/1.56,"")</f>
        <v/>
      </c>
      <c r="T1829" s="3">
        <f>IF(N1829&lt;&gt;"",N1829,IF(O1829&lt;&gt;"",O1829,IF(L1829&lt;&gt;"",L1829/1.56,IF(M1829&lt;&gt;"",M1829/1.56,""))))</f>
        <v/>
      </c>
      <c r="U1829" s="3" t="n">
        <v>470</v>
      </c>
      <c r="V1829" s="3" t="n">
        <v>292</v>
      </c>
      <c r="W1829" s="3" t="n"/>
      <c r="X1829" s="4" t="n"/>
      <c r="Y1829" s="5" t="n">
        <v>0.111</v>
      </c>
      <c r="Z1829" s="4">
        <f>IF(L1829&lt;&gt;"",SQRT(3)*G1829*L1829/1000,"")</f>
        <v/>
      </c>
      <c r="AA1829" t="inlineStr">
        <is>
          <t>Source=Copeland 2D/3D/4D/4R/6D/8D/9R compressors (pdf) p96; PWS_RLA=50.0</t>
        </is>
      </c>
      <c r="AB1829" t="inlineStr">
        <is>
          <t>Copeland_RLA_230_460_3ph_60Hz.xlsx</t>
        </is>
      </c>
      <c r="AC1829" t="inlineStr">
        <is>
          <t>Recip_2D-9R</t>
        </is>
      </c>
    </row>
    <row r="1830">
      <c r="A1830" t="inlineStr">
        <is>
          <t>COPELAND</t>
        </is>
      </c>
      <c r="B1830" t="inlineStr">
        <is>
          <t>6DS3R28ME-TSK</t>
        </is>
      </c>
      <c r="D1830" t="inlineStr">
        <is>
          <t>Reciprocating Semi-hermetic</t>
        </is>
      </c>
      <c r="E1830" s="2" t="n">
        <v>3</v>
      </c>
      <c r="F1830" s="2" t="n">
        <v>60</v>
      </c>
      <c r="G1830" s="2" t="n">
        <v>460</v>
      </c>
      <c r="H1830" t="inlineStr">
        <is>
          <t>460</t>
        </is>
      </c>
      <c r="I1830" s="2" t="n">
        <v>460</v>
      </c>
      <c r="J1830" s="2" t="n">
        <v>460</v>
      </c>
      <c r="L1830" s="3" t="n"/>
      <c r="M1830" s="3" t="n"/>
      <c r="N1830" s="3" t="n">
        <v>50</v>
      </c>
      <c r="O1830" s="3" t="n"/>
      <c r="P1830" s="3">
        <f>IF(L1830&lt;&gt;"",L1830/1.4,"")</f>
        <v/>
      </c>
      <c r="Q1830" s="3">
        <f>IF(L1830&lt;&gt;"",L1830/1.56,"")</f>
        <v/>
      </c>
      <c r="R1830" s="3">
        <f>IF(M1830&lt;&gt;"",M1830/1.4,"")</f>
        <v/>
      </c>
      <c r="S1830" s="3">
        <f>IF(M1830&lt;&gt;"",M1830/1.56,"")</f>
        <v/>
      </c>
      <c r="T1830" s="3">
        <f>IF(N1830&lt;&gt;"",N1830,IF(O1830&lt;&gt;"",O1830,IF(L1830&lt;&gt;"",L1830/1.56,IF(M1830&lt;&gt;"",M1830/1.56,""))))</f>
        <v/>
      </c>
      <c r="U1830" s="3" t="n">
        <v>235</v>
      </c>
      <c r="V1830" s="3" t="n"/>
      <c r="W1830" s="3" t="n"/>
      <c r="X1830" s="4" t="n"/>
      <c r="Y1830" s="5" t="n">
        <v>0.444</v>
      </c>
      <c r="Z1830" s="4">
        <f>IF(L1830&lt;&gt;"",SQRT(3)*G1830*L1830/1000,"")</f>
        <v/>
      </c>
      <c r="AA1830" t="inlineStr">
        <is>
          <t>Source=Copeland 2D/3D/4D/4R/6D/8D/9R compressors (pdf) p96</t>
        </is>
      </c>
      <c r="AB1830" t="inlineStr">
        <is>
          <t>Copeland_RLA_230_460_3ph_60Hz.xlsx</t>
        </is>
      </c>
      <c r="AC1830" t="inlineStr">
        <is>
          <t>Recip_2D-9R</t>
        </is>
      </c>
    </row>
    <row r="1831">
      <c r="A1831" t="inlineStr">
        <is>
          <t>COPELAND</t>
        </is>
      </c>
      <c r="B1831" t="inlineStr">
        <is>
          <t>6DS3R28ML-TSK</t>
        </is>
      </c>
      <c r="D1831" t="inlineStr">
        <is>
          <t>Reciprocating Semi-hermetic</t>
        </is>
      </c>
      <c r="E1831" s="2" t="n">
        <v>3</v>
      </c>
      <c r="F1831" s="2" t="n">
        <v>60</v>
      </c>
      <c r="G1831" s="2" t="n">
        <v>230</v>
      </c>
      <c r="H1831" t="inlineStr">
        <is>
          <t>208/230</t>
        </is>
      </c>
      <c r="I1831" s="2" t="n">
        <v>208</v>
      </c>
      <c r="J1831" s="2" t="n">
        <v>230</v>
      </c>
      <c r="L1831" s="3" t="n"/>
      <c r="M1831" s="3" t="n"/>
      <c r="N1831" s="3" t="n">
        <v>100</v>
      </c>
      <c r="O1831" s="3" t="n"/>
      <c r="P1831" s="3">
        <f>IF(L1831&lt;&gt;"",L1831/1.4,"")</f>
        <v/>
      </c>
      <c r="Q1831" s="3">
        <f>IF(L1831&lt;&gt;"",L1831/1.56,"")</f>
        <v/>
      </c>
      <c r="R1831" s="3">
        <f>IF(M1831&lt;&gt;"",M1831/1.4,"")</f>
        <v/>
      </c>
      <c r="S1831" s="3">
        <f>IF(M1831&lt;&gt;"",M1831/1.56,"")</f>
        <v/>
      </c>
      <c r="T1831" s="3">
        <f>IF(N1831&lt;&gt;"",N1831,IF(O1831&lt;&gt;"",O1831,IF(L1831&lt;&gt;"",L1831/1.56,IF(M1831&lt;&gt;"",M1831/1.56,""))))</f>
        <v/>
      </c>
      <c r="U1831" s="3" t="n">
        <v>470</v>
      </c>
      <c r="V1831" s="3" t="n">
        <v>292</v>
      </c>
      <c r="W1831" s="3" t="n"/>
      <c r="X1831" s="4" t="n"/>
      <c r="Y1831" s="5" t="n">
        <v>0.111</v>
      </c>
      <c r="Z1831" s="4">
        <f>IF(L1831&lt;&gt;"",SQRT(3)*G1831*L1831/1000,"")</f>
        <v/>
      </c>
      <c r="AA1831" t="inlineStr">
        <is>
          <t>Source=Copeland 2D/3D/4D/4R/6D/8D/9R compressors (pdf) p96; PWS_RLA=50.0</t>
        </is>
      </c>
      <c r="AB1831" t="inlineStr">
        <is>
          <t>Copeland_RLA_230_460_3ph_60Hz.xlsx</t>
        </is>
      </c>
      <c r="AC1831" t="inlineStr">
        <is>
          <t>Recip_2D-9R</t>
        </is>
      </c>
    </row>
    <row r="1832">
      <c r="A1832" t="inlineStr">
        <is>
          <t>COPELAND</t>
        </is>
      </c>
      <c r="B1832" t="inlineStr">
        <is>
          <t>6DS3R28ML-TSK</t>
        </is>
      </c>
      <c r="D1832" t="inlineStr">
        <is>
          <t>Reciprocating Semi-hermetic</t>
        </is>
      </c>
      <c r="E1832" s="2" t="n">
        <v>3</v>
      </c>
      <c r="F1832" s="2" t="n">
        <v>60</v>
      </c>
      <c r="G1832" s="2" t="n">
        <v>460</v>
      </c>
      <c r="H1832" t="inlineStr">
        <is>
          <t>460</t>
        </is>
      </c>
      <c r="I1832" s="2" t="n">
        <v>460</v>
      </c>
      <c r="J1832" s="2" t="n">
        <v>460</v>
      </c>
      <c r="L1832" s="3" t="n"/>
      <c r="M1832" s="3" t="n"/>
      <c r="N1832" s="3" t="n">
        <v>50</v>
      </c>
      <c r="O1832" s="3" t="n"/>
      <c r="P1832" s="3">
        <f>IF(L1832&lt;&gt;"",L1832/1.4,"")</f>
        <v/>
      </c>
      <c r="Q1832" s="3">
        <f>IF(L1832&lt;&gt;"",L1832/1.56,"")</f>
        <v/>
      </c>
      <c r="R1832" s="3">
        <f>IF(M1832&lt;&gt;"",M1832/1.4,"")</f>
        <v/>
      </c>
      <c r="S1832" s="3">
        <f>IF(M1832&lt;&gt;"",M1832/1.56,"")</f>
        <v/>
      </c>
      <c r="T1832" s="3">
        <f>IF(N1832&lt;&gt;"",N1832,IF(O1832&lt;&gt;"",O1832,IF(L1832&lt;&gt;"",L1832/1.56,IF(M1832&lt;&gt;"",M1832/1.56,""))))</f>
        <v/>
      </c>
      <c r="U1832" s="3" t="n">
        <v>235</v>
      </c>
      <c r="V1832" s="3" t="n"/>
      <c r="W1832" s="3" t="n"/>
      <c r="X1832" s="4" t="n"/>
      <c r="Y1832" s="5" t="n">
        <v>0.444</v>
      </c>
      <c r="Z1832" s="4">
        <f>IF(L1832&lt;&gt;"",SQRT(3)*G1832*L1832/1000,"")</f>
        <v/>
      </c>
      <c r="AA1832" t="inlineStr">
        <is>
          <t>Source=Copeland 2D/3D/4D/4R/6D/8D/9R compressors (pdf) p96</t>
        </is>
      </c>
      <c r="AB1832" t="inlineStr">
        <is>
          <t>Copeland_RLA_230_460_3ph_60Hz.xlsx</t>
        </is>
      </c>
      <c r="AC1832" t="inlineStr">
        <is>
          <t>Recip_2D-9R</t>
        </is>
      </c>
    </row>
    <row r="1833">
      <c r="A1833" t="inlineStr">
        <is>
          <t>COPELAND</t>
        </is>
      </c>
      <c r="B1833" t="inlineStr">
        <is>
          <t>6DS3R40M0-FSD</t>
        </is>
      </c>
      <c r="D1833" t="inlineStr">
        <is>
          <t>Reciprocating Semi-hermetic</t>
        </is>
      </c>
      <c r="E1833" s="2" t="n">
        <v>3</v>
      </c>
      <c r="F1833" s="2" t="n">
        <v>60</v>
      </c>
      <c r="G1833" s="2" t="n">
        <v>460</v>
      </c>
      <c r="H1833" t="inlineStr">
        <is>
          <t>460</t>
        </is>
      </c>
      <c r="I1833" s="2" t="n">
        <v>460</v>
      </c>
      <c r="J1833" s="2" t="n">
        <v>460</v>
      </c>
      <c r="L1833" s="3" t="n"/>
      <c r="M1833" s="3" t="n"/>
      <c r="N1833" s="3" t="n">
        <v>70</v>
      </c>
      <c r="O1833" s="3" t="n"/>
      <c r="P1833" s="3">
        <f>IF(L1833&lt;&gt;"",L1833/1.4,"")</f>
        <v/>
      </c>
      <c r="Q1833" s="3">
        <f>IF(L1833&lt;&gt;"",L1833/1.56,"")</f>
        <v/>
      </c>
      <c r="R1833" s="3">
        <f>IF(M1833&lt;&gt;"",M1833/1.4,"")</f>
        <v/>
      </c>
      <c r="S1833" s="3">
        <f>IF(M1833&lt;&gt;"",M1833/1.56,"")</f>
        <v/>
      </c>
      <c r="T1833" s="3">
        <f>IF(N1833&lt;&gt;"",N1833,IF(O1833&lt;&gt;"",O1833,IF(L1833&lt;&gt;"",L1833/1.56,IF(M1833&lt;&gt;"",M1833/1.56,""))))</f>
        <v/>
      </c>
      <c r="U1833" s="3" t="n">
        <v>315</v>
      </c>
      <c r="V1833" s="3" t="n">
        <v>195</v>
      </c>
      <c r="W1833" s="3" t="n"/>
      <c r="X1833" s="4" t="n"/>
      <c r="Y1833" s="5" t="n">
        <v>0.32</v>
      </c>
      <c r="Z1833" s="4">
        <f>IF(L1833&lt;&gt;"",SQRT(3)*G1833*L1833/1000,"")</f>
        <v/>
      </c>
      <c r="AA1833" t="inlineStr">
        <is>
          <t>Source=Copeland 2D/3D/4D/4R/6D/8D/9R compressors (pdf) p96; PWS_RLA=35.0</t>
        </is>
      </c>
      <c r="AB1833" t="inlineStr">
        <is>
          <t>Copeland_RLA_230_460_3ph_60Hz.xlsx</t>
        </is>
      </c>
      <c r="AC1833" t="inlineStr">
        <is>
          <t>Recip_2D-9R</t>
        </is>
      </c>
    </row>
    <row r="1834">
      <c r="A1834" t="inlineStr">
        <is>
          <t>COPELAND</t>
        </is>
      </c>
      <c r="B1834" t="inlineStr">
        <is>
          <t>6DS3R40M0-TSN</t>
        </is>
      </c>
      <c r="D1834" t="inlineStr">
        <is>
          <t>Reciprocating Semi-hermetic</t>
        </is>
      </c>
      <c r="E1834" s="2" t="n">
        <v>3</v>
      </c>
      <c r="F1834" s="2" t="n">
        <v>60</v>
      </c>
      <c r="G1834" s="2" t="n">
        <v>230</v>
      </c>
      <c r="H1834" t="inlineStr">
        <is>
          <t>230</t>
        </is>
      </c>
      <c r="I1834" s="2" t="n">
        <v>230</v>
      </c>
      <c r="J1834" s="2" t="n">
        <v>230</v>
      </c>
      <c r="L1834" s="3" t="n"/>
      <c r="M1834" s="3" t="n"/>
      <c r="N1834" s="3" t="n">
        <v>141.4</v>
      </c>
      <c r="O1834" s="3" t="n"/>
      <c r="P1834" s="3">
        <f>IF(L1834&lt;&gt;"",L1834/1.4,"")</f>
        <v/>
      </c>
      <c r="Q1834" s="3">
        <f>IF(L1834&lt;&gt;"",L1834/1.56,"")</f>
        <v/>
      </c>
      <c r="R1834" s="3">
        <f>IF(M1834&lt;&gt;"",M1834/1.4,"")</f>
        <v/>
      </c>
      <c r="S1834" s="3">
        <f>IF(M1834&lt;&gt;"",M1834/1.56,"")</f>
        <v/>
      </c>
      <c r="T1834" s="3">
        <f>IF(N1834&lt;&gt;"",N1834,IF(O1834&lt;&gt;"",O1834,IF(L1834&lt;&gt;"",L1834/1.56,IF(M1834&lt;&gt;"",M1834/1.56,""))))</f>
        <v/>
      </c>
      <c r="U1834" s="3" t="n">
        <v>594</v>
      </c>
      <c r="V1834" s="3" t="n">
        <v>340</v>
      </c>
      <c r="W1834" s="3" t="n"/>
      <c r="X1834" s="4" t="n"/>
      <c r="Y1834" s="5" t="n">
        <v>0.08500000000000001</v>
      </c>
      <c r="Z1834" s="4">
        <f>IF(L1834&lt;&gt;"",SQRT(3)*G1834*L1834/1000,"")</f>
        <v/>
      </c>
      <c r="AA1834" t="inlineStr">
        <is>
          <t>Source=Copeland 2D/3D/4D/4R/6D/8D/9R compressors (pdf) p97; PWS_RLA=71.0</t>
        </is>
      </c>
      <c r="AB1834" t="inlineStr">
        <is>
          <t>Copeland_RLA_230_460_3ph_60Hz.xlsx</t>
        </is>
      </c>
      <c r="AC1834" t="inlineStr">
        <is>
          <t>Recip_2D-9R</t>
        </is>
      </c>
    </row>
    <row r="1835">
      <c r="A1835" t="inlineStr">
        <is>
          <t>COPELAND</t>
        </is>
      </c>
      <c r="B1835" t="inlineStr">
        <is>
          <t>6DS3R40M0-TSN</t>
        </is>
      </c>
      <c r="D1835" t="inlineStr">
        <is>
          <t>Reciprocating Semi-hermetic</t>
        </is>
      </c>
      <c r="E1835" s="2" t="n">
        <v>3</v>
      </c>
      <c r="F1835" s="2" t="n">
        <v>60</v>
      </c>
      <c r="G1835" s="2" t="n">
        <v>460</v>
      </c>
      <c r="H1835" t="inlineStr">
        <is>
          <t>460</t>
        </is>
      </c>
      <c r="I1835" s="2" t="n">
        <v>460</v>
      </c>
      <c r="J1835" s="2" t="n">
        <v>460</v>
      </c>
      <c r="L1835" s="3" t="n"/>
      <c r="M1835" s="3" t="n"/>
      <c r="N1835" s="3" t="n">
        <v>70.7</v>
      </c>
      <c r="O1835" s="3" t="n"/>
      <c r="P1835" s="3">
        <f>IF(L1835&lt;&gt;"",L1835/1.4,"")</f>
        <v/>
      </c>
      <c r="Q1835" s="3">
        <f>IF(L1835&lt;&gt;"",L1835/1.56,"")</f>
        <v/>
      </c>
      <c r="R1835" s="3">
        <f>IF(M1835&lt;&gt;"",M1835/1.4,"")</f>
        <v/>
      </c>
      <c r="S1835" s="3">
        <f>IF(M1835&lt;&gt;"",M1835/1.56,"")</f>
        <v/>
      </c>
      <c r="T1835" s="3">
        <f>IF(N1835&lt;&gt;"",N1835,IF(O1835&lt;&gt;"",O1835,IF(L1835&lt;&gt;"",L1835/1.56,IF(M1835&lt;&gt;"",M1835/1.56,""))))</f>
        <v/>
      </c>
      <c r="U1835" s="3" t="n">
        <v>297</v>
      </c>
      <c r="V1835" s="3" t="n"/>
      <c r="W1835" s="3" t="n"/>
      <c r="X1835" s="4" t="n"/>
      <c r="Y1835" s="5" t="n">
        <v>0.34</v>
      </c>
      <c r="Z1835" s="4">
        <f>IF(L1835&lt;&gt;"",SQRT(3)*G1835*L1835/1000,"")</f>
        <v/>
      </c>
      <c r="AA1835" t="inlineStr">
        <is>
          <t>Source=Copeland 2D/3D/4D/4R/6D/8D/9R compressors (pdf) p97</t>
        </is>
      </c>
      <c r="AB1835" t="inlineStr">
        <is>
          <t>Copeland_RLA_230_460_3ph_60Hz.xlsx</t>
        </is>
      </c>
      <c r="AC1835" t="inlineStr">
        <is>
          <t>Recip_2D-9R</t>
        </is>
      </c>
    </row>
    <row r="1836">
      <c r="A1836" t="inlineStr">
        <is>
          <t>COPELAND</t>
        </is>
      </c>
      <c r="B1836" t="inlineStr">
        <is>
          <t>6DS3R40ME-FSD</t>
        </is>
      </c>
      <c r="D1836" t="inlineStr">
        <is>
          <t>Reciprocating Semi-hermetic</t>
        </is>
      </c>
      <c r="E1836" s="2" t="n">
        <v>3</v>
      </c>
      <c r="F1836" s="2" t="n">
        <v>60</v>
      </c>
      <c r="G1836" s="2" t="n">
        <v>460</v>
      </c>
      <c r="H1836" t="inlineStr">
        <is>
          <t>460</t>
        </is>
      </c>
      <c r="I1836" s="2" t="n">
        <v>460</v>
      </c>
      <c r="J1836" s="2" t="n">
        <v>460</v>
      </c>
      <c r="L1836" s="3" t="n"/>
      <c r="M1836" s="3" t="n"/>
      <c r="N1836" s="3" t="n">
        <v>86.40000000000001</v>
      </c>
      <c r="O1836" s="3" t="n"/>
      <c r="P1836" s="3">
        <f>IF(L1836&lt;&gt;"",L1836/1.4,"")</f>
        <v/>
      </c>
      <c r="Q1836" s="3">
        <f>IF(L1836&lt;&gt;"",L1836/1.56,"")</f>
        <v/>
      </c>
      <c r="R1836" s="3">
        <f>IF(M1836&lt;&gt;"",M1836/1.4,"")</f>
        <v/>
      </c>
      <c r="S1836" s="3">
        <f>IF(M1836&lt;&gt;"",M1836/1.56,"")</f>
        <v/>
      </c>
      <c r="T1836" s="3">
        <f>IF(N1836&lt;&gt;"",N1836,IF(O1836&lt;&gt;"",O1836,IF(L1836&lt;&gt;"",L1836/1.56,IF(M1836&lt;&gt;"",M1836/1.56,""))))</f>
        <v/>
      </c>
      <c r="U1836" s="3" t="n">
        <v>315</v>
      </c>
      <c r="V1836" s="3" t="n">
        <v>195</v>
      </c>
      <c r="W1836" s="3" t="n"/>
      <c r="X1836" s="4" t="n"/>
      <c r="Y1836" s="5" t="n">
        <v>0.32</v>
      </c>
      <c r="Z1836" s="4">
        <f>IF(L1836&lt;&gt;"",SQRT(3)*G1836*L1836/1000,"")</f>
        <v/>
      </c>
      <c r="AA1836" t="inlineStr">
        <is>
          <t>Source=Copeland 2D/3D/4D/4R/6D/8D/9R compressors (pdf) p97; PWS_RLA=43.2</t>
        </is>
      </c>
      <c r="AB1836" t="inlineStr">
        <is>
          <t>Copeland_RLA_230_460_3ph_60Hz.xlsx</t>
        </is>
      </c>
      <c r="AC1836" t="inlineStr">
        <is>
          <t>Recip_2D-9R</t>
        </is>
      </c>
    </row>
    <row r="1837">
      <c r="A1837" t="inlineStr">
        <is>
          <t>COPELAND</t>
        </is>
      </c>
      <c r="B1837" t="inlineStr">
        <is>
          <t>6DS3R40ME-TSN</t>
        </is>
      </c>
      <c r="D1837" t="inlineStr">
        <is>
          <t>Reciprocating Semi-hermetic</t>
        </is>
      </c>
      <c r="E1837" s="2" t="n">
        <v>3</v>
      </c>
      <c r="F1837" s="2" t="n">
        <v>60</v>
      </c>
      <c r="G1837" s="2" t="n">
        <v>230</v>
      </c>
      <c r="H1837" t="inlineStr">
        <is>
          <t>230</t>
        </is>
      </c>
      <c r="I1837" s="2" t="n">
        <v>230</v>
      </c>
      <c r="J1837" s="2" t="n">
        <v>230</v>
      </c>
      <c r="L1837" s="3" t="n"/>
      <c r="M1837" s="3" t="n"/>
      <c r="N1837" s="3" t="n">
        <v>158.6</v>
      </c>
      <c r="O1837" s="3" t="n"/>
      <c r="P1837" s="3">
        <f>IF(L1837&lt;&gt;"",L1837/1.4,"")</f>
        <v/>
      </c>
      <c r="Q1837" s="3">
        <f>IF(L1837&lt;&gt;"",L1837/1.56,"")</f>
        <v/>
      </c>
      <c r="R1837" s="3">
        <f>IF(M1837&lt;&gt;"",M1837/1.4,"")</f>
        <v/>
      </c>
      <c r="S1837" s="3">
        <f>IF(M1837&lt;&gt;"",M1837/1.56,"")</f>
        <v/>
      </c>
      <c r="T1837" s="3">
        <f>IF(N1837&lt;&gt;"",N1837,IF(O1837&lt;&gt;"",O1837,IF(L1837&lt;&gt;"",L1837/1.56,IF(M1837&lt;&gt;"",M1837/1.56,""))))</f>
        <v/>
      </c>
      <c r="U1837" s="3" t="n">
        <v>594</v>
      </c>
      <c r="V1837" s="3" t="n">
        <v>340</v>
      </c>
      <c r="W1837" s="3" t="n"/>
      <c r="X1837" s="4" t="n"/>
      <c r="Y1837" s="5" t="n">
        <v>0.08500000000000001</v>
      </c>
      <c r="Z1837" s="4">
        <f>IF(L1837&lt;&gt;"",SQRT(3)*G1837*L1837/1000,"")</f>
        <v/>
      </c>
      <c r="AA1837" t="inlineStr">
        <is>
          <t>Source=Copeland 2D/3D/4D/4R/6D/8D/9R compressors (pdf) p97; PWS_RLA=79.3</t>
        </is>
      </c>
      <c r="AB1837" t="inlineStr">
        <is>
          <t>Copeland_RLA_230_460_3ph_60Hz.xlsx</t>
        </is>
      </c>
      <c r="AC1837" t="inlineStr">
        <is>
          <t>Recip_2D-9R</t>
        </is>
      </c>
    </row>
    <row r="1838">
      <c r="A1838" t="inlineStr">
        <is>
          <t>COPELAND</t>
        </is>
      </c>
      <c r="B1838" t="inlineStr">
        <is>
          <t>6DS3R40ME-TSN</t>
        </is>
      </c>
      <c r="D1838" t="inlineStr">
        <is>
          <t>Reciprocating Semi-hermetic</t>
        </is>
      </c>
      <c r="E1838" s="2" t="n">
        <v>3</v>
      </c>
      <c r="F1838" s="2" t="n">
        <v>60</v>
      </c>
      <c r="G1838" s="2" t="n">
        <v>460</v>
      </c>
      <c r="H1838" t="inlineStr">
        <is>
          <t>460</t>
        </is>
      </c>
      <c r="I1838" s="2" t="n">
        <v>460</v>
      </c>
      <c r="J1838" s="2" t="n">
        <v>460</v>
      </c>
      <c r="L1838" s="3" t="n"/>
      <c r="M1838" s="3" t="n"/>
      <c r="N1838" s="3" t="n">
        <v>79.3</v>
      </c>
      <c r="O1838" s="3" t="n"/>
      <c r="P1838" s="3">
        <f>IF(L1838&lt;&gt;"",L1838/1.4,"")</f>
        <v/>
      </c>
      <c r="Q1838" s="3">
        <f>IF(L1838&lt;&gt;"",L1838/1.56,"")</f>
        <v/>
      </c>
      <c r="R1838" s="3">
        <f>IF(M1838&lt;&gt;"",M1838/1.4,"")</f>
        <v/>
      </c>
      <c r="S1838" s="3">
        <f>IF(M1838&lt;&gt;"",M1838/1.56,"")</f>
        <v/>
      </c>
      <c r="T1838" s="3">
        <f>IF(N1838&lt;&gt;"",N1838,IF(O1838&lt;&gt;"",O1838,IF(L1838&lt;&gt;"",L1838/1.56,IF(M1838&lt;&gt;"",M1838/1.56,""))))</f>
        <v/>
      </c>
      <c r="U1838" s="3" t="n">
        <v>297</v>
      </c>
      <c r="V1838" s="3" t="n"/>
      <c r="W1838" s="3" t="n"/>
      <c r="X1838" s="4" t="n"/>
      <c r="Y1838" s="5" t="n">
        <v>0.34</v>
      </c>
      <c r="Z1838" s="4">
        <f>IF(L1838&lt;&gt;"",SQRT(3)*G1838*L1838/1000,"")</f>
        <v/>
      </c>
      <c r="AA1838" t="inlineStr">
        <is>
          <t>Source=Copeland 2D/3D/4D/4R/6D/8D/9R compressors (pdf) p97</t>
        </is>
      </c>
      <c r="AB1838" t="inlineStr">
        <is>
          <t>Copeland_RLA_230_460_3ph_60Hz.xlsx</t>
        </is>
      </c>
      <c r="AC1838" t="inlineStr">
        <is>
          <t>Recip_2D-9R</t>
        </is>
      </c>
    </row>
    <row r="1839">
      <c r="A1839" t="inlineStr">
        <is>
          <t>COPELAND</t>
        </is>
      </c>
      <c r="B1839" t="inlineStr">
        <is>
          <t>6DS3R40ML-FSD</t>
        </is>
      </c>
      <c r="D1839" t="inlineStr">
        <is>
          <t>Reciprocating Semi-hermetic</t>
        </is>
      </c>
      <c r="E1839" s="2" t="n">
        <v>3</v>
      </c>
      <c r="F1839" s="2" t="n">
        <v>60</v>
      </c>
      <c r="G1839" s="2" t="n">
        <v>460</v>
      </c>
      <c r="H1839" t="inlineStr">
        <is>
          <t>460</t>
        </is>
      </c>
      <c r="I1839" s="2" t="n">
        <v>460</v>
      </c>
      <c r="J1839" s="2" t="n">
        <v>460</v>
      </c>
      <c r="L1839" s="3" t="n"/>
      <c r="M1839" s="3" t="n"/>
      <c r="N1839" s="3" t="n">
        <v>86.40000000000001</v>
      </c>
      <c r="O1839" s="3" t="n"/>
      <c r="P1839" s="3">
        <f>IF(L1839&lt;&gt;"",L1839/1.4,"")</f>
        <v/>
      </c>
      <c r="Q1839" s="3">
        <f>IF(L1839&lt;&gt;"",L1839/1.56,"")</f>
        <v/>
      </c>
      <c r="R1839" s="3">
        <f>IF(M1839&lt;&gt;"",M1839/1.4,"")</f>
        <v/>
      </c>
      <c r="S1839" s="3">
        <f>IF(M1839&lt;&gt;"",M1839/1.56,"")</f>
        <v/>
      </c>
      <c r="T1839" s="3">
        <f>IF(N1839&lt;&gt;"",N1839,IF(O1839&lt;&gt;"",O1839,IF(L1839&lt;&gt;"",L1839/1.56,IF(M1839&lt;&gt;"",M1839/1.56,""))))</f>
        <v/>
      </c>
      <c r="U1839" s="3" t="n">
        <v>315</v>
      </c>
      <c r="V1839" s="3" t="n">
        <v>195</v>
      </c>
      <c r="W1839" s="3" t="n"/>
      <c r="X1839" s="4" t="n"/>
      <c r="Y1839" s="5" t="n">
        <v>0.32</v>
      </c>
      <c r="Z1839" s="4">
        <f>IF(L1839&lt;&gt;"",SQRT(3)*G1839*L1839/1000,"")</f>
        <v/>
      </c>
      <c r="AA1839" t="inlineStr">
        <is>
          <t>Source=Copeland 2D/3D/4D/4R/6D/8D/9R compressors (pdf) p97; PWS_RLA=43.2</t>
        </is>
      </c>
      <c r="AB1839" t="inlineStr">
        <is>
          <t>Copeland_RLA_230_460_3ph_60Hz.xlsx</t>
        </is>
      </c>
      <c r="AC1839" t="inlineStr">
        <is>
          <t>Recip_2D-9R</t>
        </is>
      </c>
    </row>
    <row r="1840">
      <c r="A1840" t="inlineStr">
        <is>
          <t>COPELAND</t>
        </is>
      </c>
      <c r="B1840" t="inlineStr">
        <is>
          <t>6DS3R40ML-TSN</t>
        </is>
      </c>
      <c r="D1840" t="inlineStr">
        <is>
          <t>Reciprocating Semi-hermetic</t>
        </is>
      </c>
      <c r="E1840" s="2" t="n">
        <v>3</v>
      </c>
      <c r="F1840" s="2" t="n">
        <v>60</v>
      </c>
      <c r="G1840" s="2" t="n">
        <v>230</v>
      </c>
      <c r="H1840" t="inlineStr">
        <is>
          <t>230</t>
        </is>
      </c>
      <c r="I1840" s="2" t="n">
        <v>230</v>
      </c>
      <c r="J1840" s="2" t="n">
        <v>230</v>
      </c>
      <c r="L1840" s="3" t="n"/>
      <c r="M1840" s="3" t="n"/>
      <c r="N1840" s="3" t="n">
        <v>158.6</v>
      </c>
      <c r="O1840" s="3" t="n"/>
      <c r="P1840" s="3">
        <f>IF(L1840&lt;&gt;"",L1840/1.4,"")</f>
        <v/>
      </c>
      <c r="Q1840" s="3">
        <f>IF(L1840&lt;&gt;"",L1840/1.56,"")</f>
        <v/>
      </c>
      <c r="R1840" s="3">
        <f>IF(M1840&lt;&gt;"",M1840/1.4,"")</f>
        <v/>
      </c>
      <c r="S1840" s="3">
        <f>IF(M1840&lt;&gt;"",M1840/1.56,"")</f>
        <v/>
      </c>
      <c r="T1840" s="3">
        <f>IF(N1840&lt;&gt;"",N1840,IF(O1840&lt;&gt;"",O1840,IF(L1840&lt;&gt;"",L1840/1.56,IF(M1840&lt;&gt;"",M1840/1.56,""))))</f>
        <v/>
      </c>
      <c r="U1840" s="3" t="n">
        <v>594</v>
      </c>
      <c r="V1840" s="3" t="n">
        <v>340</v>
      </c>
      <c r="W1840" s="3" t="n"/>
      <c r="X1840" s="4" t="n"/>
      <c r="Y1840" s="5" t="n">
        <v>0.08500000000000001</v>
      </c>
      <c r="Z1840" s="4">
        <f>IF(L1840&lt;&gt;"",SQRT(3)*G1840*L1840/1000,"")</f>
        <v/>
      </c>
      <c r="AA1840" t="inlineStr">
        <is>
          <t>Source=Copeland 2D/3D/4D/4R/6D/8D/9R compressors (pdf) p97; PWS_RLA=79.3</t>
        </is>
      </c>
      <c r="AB1840" t="inlineStr">
        <is>
          <t>Copeland_RLA_230_460_3ph_60Hz.xlsx</t>
        </is>
      </c>
      <c r="AC1840" t="inlineStr">
        <is>
          <t>Recip_2D-9R</t>
        </is>
      </c>
    </row>
    <row r="1841">
      <c r="A1841" t="inlineStr">
        <is>
          <t>COPELAND</t>
        </is>
      </c>
      <c r="B1841" t="inlineStr">
        <is>
          <t>6DS3R40ML-TSN</t>
        </is>
      </c>
      <c r="D1841" t="inlineStr">
        <is>
          <t>Reciprocating Semi-hermetic</t>
        </is>
      </c>
      <c r="E1841" s="2" t="n">
        <v>3</v>
      </c>
      <c r="F1841" s="2" t="n">
        <v>60</v>
      </c>
      <c r="G1841" s="2" t="n">
        <v>460</v>
      </c>
      <c r="H1841" t="inlineStr">
        <is>
          <t>460</t>
        </is>
      </c>
      <c r="I1841" s="2" t="n">
        <v>460</v>
      </c>
      <c r="J1841" s="2" t="n">
        <v>460</v>
      </c>
      <c r="L1841" s="3" t="n"/>
      <c r="M1841" s="3" t="n"/>
      <c r="N1841" s="3" t="n">
        <v>79.3</v>
      </c>
      <c r="O1841" s="3" t="n"/>
      <c r="P1841" s="3">
        <f>IF(L1841&lt;&gt;"",L1841/1.4,"")</f>
        <v/>
      </c>
      <c r="Q1841" s="3">
        <f>IF(L1841&lt;&gt;"",L1841/1.56,"")</f>
        <v/>
      </c>
      <c r="R1841" s="3">
        <f>IF(M1841&lt;&gt;"",M1841/1.4,"")</f>
        <v/>
      </c>
      <c r="S1841" s="3">
        <f>IF(M1841&lt;&gt;"",M1841/1.56,"")</f>
        <v/>
      </c>
      <c r="T1841" s="3">
        <f>IF(N1841&lt;&gt;"",N1841,IF(O1841&lt;&gt;"",O1841,IF(L1841&lt;&gt;"",L1841/1.56,IF(M1841&lt;&gt;"",M1841/1.56,""))))</f>
        <v/>
      </c>
      <c r="U1841" s="3" t="n">
        <v>297</v>
      </c>
      <c r="V1841" s="3" t="n"/>
      <c r="W1841" s="3" t="n"/>
      <c r="X1841" s="4" t="n"/>
      <c r="Y1841" s="5" t="n">
        <v>0.34</v>
      </c>
      <c r="Z1841" s="4">
        <f>IF(L1841&lt;&gt;"",SQRT(3)*G1841*L1841/1000,"")</f>
        <v/>
      </c>
      <c r="AA1841" t="inlineStr">
        <is>
          <t>Source=Copeland 2D/3D/4D/4R/6D/8D/9R compressors (pdf) p97</t>
        </is>
      </c>
      <c r="AB1841" t="inlineStr">
        <is>
          <t>Copeland_RLA_230_460_3ph_60Hz.xlsx</t>
        </is>
      </c>
      <c r="AC1841" t="inlineStr">
        <is>
          <t>Recip_2D-9R</t>
        </is>
      </c>
    </row>
    <row r="1842">
      <c r="A1842" t="inlineStr">
        <is>
          <t>COPELAND</t>
        </is>
      </c>
      <c r="B1842" t="inlineStr">
        <is>
          <t>6DS6-4000-FSD</t>
        </is>
      </c>
      <c r="D1842" t="inlineStr">
        <is>
          <t>Reciprocating Semi-hermetic</t>
        </is>
      </c>
      <c r="E1842" s="2" t="n">
        <v>3</v>
      </c>
      <c r="F1842" s="2" t="n">
        <v>60</v>
      </c>
      <c r="G1842" s="2" t="n">
        <v>460</v>
      </c>
      <c r="H1842" t="inlineStr">
        <is>
          <t>460</t>
        </is>
      </c>
      <c r="I1842" s="2" t="n">
        <v>460</v>
      </c>
      <c r="J1842" s="2" t="n">
        <v>460</v>
      </c>
      <c r="L1842" s="3" t="n"/>
      <c r="M1842" s="3" t="n"/>
      <c r="N1842" s="3" t="n">
        <v>69.3</v>
      </c>
      <c r="O1842" s="3" t="n"/>
      <c r="P1842" s="3">
        <f>IF(L1842&lt;&gt;"",L1842/1.4,"")</f>
        <v/>
      </c>
      <c r="Q1842" s="3">
        <f>IF(L1842&lt;&gt;"",L1842/1.56,"")</f>
        <v/>
      </c>
      <c r="R1842" s="3">
        <f>IF(M1842&lt;&gt;"",M1842/1.4,"")</f>
        <v/>
      </c>
      <c r="S1842" s="3">
        <f>IF(M1842&lt;&gt;"",M1842/1.56,"")</f>
        <v/>
      </c>
      <c r="T1842" s="3">
        <f>IF(N1842&lt;&gt;"",N1842,IF(O1842&lt;&gt;"",O1842,IF(L1842&lt;&gt;"",L1842/1.56,IF(M1842&lt;&gt;"",M1842/1.56,""))))</f>
        <v/>
      </c>
      <c r="U1842" s="3" t="n">
        <v>300</v>
      </c>
      <c r="V1842" s="3" t="n">
        <v>170</v>
      </c>
      <c r="W1842" s="3" t="n"/>
      <c r="X1842" s="4" t="n"/>
      <c r="Y1842" s="5" t="n">
        <v>0.352</v>
      </c>
      <c r="Z1842" s="4">
        <f>IF(L1842&lt;&gt;"",SQRT(3)*G1842*L1842/1000,"")</f>
        <v/>
      </c>
      <c r="AA1842" t="inlineStr">
        <is>
          <t>Source=Copeland 2D/3D/4D/4R/6D/8D/9R compressors (pdf) p97; PWS_RLA=34.7</t>
        </is>
      </c>
      <c r="AB1842" t="inlineStr">
        <is>
          <t>Copeland_RLA_230_460_3ph_60Hz.xlsx</t>
        </is>
      </c>
      <c r="AC1842" t="inlineStr">
        <is>
          <t>Recip_2D-9R</t>
        </is>
      </c>
    </row>
    <row r="1843">
      <c r="A1843" t="inlineStr">
        <is>
          <t>COPELAND</t>
        </is>
      </c>
      <c r="B1843" t="inlineStr">
        <is>
          <t>6DS6A4000-FSD</t>
        </is>
      </c>
      <c r="D1843" t="inlineStr">
        <is>
          <t>Reciprocating Semi-hermetic</t>
        </is>
      </c>
      <c r="E1843" s="2" t="n">
        <v>3</v>
      </c>
      <c r="F1843" s="2" t="n">
        <v>60</v>
      </c>
      <c r="G1843" s="2" t="n">
        <v>460</v>
      </c>
      <c r="H1843" t="inlineStr">
        <is>
          <t>460</t>
        </is>
      </c>
      <c r="I1843" s="2" t="n">
        <v>460</v>
      </c>
      <c r="J1843" s="2" t="n">
        <v>460</v>
      </c>
      <c r="L1843" s="3" t="n"/>
      <c r="M1843" s="3" t="n"/>
      <c r="N1843" s="3" t="n">
        <v>69.3</v>
      </c>
      <c r="O1843" s="3" t="n"/>
      <c r="P1843" s="3">
        <f>IF(L1843&lt;&gt;"",L1843/1.4,"")</f>
        <v/>
      </c>
      <c r="Q1843" s="3">
        <f>IF(L1843&lt;&gt;"",L1843/1.56,"")</f>
        <v/>
      </c>
      <c r="R1843" s="3">
        <f>IF(M1843&lt;&gt;"",M1843/1.4,"")</f>
        <v/>
      </c>
      <c r="S1843" s="3">
        <f>IF(M1843&lt;&gt;"",M1843/1.56,"")</f>
        <v/>
      </c>
      <c r="T1843" s="3">
        <f>IF(N1843&lt;&gt;"",N1843,IF(O1843&lt;&gt;"",O1843,IF(L1843&lt;&gt;"",L1843/1.56,IF(M1843&lt;&gt;"",M1843/1.56,""))))</f>
        <v/>
      </c>
      <c r="U1843" s="3" t="n">
        <v>300</v>
      </c>
      <c r="V1843" s="3" t="n">
        <v>170</v>
      </c>
      <c r="W1843" s="3" t="n"/>
      <c r="X1843" s="4" t="n"/>
      <c r="Y1843" s="5" t="n">
        <v>0.352</v>
      </c>
      <c r="Z1843" s="4">
        <f>IF(L1843&lt;&gt;"",SQRT(3)*G1843*L1843/1000,"")</f>
        <v/>
      </c>
      <c r="AA1843" t="inlineStr">
        <is>
          <t>Source=Copeland 2D/3D/4D/4R/6D/8D/9R compressors (pdf) p97; PWS_RLA=34.7</t>
        </is>
      </c>
      <c r="AB1843" t="inlineStr">
        <is>
          <t>Copeland_RLA_230_460_3ph_60Hz.xlsx</t>
        </is>
      </c>
      <c r="AC1843" t="inlineStr">
        <is>
          <t>Recip_2D-9R</t>
        </is>
      </c>
    </row>
    <row r="1844">
      <c r="A1844" t="inlineStr">
        <is>
          <t>COPELAND</t>
        </is>
      </c>
      <c r="B1844" t="inlineStr">
        <is>
          <t>6DSG-4000-FSD</t>
        </is>
      </c>
      <c r="D1844" t="inlineStr">
        <is>
          <t>Reciprocating Semi-hermetic</t>
        </is>
      </c>
      <c r="E1844" s="2" t="n">
        <v>3</v>
      </c>
      <c r="F1844" s="2" t="n">
        <v>60</v>
      </c>
      <c r="G1844" s="2" t="n">
        <v>460</v>
      </c>
      <c r="H1844" t="inlineStr">
        <is>
          <t>460</t>
        </is>
      </c>
      <c r="I1844" s="2" t="n">
        <v>460</v>
      </c>
      <c r="J1844" s="2" t="n">
        <v>460</v>
      </c>
      <c r="L1844" s="3" t="n"/>
      <c r="M1844" s="3" t="n"/>
      <c r="N1844" s="3" t="n">
        <v>70</v>
      </c>
      <c r="O1844" s="3" t="n"/>
      <c r="P1844" s="3">
        <f>IF(L1844&lt;&gt;"",L1844/1.4,"")</f>
        <v/>
      </c>
      <c r="Q1844" s="3">
        <f>IF(L1844&lt;&gt;"",L1844/1.56,"")</f>
        <v/>
      </c>
      <c r="R1844" s="3">
        <f>IF(M1844&lt;&gt;"",M1844/1.4,"")</f>
        <v/>
      </c>
      <c r="S1844" s="3">
        <f>IF(M1844&lt;&gt;"",M1844/1.56,"")</f>
        <v/>
      </c>
      <c r="T1844" s="3">
        <f>IF(N1844&lt;&gt;"",N1844,IF(O1844&lt;&gt;"",O1844,IF(L1844&lt;&gt;"",L1844/1.56,IF(M1844&lt;&gt;"",M1844/1.56,""))))</f>
        <v/>
      </c>
      <c r="U1844" s="3" t="n">
        <v>315</v>
      </c>
      <c r="V1844" s="3" t="n">
        <v>195</v>
      </c>
      <c r="W1844" s="3" t="n"/>
      <c r="X1844" s="4" t="n"/>
      <c r="Y1844" s="5" t="n">
        <v>0.32</v>
      </c>
      <c r="Z1844" s="4">
        <f>IF(L1844&lt;&gt;"",SQRT(3)*G1844*L1844/1000,"")</f>
        <v/>
      </c>
      <c r="AA1844" t="inlineStr">
        <is>
          <t>Source=Copeland 2D/3D/4D/4R/6D/8D/9R compressors (pdf) p97; PWS_RLA=35.0</t>
        </is>
      </c>
      <c r="AB1844" t="inlineStr">
        <is>
          <t>Copeland_RLA_230_460_3ph_60Hz.xlsx</t>
        </is>
      </c>
      <c r="AC1844" t="inlineStr">
        <is>
          <t>Recip_2D-9R</t>
        </is>
      </c>
    </row>
    <row r="1845">
      <c r="A1845" t="inlineStr">
        <is>
          <t>COPELAND</t>
        </is>
      </c>
      <c r="B1845" t="inlineStr">
        <is>
          <t>6DSG-4000-TSN</t>
        </is>
      </c>
      <c r="D1845" t="inlineStr">
        <is>
          <t>Reciprocating Semi-hermetic</t>
        </is>
      </c>
      <c r="E1845" s="2" t="n">
        <v>3</v>
      </c>
      <c r="F1845" s="2" t="n">
        <v>60</v>
      </c>
      <c r="G1845" s="2" t="n">
        <v>230</v>
      </c>
      <c r="H1845" t="inlineStr">
        <is>
          <t>230</t>
        </is>
      </c>
      <c r="I1845" s="2" t="n">
        <v>230</v>
      </c>
      <c r="J1845" s="2" t="n">
        <v>230</v>
      </c>
      <c r="L1845" s="3" t="n"/>
      <c r="M1845" s="3" t="n"/>
      <c r="N1845" s="3" t="n">
        <v>141.4</v>
      </c>
      <c r="O1845" s="3" t="n"/>
      <c r="P1845" s="3">
        <f>IF(L1845&lt;&gt;"",L1845/1.4,"")</f>
        <v/>
      </c>
      <c r="Q1845" s="3">
        <f>IF(L1845&lt;&gt;"",L1845/1.56,"")</f>
        <v/>
      </c>
      <c r="R1845" s="3">
        <f>IF(M1845&lt;&gt;"",M1845/1.4,"")</f>
        <v/>
      </c>
      <c r="S1845" s="3">
        <f>IF(M1845&lt;&gt;"",M1845/1.56,"")</f>
        <v/>
      </c>
      <c r="T1845" s="3">
        <f>IF(N1845&lt;&gt;"",N1845,IF(O1845&lt;&gt;"",O1845,IF(L1845&lt;&gt;"",L1845/1.56,IF(M1845&lt;&gt;"",M1845/1.56,""))))</f>
        <v/>
      </c>
      <c r="U1845" s="3" t="n">
        <v>594</v>
      </c>
      <c r="V1845" s="3" t="n">
        <v>340</v>
      </c>
      <c r="W1845" s="3" t="n"/>
      <c r="X1845" s="4" t="n"/>
      <c r="Y1845" s="5" t="n">
        <v>0.08500000000000001</v>
      </c>
      <c r="Z1845" s="4">
        <f>IF(L1845&lt;&gt;"",SQRT(3)*G1845*L1845/1000,"")</f>
        <v/>
      </c>
      <c r="AA1845" t="inlineStr">
        <is>
          <t>Source=Copeland 2D/3D/4D/4R/6D/8D/9R compressors (pdf) p97; PWS_RLA=71.0</t>
        </is>
      </c>
      <c r="AB1845" t="inlineStr">
        <is>
          <t>Copeland_RLA_230_460_3ph_60Hz.xlsx</t>
        </is>
      </c>
      <c r="AC1845" t="inlineStr">
        <is>
          <t>Recip_2D-9R</t>
        </is>
      </c>
    </row>
    <row r="1846">
      <c r="A1846" t="inlineStr">
        <is>
          <t>COPELAND</t>
        </is>
      </c>
      <c r="B1846" t="inlineStr">
        <is>
          <t>6DSG-4000-TSN</t>
        </is>
      </c>
      <c r="D1846" t="inlineStr">
        <is>
          <t>Reciprocating Semi-hermetic</t>
        </is>
      </c>
      <c r="E1846" s="2" t="n">
        <v>3</v>
      </c>
      <c r="F1846" s="2" t="n">
        <v>60</v>
      </c>
      <c r="G1846" s="2" t="n">
        <v>460</v>
      </c>
      <c r="H1846" t="inlineStr">
        <is>
          <t>460</t>
        </is>
      </c>
      <c r="I1846" s="2" t="n">
        <v>460</v>
      </c>
      <c r="J1846" s="2" t="n">
        <v>460</v>
      </c>
      <c r="L1846" s="3" t="n"/>
      <c r="M1846" s="3" t="n"/>
      <c r="N1846" s="3" t="n">
        <v>70.7</v>
      </c>
      <c r="O1846" s="3" t="n"/>
      <c r="P1846" s="3">
        <f>IF(L1846&lt;&gt;"",L1846/1.4,"")</f>
        <v/>
      </c>
      <c r="Q1846" s="3">
        <f>IF(L1846&lt;&gt;"",L1846/1.56,"")</f>
        <v/>
      </c>
      <c r="R1846" s="3">
        <f>IF(M1846&lt;&gt;"",M1846/1.4,"")</f>
        <v/>
      </c>
      <c r="S1846" s="3">
        <f>IF(M1846&lt;&gt;"",M1846/1.56,"")</f>
        <v/>
      </c>
      <c r="T1846" s="3">
        <f>IF(N1846&lt;&gt;"",N1846,IF(O1846&lt;&gt;"",O1846,IF(L1846&lt;&gt;"",L1846/1.56,IF(M1846&lt;&gt;"",M1846/1.56,""))))</f>
        <v/>
      </c>
      <c r="U1846" s="3" t="n">
        <v>297</v>
      </c>
      <c r="V1846" s="3" t="n"/>
      <c r="W1846" s="3" t="n"/>
      <c r="X1846" s="4" t="n"/>
      <c r="Y1846" s="5" t="n">
        <v>0.34</v>
      </c>
      <c r="Z1846" s="4">
        <f>IF(L1846&lt;&gt;"",SQRT(3)*G1846*L1846/1000,"")</f>
        <v/>
      </c>
      <c r="AA1846" t="inlineStr">
        <is>
          <t>Source=Copeland 2D/3D/4D/4R/6D/8D/9R compressors (pdf) p97</t>
        </is>
      </c>
      <c r="AB1846" t="inlineStr">
        <is>
          <t>Copeland_RLA_230_460_3ph_60Hz.xlsx</t>
        </is>
      </c>
      <c r="AC1846" t="inlineStr">
        <is>
          <t>Recip_2D-9R</t>
        </is>
      </c>
    </row>
    <row r="1847">
      <c r="A1847" t="inlineStr">
        <is>
          <t>COPELAND</t>
        </is>
      </c>
      <c r="B1847" t="inlineStr">
        <is>
          <t>6DSG-400E-FSD</t>
        </is>
      </c>
      <c r="D1847" t="inlineStr">
        <is>
          <t>Reciprocating Semi-hermetic</t>
        </is>
      </c>
      <c r="E1847" s="2" t="n">
        <v>3</v>
      </c>
      <c r="F1847" s="2" t="n">
        <v>60</v>
      </c>
      <c r="G1847" s="2" t="n">
        <v>460</v>
      </c>
      <c r="H1847" t="inlineStr">
        <is>
          <t>460</t>
        </is>
      </c>
      <c r="I1847" s="2" t="n">
        <v>460</v>
      </c>
      <c r="J1847" s="2" t="n">
        <v>460</v>
      </c>
      <c r="L1847" s="3" t="n"/>
      <c r="M1847" s="3" t="n"/>
      <c r="N1847" s="3" t="n">
        <v>70</v>
      </c>
      <c r="O1847" s="3" t="n"/>
      <c r="P1847" s="3">
        <f>IF(L1847&lt;&gt;"",L1847/1.4,"")</f>
        <v/>
      </c>
      <c r="Q1847" s="3">
        <f>IF(L1847&lt;&gt;"",L1847/1.56,"")</f>
        <v/>
      </c>
      <c r="R1847" s="3">
        <f>IF(M1847&lt;&gt;"",M1847/1.4,"")</f>
        <v/>
      </c>
      <c r="S1847" s="3">
        <f>IF(M1847&lt;&gt;"",M1847/1.56,"")</f>
        <v/>
      </c>
      <c r="T1847" s="3">
        <f>IF(N1847&lt;&gt;"",N1847,IF(O1847&lt;&gt;"",O1847,IF(L1847&lt;&gt;"",L1847/1.56,IF(M1847&lt;&gt;"",M1847/1.56,""))))</f>
        <v/>
      </c>
      <c r="U1847" s="3" t="n">
        <v>315</v>
      </c>
      <c r="V1847" s="3" t="n">
        <v>195</v>
      </c>
      <c r="W1847" s="3" t="n"/>
      <c r="X1847" s="4" t="n"/>
      <c r="Y1847" s="5" t="n">
        <v>0.32</v>
      </c>
      <c r="Z1847" s="4">
        <f>IF(L1847&lt;&gt;"",SQRT(3)*G1847*L1847/1000,"")</f>
        <v/>
      </c>
      <c r="AA1847" t="inlineStr">
        <is>
          <t>Source=Copeland 2D/3D/4D/4R/6D/8D/9R compressors (pdf) p97; PWS_RLA=35.0</t>
        </is>
      </c>
      <c r="AB1847" t="inlineStr">
        <is>
          <t>Copeland_RLA_230_460_3ph_60Hz.xlsx</t>
        </is>
      </c>
      <c r="AC1847" t="inlineStr">
        <is>
          <t>Recip_2D-9R</t>
        </is>
      </c>
    </row>
    <row r="1848">
      <c r="A1848" t="inlineStr">
        <is>
          <t>COPELAND</t>
        </is>
      </c>
      <c r="B1848" t="inlineStr">
        <is>
          <t>6DT1-3000-FSD</t>
        </is>
      </c>
      <c r="D1848" t="inlineStr">
        <is>
          <t>Reciprocating Semi-hermetic</t>
        </is>
      </c>
      <c r="E1848" s="2" t="n">
        <v>3</v>
      </c>
      <c r="F1848" s="2" t="n">
        <v>60</v>
      </c>
      <c r="G1848" s="2" t="n">
        <v>460</v>
      </c>
      <c r="H1848" t="inlineStr">
        <is>
          <t>460</t>
        </is>
      </c>
      <c r="I1848" s="2" t="n">
        <v>460</v>
      </c>
      <c r="J1848" s="2" t="n">
        <v>460</v>
      </c>
      <c r="L1848" s="3" t="n"/>
      <c r="M1848" s="3" t="n"/>
      <c r="N1848" s="3" t="n">
        <v>53.6</v>
      </c>
      <c r="O1848" s="3" t="n"/>
      <c r="P1848" s="3">
        <f>IF(L1848&lt;&gt;"",L1848/1.4,"")</f>
        <v/>
      </c>
      <c r="Q1848" s="3">
        <f>IF(L1848&lt;&gt;"",L1848/1.56,"")</f>
        <v/>
      </c>
      <c r="R1848" s="3">
        <f>IF(M1848&lt;&gt;"",M1848/1.4,"")</f>
        <v/>
      </c>
      <c r="S1848" s="3">
        <f>IF(M1848&lt;&gt;"",M1848/1.56,"")</f>
        <v/>
      </c>
      <c r="T1848" s="3">
        <f>IF(N1848&lt;&gt;"",N1848,IF(O1848&lt;&gt;"",O1848,IF(L1848&lt;&gt;"",L1848/1.56,IF(M1848&lt;&gt;"",M1848/1.56,""))))</f>
        <v/>
      </c>
      <c r="U1848" s="3" t="n">
        <v>235</v>
      </c>
      <c r="V1848" s="3" t="n">
        <v>141</v>
      </c>
      <c r="W1848" s="3" t="n"/>
      <c r="X1848" s="4" t="n"/>
      <c r="Y1848" s="5" t="n">
        <v>0.45</v>
      </c>
      <c r="Z1848" s="4">
        <f>IF(L1848&lt;&gt;"",SQRT(3)*G1848*L1848/1000,"")</f>
        <v/>
      </c>
      <c r="AA1848" t="inlineStr">
        <is>
          <t>Source=Copeland 2D/3D/4D/4R/6D/8D/9R compressors (pdf) p97; PWS_RLA=26.8</t>
        </is>
      </c>
      <c r="AB1848" t="inlineStr">
        <is>
          <t>Copeland_RLA_230_460_3ph_60Hz.xlsx</t>
        </is>
      </c>
      <c r="AC1848" t="inlineStr">
        <is>
          <t>Recip_2D-9R</t>
        </is>
      </c>
    </row>
    <row r="1849">
      <c r="A1849" t="inlineStr">
        <is>
          <t>COPELAND</t>
        </is>
      </c>
      <c r="B1849" t="inlineStr">
        <is>
          <t>6DT1-3000-TSK</t>
        </is>
      </c>
      <c r="D1849" t="inlineStr">
        <is>
          <t>Reciprocating Semi-hermetic</t>
        </is>
      </c>
      <c r="E1849" s="2" t="n">
        <v>3</v>
      </c>
      <c r="F1849" s="2" t="n">
        <v>60</v>
      </c>
      <c r="G1849" s="2" t="n">
        <v>230</v>
      </c>
      <c r="H1849" t="inlineStr">
        <is>
          <t>208/230</t>
        </is>
      </c>
      <c r="I1849" s="2" t="n">
        <v>208</v>
      </c>
      <c r="J1849" s="2" t="n">
        <v>230</v>
      </c>
      <c r="L1849" s="3" t="n"/>
      <c r="M1849" s="3" t="n"/>
      <c r="N1849" s="3" t="n">
        <v>110.9</v>
      </c>
      <c r="O1849" s="3" t="n"/>
      <c r="P1849" s="3">
        <f>IF(L1849&lt;&gt;"",L1849/1.4,"")</f>
        <v/>
      </c>
      <c r="Q1849" s="3">
        <f>IF(L1849&lt;&gt;"",L1849/1.56,"")</f>
        <v/>
      </c>
      <c r="R1849" s="3">
        <f>IF(M1849&lt;&gt;"",M1849/1.4,"")</f>
        <v/>
      </c>
      <c r="S1849" s="3">
        <f>IF(M1849&lt;&gt;"",M1849/1.56,"")</f>
        <v/>
      </c>
      <c r="T1849" s="3">
        <f>IF(N1849&lt;&gt;"",N1849,IF(O1849&lt;&gt;"",O1849,IF(L1849&lt;&gt;"",L1849/1.56,IF(M1849&lt;&gt;"",M1849/1.56,""))))</f>
        <v/>
      </c>
      <c r="U1849" s="3" t="n">
        <v>470</v>
      </c>
      <c r="V1849" s="3" t="n">
        <v>292</v>
      </c>
      <c r="W1849" s="3" t="n"/>
      <c r="X1849" s="4" t="n"/>
      <c r="Y1849" s="5" t="n">
        <v>0.111</v>
      </c>
      <c r="Z1849" s="4">
        <f>IF(L1849&lt;&gt;"",SQRT(3)*G1849*L1849/1000,"")</f>
        <v/>
      </c>
      <c r="AA1849" t="inlineStr">
        <is>
          <t>Source=Copeland 2D/3D/4D/4R/6D/8D/9R compressors (pdf) p98; PWS_RLA=55.5</t>
        </is>
      </c>
      <c r="AB1849" t="inlineStr">
        <is>
          <t>Copeland_RLA_230_460_3ph_60Hz.xlsx</t>
        </is>
      </c>
      <c r="AC1849" t="inlineStr">
        <is>
          <t>Recip_2D-9R</t>
        </is>
      </c>
    </row>
    <row r="1850">
      <c r="A1850" t="inlineStr">
        <is>
          <t>COPELAND</t>
        </is>
      </c>
      <c r="B1850" t="inlineStr">
        <is>
          <t>6DT1-3000-TSK</t>
        </is>
      </c>
      <c r="D1850" t="inlineStr">
        <is>
          <t>Reciprocating Semi-hermetic</t>
        </is>
      </c>
      <c r="E1850" s="2" t="n">
        <v>3</v>
      </c>
      <c r="F1850" s="2" t="n">
        <v>60</v>
      </c>
      <c r="G1850" s="2" t="n">
        <v>460</v>
      </c>
      <c r="H1850" t="inlineStr">
        <is>
          <t>460</t>
        </is>
      </c>
      <c r="I1850" s="2" t="n">
        <v>460</v>
      </c>
      <c r="J1850" s="2" t="n">
        <v>460</v>
      </c>
      <c r="L1850" s="3" t="n"/>
      <c r="M1850" s="3" t="n"/>
      <c r="N1850" s="3" t="n">
        <v>55.5</v>
      </c>
      <c r="O1850" s="3" t="n"/>
      <c r="P1850" s="3">
        <f>IF(L1850&lt;&gt;"",L1850/1.4,"")</f>
        <v/>
      </c>
      <c r="Q1850" s="3">
        <f>IF(L1850&lt;&gt;"",L1850/1.56,"")</f>
        <v/>
      </c>
      <c r="R1850" s="3">
        <f>IF(M1850&lt;&gt;"",M1850/1.4,"")</f>
        <v/>
      </c>
      <c r="S1850" s="3">
        <f>IF(M1850&lt;&gt;"",M1850/1.56,"")</f>
        <v/>
      </c>
      <c r="T1850" s="3">
        <f>IF(N1850&lt;&gt;"",N1850,IF(O1850&lt;&gt;"",O1850,IF(L1850&lt;&gt;"",L1850/1.56,IF(M1850&lt;&gt;"",M1850/1.56,""))))</f>
        <v/>
      </c>
      <c r="U1850" s="3" t="n">
        <v>235</v>
      </c>
      <c r="V1850" s="3" t="n"/>
      <c r="W1850" s="3" t="n"/>
      <c r="X1850" s="4" t="n"/>
      <c r="Y1850" s="5" t="n">
        <v>0.444</v>
      </c>
      <c r="Z1850" s="4">
        <f>IF(L1850&lt;&gt;"",SQRT(3)*G1850*L1850/1000,"")</f>
        <v/>
      </c>
      <c r="AA1850" t="inlineStr">
        <is>
          <t>Source=Copeland 2D/3D/4D/4R/6D/8D/9R compressors (pdf) p98</t>
        </is>
      </c>
      <c r="AB1850" t="inlineStr">
        <is>
          <t>Copeland_RLA_230_460_3ph_60Hz.xlsx</t>
        </is>
      </c>
      <c r="AC1850" t="inlineStr">
        <is>
          <t>Recip_2D-9R</t>
        </is>
      </c>
    </row>
    <row r="1851">
      <c r="A1851" t="inlineStr">
        <is>
          <t>COPELAND</t>
        </is>
      </c>
      <c r="B1851" t="inlineStr">
        <is>
          <t>6DT1A3000-FSD</t>
        </is>
      </c>
      <c r="D1851" t="inlineStr">
        <is>
          <t>Reciprocating Semi-hermetic</t>
        </is>
      </c>
      <c r="E1851" s="2" t="n">
        <v>3</v>
      </c>
      <c r="F1851" s="2" t="n">
        <v>60</v>
      </c>
      <c r="G1851" s="2" t="n">
        <v>460</v>
      </c>
      <c r="H1851" t="inlineStr">
        <is>
          <t>460</t>
        </is>
      </c>
      <c r="I1851" s="2" t="n">
        <v>460</v>
      </c>
      <c r="J1851" s="2" t="n">
        <v>460</v>
      </c>
      <c r="L1851" s="3" t="n"/>
      <c r="M1851" s="3" t="n"/>
      <c r="N1851" s="3" t="n">
        <v>53.6</v>
      </c>
      <c r="O1851" s="3" t="n"/>
      <c r="P1851" s="3">
        <f>IF(L1851&lt;&gt;"",L1851/1.4,"")</f>
        <v/>
      </c>
      <c r="Q1851" s="3">
        <f>IF(L1851&lt;&gt;"",L1851/1.56,"")</f>
        <v/>
      </c>
      <c r="R1851" s="3">
        <f>IF(M1851&lt;&gt;"",M1851/1.4,"")</f>
        <v/>
      </c>
      <c r="S1851" s="3">
        <f>IF(M1851&lt;&gt;"",M1851/1.56,"")</f>
        <v/>
      </c>
      <c r="T1851" s="3">
        <f>IF(N1851&lt;&gt;"",N1851,IF(O1851&lt;&gt;"",O1851,IF(L1851&lt;&gt;"",L1851/1.56,IF(M1851&lt;&gt;"",M1851/1.56,""))))</f>
        <v/>
      </c>
      <c r="U1851" s="3" t="n">
        <v>235</v>
      </c>
      <c r="V1851" s="3" t="n">
        <v>141</v>
      </c>
      <c r="W1851" s="3" t="n"/>
      <c r="X1851" s="4" t="n"/>
      <c r="Y1851" s="5" t="n">
        <v>0.45</v>
      </c>
      <c r="Z1851" s="4">
        <f>IF(L1851&lt;&gt;"",SQRT(3)*G1851*L1851/1000,"")</f>
        <v/>
      </c>
      <c r="AA1851" t="inlineStr">
        <is>
          <t>Source=Copeland 2D/3D/4D/4R/6D/8D/9R compressors (pdf) p98; PWS_RLA=26.8</t>
        </is>
      </c>
      <c r="AB1851" t="inlineStr">
        <is>
          <t>Copeland_RLA_230_460_3ph_60Hz.xlsx</t>
        </is>
      </c>
      <c r="AC1851" t="inlineStr">
        <is>
          <t>Recip_2D-9R</t>
        </is>
      </c>
    </row>
    <row r="1852">
      <c r="A1852" t="inlineStr">
        <is>
          <t>COPELAND</t>
        </is>
      </c>
      <c r="B1852" t="inlineStr">
        <is>
          <t>6DT1A3000-TSK</t>
        </is>
      </c>
      <c r="D1852" t="inlineStr">
        <is>
          <t>Reciprocating Semi-hermetic</t>
        </is>
      </c>
      <c r="E1852" s="2" t="n">
        <v>3</v>
      </c>
      <c r="F1852" s="2" t="n">
        <v>60</v>
      </c>
      <c r="G1852" s="2" t="n">
        <v>230</v>
      </c>
      <c r="H1852" t="inlineStr">
        <is>
          <t>208/230</t>
        </is>
      </c>
      <c r="I1852" s="2" t="n">
        <v>208</v>
      </c>
      <c r="J1852" s="2" t="n">
        <v>230</v>
      </c>
      <c r="L1852" s="3" t="n"/>
      <c r="M1852" s="3" t="n"/>
      <c r="N1852" s="3" t="n">
        <v>110.9</v>
      </c>
      <c r="O1852" s="3" t="n"/>
      <c r="P1852" s="3">
        <f>IF(L1852&lt;&gt;"",L1852/1.4,"")</f>
        <v/>
      </c>
      <c r="Q1852" s="3">
        <f>IF(L1852&lt;&gt;"",L1852/1.56,"")</f>
        <v/>
      </c>
      <c r="R1852" s="3">
        <f>IF(M1852&lt;&gt;"",M1852/1.4,"")</f>
        <v/>
      </c>
      <c r="S1852" s="3">
        <f>IF(M1852&lt;&gt;"",M1852/1.56,"")</f>
        <v/>
      </c>
      <c r="T1852" s="3">
        <f>IF(N1852&lt;&gt;"",N1852,IF(O1852&lt;&gt;"",O1852,IF(L1852&lt;&gt;"",L1852/1.56,IF(M1852&lt;&gt;"",M1852/1.56,""))))</f>
        <v/>
      </c>
      <c r="U1852" s="3" t="n">
        <v>470</v>
      </c>
      <c r="V1852" s="3" t="n">
        <v>292</v>
      </c>
      <c r="W1852" s="3" t="n"/>
      <c r="X1852" s="4" t="n"/>
      <c r="Y1852" s="5" t="n">
        <v>0.111</v>
      </c>
      <c r="Z1852" s="4">
        <f>IF(L1852&lt;&gt;"",SQRT(3)*G1852*L1852/1000,"")</f>
        <v/>
      </c>
      <c r="AA1852" t="inlineStr">
        <is>
          <t>Source=Copeland 2D/3D/4D/4R/6D/8D/9R compressors (pdf) p98; PWS_RLA=55.5</t>
        </is>
      </c>
      <c r="AB1852" t="inlineStr">
        <is>
          <t>Copeland_RLA_230_460_3ph_60Hz.xlsx</t>
        </is>
      </c>
      <c r="AC1852" t="inlineStr">
        <is>
          <t>Recip_2D-9R</t>
        </is>
      </c>
    </row>
    <row r="1853">
      <c r="A1853" t="inlineStr">
        <is>
          <t>COPELAND</t>
        </is>
      </c>
      <c r="B1853" t="inlineStr">
        <is>
          <t>6DT1A3000-TSK</t>
        </is>
      </c>
      <c r="D1853" t="inlineStr">
        <is>
          <t>Reciprocating Semi-hermetic</t>
        </is>
      </c>
      <c r="E1853" s="2" t="n">
        <v>3</v>
      </c>
      <c r="F1853" s="2" t="n">
        <v>60</v>
      </c>
      <c r="G1853" s="2" t="n">
        <v>460</v>
      </c>
      <c r="H1853" t="inlineStr">
        <is>
          <t>460</t>
        </is>
      </c>
      <c r="I1853" s="2" t="n">
        <v>460</v>
      </c>
      <c r="J1853" s="2" t="n">
        <v>460</v>
      </c>
      <c r="L1853" s="3" t="n"/>
      <c r="M1853" s="3" t="n"/>
      <c r="N1853" s="3" t="n">
        <v>55.5</v>
      </c>
      <c r="O1853" s="3" t="n"/>
      <c r="P1853" s="3">
        <f>IF(L1853&lt;&gt;"",L1853/1.4,"")</f>
        <v/>
      </c>
      <c r="Q1853" s="3">
        <f>IF(L1853&lt;&gt;"",L1853/1.56,"")</f>
        <v/>
      </c>
      <c r="R1853" s="3">
        <f>IF(M1853&lt;&gt;"",M1853/1.4,"")</f>
        <v/>
      </c>
      <c r="S1853" s="3">
        <f>IF(M1853&lt;&gt;"",M1853/1.56,"")</f>
        <v/>
      </c>
      <c r="T1853" s="3">
        <f>IF(N1853&lt;&gt;"",N1853,IF(O1853&lt;&gt;"",O1853,IF(L1853&lt;&gt;"",L1853/1.56,IF(M1853&lt;&gt;"",M1853/1.56,""))))</f>
        <v/>
      </c>
      <c r="U1853" s="3" t="n">
        <v>235</v>
      </c>
      <c r="V1853" s="3" t="n"/>
      <c r="W1853" s="3" t="n"/>
      <c r="X1853" s="4" t="n"/>
      <c r="Y1853" s="5" t="n">
        <v>0.444</v>
      </c>
      <c r="Z1853" s="4">
        <f>IF(L1853&lt;&gt;"",SQRT(3)*G1853*L1853/1000,"")</f>
        <v/>
      </c>
      <c r="AA1853" t="inlineStr">
        <is>
          <t>Source=Copeland 2D/3D/4D/4R/6D/8D/9R compressors (pdf) p98</t>
        </is>
      </c>
      <c r="AB1853" t="inlineStr">
        <is>
          <t>Copeland_RLA_230_460_3ph_60Hz.xlsx</t>
        </is>
      </c>
      <c r="AC1853" t="inlineStr">
        <is>
          <t>Recip_2D-9R</t>
        </is>
      </c>
    </row>
    <row r="1854">
      <c r="A1854" t="inlineStr">
        <is>
          <t>COPELAND</t>
        </is>
      </c>
      <c r="B1854" t="inlineStr">
        <is>
          <t>6DT1F11M0-FSD</t>
        </is>
      </c>
      <c r="D1854" t="inlineStr">
        <is>
          <t>Reciprocating Semi-hermetic</t>
        </is>
      </c>
      <c r="E1854" s="2" t="n">
        <v>3</v>
      </c>
      <c r="F1854" s="2" t="n">
        <v>60</v>
      </c>
      <c r="G1854" s="2" t="n">
        <v>460</v>
      </c>
      <c r="H1854" t="inlineStr">
        <is>
          <t>460</t>
        </is>
      </c>
      <c r="I1854" s="2" t="n">
        <v>460</v>
      </c>
      <c r="J1854" s="2" t="n">
        <v>460</v>
      </c>
      <c r="L1854" s="3" t="n"/>
      <c r="M1854" s="3" t="n"/>
      <c r="N1854" s="3" t="n">
        <v>53.6</v>
      </c>
      <c r="O1854" s="3" t="n"/>
      <c r="P1854" s="3">
        <f>IF(L1854&lt;&gt;"",L1854/1.4,"")</f>
        <v/>
      </c>
      <c r="Q1854" s="3">
        <f>IF(L1854&lt;&gt;"",L1854/1.56,"")</f>
        <v/>
      </c>
      <c r="R1854" s="3">
        <f>IF(M1854&lt;&gt;"",M1854/1.4,"")</f>
        <v/>
      </c>
      <c r="S1854" s="3">
        <f>IF(M1854&lt;&gt;"",M1854/1.56,"")</f>
        <v/>
      </c>
      <c r="T1854" s="3">
        <f>IF(N1854&lt;&gt;"",N1854,IF(O1854&lt;&gt;"",O1854,IF(L1854&lt;&gt;"",L1854/1.56,IF(M1854&lt;&gt;"",M1854/1.56,""))))</f>
        <v/>
      </c>
      <c r="U1854" s="3" t="n">
        <v>235</v>
      </c>
      <c r="V1854" s="3" t="n">
        <v>141</v>
      </c>
      <c r="W1854" s="3" t="n"/>
      <c r="X1854" s="4" t="n"/>
      <c r="Y1854" s="5" t="n">
        <v>0.45</v>
      </c>
      <c r="Z1854" s="4">
        <f>IF(L1854&lt;&gt;"",SQRT(3)*G1854*L1854/1000,"")</f>
        <v/>
      </c>
      <c r="AA1854" t="inlineStr">
        <is>
          <t>Source=Copeland 2D/3D/4D/4R/6D/8D/9R compressors (pdf) p98; PWS_RLA=26.8</t>
        </is>
      </c>
      <c r="AB1854" t="inlineStr">
        <is>
          <t>Copeland_RLA_230_460_3ph_60Hz.xlsx</t>
        </is>
      </c>
      <c r="AC1854" t="inlineStr">
        <is>
          <t>Recip_2D-9R</t>
        </is>
      </c>
    </row>
    <row r="1855">
      <c r="A1855" t="inlineStr">
        <is>
          <t>COPELAND</t>
        </is>
      </c>
      <c r="B1855" t="inlineStr">
        <is>
          <t>6DT3-3000-FSD</t>
        </is>
      </c>
      <c r="D1855" t="inlineStr">
        <is>
          <t>Reciprocating Semi-hermetic</t>
        </is>
      </c>
      <c r="E1855" s="2" t="n">
        <v>3</v>
      </c>
      <c r="F1855" s="2" t="n">
        <v>60</v>
      </c>
      <c r="G1855" s="2" t="n">
        <v>460</v>
      </c>
      <c r="H1855" t="inlineStr">
        <is>
          <t>460</t>
        </is>
      </c>
      <c r="I1855" s="2" t="n">
        <v>460</v>
      </c>
      <c r="J1855" s="2" t="n">
        <v>460</v>
      </c>
      <c r="L1855" s="3" t="n"/>
      <c r="M1855" s="3" t="n"/>
      <c r="N1855" s="3" t="n">
        <v>42.9</v>
      </c>
      <c r="O1855" s="3" t="n"/>
      <c r="P1855" s="3">
        <f>IF(L1855&lt;&gt;"",L1855/1.4,"")</f>
        <v/>
      </c>
      <c r="Q1855" s="3">
        <f>IF(L1855&lt;&gt;"",L1855/1.56,"")</f>
        <v/>
      </c>
      <c r="R1855" s="3">
        <f>IF(M1855&lt;&gt;"",M1855/1.4,"")</f>
        <v/>
      </c>
      <c r="S1855" s="3">
        <f>IF(M1855&lt;&gt;"",M1855/1.56,"")</f>
        <v/>
      </c>
      <c r="T1855" s="3">
        <f>IF(N1855&lt;&gt;"",N1855,IF(O1855&lt;&gt;"",O1855,IF(L1855&lt;&gt;"",L1855/1.56,IF(M1855&lt;&gt;"",M1855/1.56,""))))</f>
        <v/>
      </c>
      <c r="U1855" s="3" t="n">
        <v>235</v>
      </c>
      <c r="V1855" s="3" t="n">
        <v>141</v>
      </c>
      <c r="W1855" s="3" t="n"/>
      <c r="X1855" s="4" t="n"/>
      <c r="Y1855" s="5" t="n">
        <v>0.45</v>
      </c>
      <c r="Z1855" s="4">
        <f>IF(L1855&lt;&gt;"",SQRT(3)*G1855*L1855/1000,"")</f>
        <v/>
      </c>
      <c r="AA1855" t="inlineStr">
        <is>
          <t>Source=Copeland 2D/3D/4D/4R/6D/8D/9R compressors (pdf) p98; PWS_RLA=21.4</t>
        </is>
      </c>
      <c r="AB1855" t="inlineStr">
        <is>
          <t>Copeland_RLA_230_460_3ph_60Hz.xlsx</t>
        </is>
      </c>
      <c r="AC1855" t="inlineStr">
        <is>
          <t>Recip_2D-9R</t>
        </is>
      </c>
    </row>
    <row r="1856">
      <c r="A1856" t="inlineStr">
        <is>
          <t>COPELAND</t>
        </is>
      </c>
      <c r="B1856" t="inlineStr">
        <is>
          <t>6DT3-3000-TSK</t>
        </is>
      </c>
      <c r="D1856" t="inlineStr">
        <is>
          <t>Reciprocating Semi-hermetic</t>
        </is>
      </c>
      <c r="E1856" s="2" t="n">
        <v>3</v>
      </c>
      <c r="F1856" s="2" t="n">
        <v>60</v>
      </c>
      <c r="G1856" s="2" t="n">
        <v>230</v>
      </c>
      <c r="H1856" t="inlineStr">
        <is>
          <t>208/230</t>
        </is>
      </c>
      <c r="I1856" s="2" t="n">
        <v>208</v>
      </c>
      <c r="J1856" s="2" t="n">
        <v>230</v>
      </c>
      <c r="L1856" s="3" t="n"/>
      <c r="M1856" s="3" t="n"/>
      <c r="N1856" s="3" t="n">
        <v>95.59999999999999</v>
      </c>
      <c r="O1856" s="3" t="n"/>
      <c r="P1856" s="3">
        <f>IF(L1856&lt;&gt;"",L1856/1.4,"")</f>
        <v/>
      </c>
      <c r="Q1856" s="3">
        <f>IF(L1856&lt;&gt;"",L1856/1.56,"")</f>
        <v/>
      </c>
      <c r="R1856" s="3">
        <f>IF(M1856&lt;&gt;"",M1856/1.4,"")</f>
        <v/>
      </c>
      <c r="S1856" s="3">
        <f>IF(M1856&lt;&gt;"",M1856/1.56,"")</f>
        <v/>
      </c>
      <c r="T1856" s="3">
        <f>IF(N1856&lt;&gt;"",N1856,IF(O1856&lt;&gt;"",O1856,IF(L1856&lt;&gt;"",L1856/1.56,IF(M1856&lt;&gt;"",M1856/1.56,""))))</f>
        <v/>
      </c>
      <c r="U1856" s="3" t="n">
        <v>470</v>
      </c>
      <c r="V1856" s="3" t="n">
        <v>292</v>
      </c>
      <c r="W1856" s="3" t="n"/>
      <c r="X1856" s="4" t="n"/>
      <c r="Y1856" s="5" t="n">
        <v>0.111</v>
      </c>
      <c r="Z1856" s="4">
        <f>IF(L1856&lt;&gt;"",SQRT(3)*G1856*L1856/1000,"")</f>
        <v/>
      </c>
      <c r="AA1856" t="inlineStr">
        <is>
          <t>Source=Copeland 2D/3D/4D/4R/6D/8D/9R compressors (pdf) p98; PWS_RLA=47.8</t>
        </is>
      </c>
      <c r="AB1856" t="inlineStr">
        <is>
          <t>Copeland_RLA_230_460_3ph_60Hz.xlsx</t>
        </is>
      </c>
      <c r="AC1856" t="inlineStr">
        <is>
          <t>Recip_2D-9R</t>
        </is>
      </c>
    </row>
    <row r="1857">
      <c r="A1857" t="inlineStr">
        <is>
          <t>COPELAND</t>
        </is>
      </c>
      <c r="B1857" t="inlineStr">
        <is>
          <t>6DT3-3000-TSK</t>
        </is>
      </c>
      <c r="D1857" t="inlineStr">
        <is>
          <t>Reciprocating Semi-hermetic</t>
        </is>
      </c>
      <c r="E1857" s="2" t="n">
        <v>3</v>
      </c>
      <c r="F1857" s="2" t="n">
        <v>60</v>
      </c>
      <c r="G1857" s="2" t="n">
        <v>460</v>
      </c>
      <c r="H1857" t="inlineStr">
        <is>
          <t>460</t>
        </is>
      </c>
      <c r="I1857" s="2" t="n">
        <v>460</v>
      </c>
      <c r="J1857" s="2" t="n">
        <v>460</v>
      </c>
      <c r="L1857" s="3" t="n"/>
      <c r="M1857" s="3" t="n"/>
      <c r="N1857" s="3" t="n">
        <v>47.8</v>
      </c>
      <c r="O1857" s="3" t="n"/>
      <c r="P1857" s="3">
        <f>IF(L1857&lt;&gt;"",L1857/1.4,"")</f>
        <v/>
      </c>
      <c r="Q1857" s="3">
        <f>IF(L1857&lt;&gt;"",L1857/1.56,"")</f>
        <v/>
      </c>
      <c r="R1857" s="3">
        <f>IF(M1857&lt;&gt;"",M1857/1.4,"")</f>
        <v/>
      </c>
      <c r="S1857" s="3">
        <f>IF(M1857&lt;&gt;"",M1857/1.56,"")</f>
        <v/>
      </c>
      <c r="T1857" s="3">
        <f>IF(N1857&lt;&gt;"",N1857,IF(O1857&lt;&gt;"",O1857,IF(L1857&lt;&gt;"",L1857/1.56,IF(M1857&lt;&gt;"",M1857/1.56,""))))</f>
        <v/>
      </c>
      <c r="U1857" s="3" t="n">
        <v>235</v>
      </c>
      <c r="V1857" s="3" t="n"/>
      <c r="W1857" s="3" t="n"/>
      <c r="X1857" s="4" t="n"/>
      <c r="Y1857" s="5" t="n">
        <v>0.444</v>
      </c>
      <c r="Z1857" s="4">
        <f>IF(L1857&lt;&gt;"",SQRT(3)*G1857*L1857/1000,"")</f>
        <v/>
      </c>
      <c r="AA1857" t="inlineStr">
        <is>
          <t>Source=Copeland 2D/3D/4D/4R/6D/8D/9R compressors (pdf) p98</t>
        </is>
      </c>
      <c r="AB1857" t="inlineStr">
        <is>
          <t>Copeland_RLA_230_460_3ph_60Hz.xlsx</t>
        </is>
      </c>
      <c r="AC1857" t="inlineStr">
        <is>
          <t>Recip_2D-9R</t>
        </is>
      </c>
    </row>
    <row r="1858">
      <c r="A1858" t="inlineStr">
        <is>
          <t>COPELAND</t>
        </is>
      </c>
      <c r="B1858" t="inlineStr">
        <is>
          <t>6DT3-300E-FSD</t>
        </is>
      </c>
      <c r="D1858" t="inlineStr">
        <is>
          <t>Reciprocating Semi-hermetic</t>
        </is>
      </c>
      <c r="E1858" s="2" t="n">
        <v>3</v>
      </c>
      <c r="F1858" s="2" t="n">
        <v>60</v>
      </c>
      <c r="G1858" s="2" t="n">
        <v>460</v>
      </c>
      <c r="H1858" t="inlineStr">
        <is>
          <t>460</t>
        </is>
      </c>
      <c r="I1858" s="2" t="n">
        <v>460</v>
      </c>
      <c r="J1858" s="2" t="n">
        <v>460</v>
      </c>
      <c r="L1858" s="3" t="n"/>
      <c r="M1858" s="3" t="n"/>
      <c r="N1858" s="3" t="n">
        <v>42.9</v>
      </c>
      <c r="O1858" s="3" t="n"/>
      <c r="P1858" s="3">
        <f>IF(L1858&lt;&gt;"",L1858/1.4,"")</f>
        <v/>
      </c>
      <c r="Q1858" s="3">
        <f>IF(L1858&lt;&gt;"",L1858/1.56,"")</f>
        <v/>
      </c>
      <c r="R1858" s="3">
        <f>IF(M1858&lt;&gt;"",M1858/1.4,"")</f>
        <v/>
      </c>
      <c r="S1858" s="3">
        <f>IF(M1858&lt;&gt;"",M1858/1.56,"")</f>
        <v/>
      </c>
      <c r="T1858" s="3">
        <f>IF(N1858&lt;&gt;"",N1858,IF(O1858&lt;&gt;"",O1858,IF(L1858&lt;&gt;"",L1858/1.56,IF(M1858&lt;&gt;"",M1858/1.56,""))))</f>
        <v/>
      </c>
      <c r="U1858" s="3" t="n">
        <v>235</v>
      </c>
      <c r="V1858" s="3" t="n">
        <v>141</v>
      </c>
      <c r="W1858" s="3" t="n"/>
      <c r="X1858" s="4" t="n"/>
      <c r="Y1858" s="5" t="n">
        <v>0.45</v>
      </c>
      <c r="Z1858" s="4">
        <f>IF(L1858&lt;&gt;"",SQRT(3)*G1858*L1858/1000,"")</f>
        <v/>
      </c>
      <c r="AA1858" t="inlineStr">
        <is>
          <t>Source=Copeland 2D/3D/4D/4R/6D/8D/9R compressors (pdf) p98; PWS_RLA=21.4</t>
        </is>
      </c>
      <c r="AB1858" t="inlineStr">
        <is>
          <t>Copeland_RLA_230_460_3ph_60Hz.xlsx</t>
        </is>
      </c>
      <c r="AC1858" t="inlineStr">
        <is>
          <t>Recip_2D-9R</t>
        </is>
      </c>
    </row>
    <row r="1859">
      <c r="A1859" t="inlineStr">
        <is>
          <t>COPELAND</t>
        </is>
      </c>
      <c r="B1859" t="inlineStr">
        <is>
          <t>6DT3-300E-TSK</t>
        </is>
      </c>
      <c r="D1859" t="inlineStr">
        <is>
          <t>Reciprocating Semi-hermetic</t>
        </is>
      </c>
      <c r="E1859" s="2" t="n">
        <v>3</v>
      </c>
      <c r="F1859" s="2" t="n">
        <v>60</v>
      </c>
      <c r="G1859" s="2" t="n">
        <v>230</v>
      </c>
      <c r="H1859" t="inlineStr">
        <is>
          <t>208/230</t>
        </is>
      </c>
      <c r="I1859" s="2" t="n">
        <v>208</v>
      </c>
      <c r="J1859" s="2" t="n">
        <v>230</v>
      </c>
      <c r="L1859" s="3" t="n"/>
      <c r="M1859" s="3" t="n"/>
      <c r="N1859" s="3" t="n">
        <v>95.59999999999999</v>
      </c>
      <c r="O1859" s="3" t="n"/>
      <c r="P1859" s="3">
        <f>IF(L1859&lt;&gt;"",L1859/1.4,"")</f>
        <v/>
      </c>
      <c r="Q1859" s="3">
        <f>IF(L1859&lt;&gt;"",L1859/1.56,"")</f>
        <v/>
      </c>
      <c r="R1859" s="3">
        <f>IF(M1859&lt;&gt;"",M1859/1.4,"")</f>
        <v/>
      </c>
      <c r="S1859" s="3">
        <f>IF(M1859&lt;&gt;"",M1859/1.56,"")</f>
        <v/>
      </c>
      <c r="T1859" s="3">
        <f>IF(N1859&lt;&gt;"",N1859,IF(O1859&lt;&gt;"",O1859,IF(L1859&lt;&gt;"",L1859/1.56,IF(M1859&lt;&gt;"",M1859/1.56,""))))</f>
        <v/>
      </c>
      <c r="U1859" s="3" t="n">
        <v>470</v>
      </c>
      <c r="V1859" s="3" t="n">
        <v>292</v>
      </c>
      <c r="W1859" s="3" t="n"/>
      <c r="X1859" s="4" t="n"/>
      <c r="Y1859" s="5" t="n">
        <v>0.111</v>
      </c>
      <c r="Z1859" s="4">
        <f>IF(L1859&lt;&gt;"",SQRT(3)*G1859*L1859/1000,"")</f>
        <v/>
      </c>
      <c r="AA1859" t="inlineStr">
        <is>
          <t>Source=Copeland 2D/3D/4D/4R/6D/8D/9R compressors (pdf) p98; PWS_RLA=47.8</t>
        </is>
      </c>
      <c r="AB1859" t="inlineStr">
        <is>
          <t>Copeland_RLA_230_460_3ph_60Hz.xlsx</t>
        </is>
      </c>
      <c r="AC1859" t="inlineStr">
        <is>
          <t>Recip_2D-9R</t>
        </is>
      </c>
    </row>
    <row r="1860">
      <c r="A1860" t="inlineStr">
        <is>
          <t>COPELAND</t>
        </is>
      </c>
      <c r="B1860" t="inlineStr">
        <is>
          <t>6DT3-300E-TSK</t>
        </is>
      </c>
      <c r="D1860" t="inlineStr">
        <is>
          <t>Reciprocating Semi-hermetic</t>
        </is>
      </c>
      <c r="E1860" s="2" t="n">
        <v>3</v>
      </c>
      <c r="F1860" s="2" t="n">
        <v>60</v>
      </c>
      <c r="G1860" s="2" t="n">
        <v>460</v>
      </c>
      <c r="H1860" t="inlineStr">
        <is>
          <t>460</t>
        </is>
      </c>
      <c r="I1860" s="2" t="n">
        <v>460</v>
      </c>
      <c r="J1860" s="2" t="n">
        <v>460</v>
      </c>
      <c r="L1860" s="3" t="n"/>
      <c r="M1860" s="3" t="n"/>
      <c r="N1860" s="3" t="n">
        <v>47.8</v>
      </c>
      <c r="O1860" s="3" t="n"/>
      <c r="P1860" s="3">
        <f>IF(L1860&lt;&gt;"",L1860/1.4,"")</f>
        <v/>
      </c>
      <c r="Q1860" s="3">
        <f>IF(L1860&lt;&gt;"",L1860/1.56,"")</f>
        <v/>
      </c>
      <c r="R1860" s="3">
        <f>IF(M1860&lt;&gt;"",M1860/1.4,"")</f>
        <v/>
      </c>
      <c r="S1860" s="3">
        <f>IF(M1860&lt;&gt;"",M1860/1.56,"")</f>
        <v/>
      </c>
      <c r="T1860" s="3">
        <f>IF(N1860&lt;&gt;"",N1860,IF(O1860&lt;&gt;"",O1860,IF(L1860&lt;&gt;"",L1860/1.56,IF(M1860&lt;&gt;"",M1860/1.56,""))))</f>
        <v/>
      </c>
      <c r="U1860" s="3" t="n">
        <v>235</v>
      </c>
      <c r="V1860" s="3" t="n"/>
      <c r="W1860" s="3" t="n"/>
      <c r="X1860" s="4" t="n"/>
      <c r="Y1860" s="5" t="n">
        <v>0.444</v>
      </c>
      <c r="Z1860" s="4">
        <f>IF(L1860&lt;&gt;"",SQRT(3)*G1860*L1860/1000,"")</f>
        <v/>
      </c>
      <c r="AA1860" t="inlineStr">
        <is>
          <t>Source=Copeland 2D/3D/4D/4R/6D/8D/9R compressors (pdf) p98</t>
        </is>
      </c>
      <c r="AB1860" t="inlineStr">
        <is>
          <t>Copeland_RLA_230_460_3ph_60Hz.xlsx</t>
        </is>
      </c>
      <c r="AC1860" t="inlineStr">
        <is>
          <t>Recip_2D-9R</t>
        </is>
      </c>
    </row>
    <row r="1861">
      <c r="A1861" t="inlineStr">
        <is>
          <t>COPELAND</t>
        </is>
      </c>
      <c r="B1861" t="inlineStr">
        <is>
          <t>6DT3-300L-FSD</t>
        </is>
      </c>
      <c r="D1861" t="inlineStr">
        <is>
          <t>Reciprocating Semi-hermetic</t>
        </is>
      </c>
      <c r="E1861" s="2" t="n">
        <v>3</v>
      </c>
      <c r="F1861" s="2" t="n">
        <v>60</v>
      </c>
      <c r="G1861" s="2" t="n">
        <v>460</v>
      </c>
      <c r="H1861" t="inlineStr">
        <is>
          <t>460</t>
        </is>
      </c>
      <c r="I1861" s="2" t="n">
        <v>460</v>
      </c>
      <c r="J1861" s="2" t="n">
        <v>460</v>
      </c>
      <c r="L1861" s="3" t="n"/>
      <c r="M1861" s="3" t="n"/>
      <c r="N1861" s="3" t="n">
        <v>42.9</v>
      </c>
      <c r="O1861" s="3" t="n"/>
      <c r="P1861" s="3">
        <f>IF(L1861&lt;&gt;"",L1861/1.4,"")</f>
        <v/>
      </c>
      <c r="Q1861" s="3">
        <f>IF(L1861&lt;&gt;"",L1861/1.56,"")</f>
        <v/>
      </c>
      <c r="R1861" s="3">
        <f>IF(M1861&lt;&gt;"",M1861/1.4,"")</f>
        <v/>
      </c>
      <c r="S1861" s="3">
        <f>IF(M1861&lt;&gt;"",M1861/1.56,"")</f>
        <v/>
      </c>
      <c r="T1861" s="3">
        <f>IF(N1861&lt;&gt;"",N1861,IF(O1861&lt;&gt;"",O1861,IF(L1861&lt;&gt;"",L1861/1.56,IF(M1861&lt;&gt;"",M1861/1.56,""))))</f>
        <v/>
      </c>
      <c r="U1861" s="3" t="n">
        <v>235</v>
      </c>
      <c r="V1861" s="3" t="n">
        <v>141</v>
      </c>
      <c r="W1861" s="3" t="n"/>
      <c r="X1861" s="4" t="n"/>
      <c r="Y1861" s="5" t="n">
        <v>0.45</v>
      </c>
      <c r="Z1861" s="4">
        <f>IF(L1861&lt;&gt;"",SQRT(3)*G1861*L1861/1000,"")</f>
        <v/>
      </c>
      <c r="AA1861" t="inlineStr">
        <is>
          <t>Source=Copeland 2D/3D/4D/4R/6D/8D/9R compressors (pdf) p98; PWS_RLA=21.4</t>
        </is>
      </c>
      <c r="AB1861" t="inlineStr">
        <is>
          <t>Copeland_RLA_230_460_3ph_60Hz.xlsx</t>
        </is>
      </c>
      <c r="AC1861" t="inlineStr">
        <is>
          <t>Recip_2D-9R</t>
        </is>
      </c>
    </row>
    <row r="1862">
      <c r="A1862" t="inlineStr">
        <is>
          <t>COPELAND</t>
        </is>
      </c>
      <c r="B1862" t="inlineStr">
        <is>
          <t>6DT3-300L-TSK</t>
        </is>
      </c>
      <c r="D1862" t="inlineStr">
        <is>
          <t>Reciprocating Semi-hermetic</t>
        </is>
      </c>
      <c r="E1862" s="2" t="n">
        <v>3</v>
      </c>
      <c r="F1862" s="2" t="n">
        <v>60</v>
      </c>
      <c r="G1862" s="2" t="n">
        <v>230</v>
      </c>
      <c r="H1862" t="inlineStr">
        <is>
          <t>208/230</t>
        </is>
      </c>
      <c r="I1862" s="2" t="n">
        <v>208</v>
      </c>
      <c r="J1862" s="2" t="n">
        <v>230</v>
      </c>
      <c r="L1862" s="3" t="n"/>
      <c r="M1862" s="3" t="n"/>
      <c r="N1862" s="3" t="n">
        <v>95.59999999999999</v>
      </c>
      <c r="O1862" s="3" t="n"/>
      <c r="P1862" s="3">
        <f>IF(L1862&lt;&gt;"",L1862/1.4,"")</f>
        <v/>
      </c>
      <c r="Q1862" s="3">
        <f>IF(L1862&lt;&gt;"",L1862/1.56,"")</f>
        <v/>
      </c>
      <c r="R1862" s="3">
        <f>IF(M1862&lt;&gt;"",M1862/1.4,"")</f>
        <v/>
      </c>
      <c r="S1862" s="3">
        <f>IF(M1862&lt;&gt;"",M1862/1.56,"")</f>
        <v/>
      </c>
      <c r="T1862" s="3">
        <f>IF(N1862&lt;&gt;"",N1862,IF(O1862&lt;&gt;"",O1862,IF(L1862&lt;&gt;"",L1862/1.56,IF(M1862&lt;&gt;"",M1862/1.56,""))))</f>
        <v/>
      </c>
      <c r="U1862" s="3" t="n">
        <v>470</v>
      </c>
      <c r="V1862" s="3" t="n">
        <v>292</v>
      </c>
      <c r="W1862" s="3" t="n"/>
      <c r="X1862" s="4" t="n"/>
      <c r="Y1862" s="5" t="n">
        <v>0.111</v>
      </c>
      <c r="Z1862" s="4">
        <f>IF(L1862&lt;&gt;"",SQRT(3)*G1862*L1862/1000,"")</f>
        <v/>
      </c>
      <c r="AA1862" t="inlineStr">
        <is>
          <t>Source=Copeland 2D/3D/4D/4R/6D/8D/9R compressors (pdf) p98; PWS_RLA=47.8</t>
        </is>
      </c>
      <c r="AB1862" t="inlineStr">
        <is>
          <t>Copeland_RLA_230_460_3ph_60Hz.xlsx</t>
        </is>
      </c>
      <c r="AC1862" t="inlineStr">
        <is>
          <t>Recip_2D-9R</t>
        </is>
      </c>
    </row>
    <row r="1863">
      <c r="A1863" t="inlineStr">
        <is>
          <t>COPELAND</t>
        </is>
      </c>
      <c r="B1863" t="inlineStr">
        <is>
          <t>6DT3-300L-TSK</t>
        </is>
      </c>
      <c r="D1863" t="inlineStr">
        <is>
          <t>Reciprocating Semi-hermetic</t>
        </is>
      </c>
      <c r="E1863" s="2" t="n">
        <v>3</v>
      </c>
      <c r="F1863" s="2" t="n">
        <v>60</v>
      </c>
      <c r="G1863" s="2" t="n">
        <v>460</v>
      </c>
      <c r="H1863" t="inlineStr">
        <is>
          <t>460</t>
        </is>
      </c>
      <c r="I1863" s="2" t="n">
        <v>460</v>
      </c>
      <c r="J1863" s="2" t="n">
        <v>460</v>
      </c>
      <c r="L1863" s="3" t="n"/>
      <c r="M1863" s="3" t="n"/>
      <c r="N1863" s="3" t="n">
        <v>47.8</v>
      </c>
      <c r="O1863" s="3" t="n"/>
      <c r="P1863" s="3">
        <f>IF(L1863&lt;&gt;"",L1863/1.4,"")</f>
        <v/>
      </c>
      <c r="Q1863" s="3">
        <f>IF(L1863&lt;&gt;"",L1863/1.56,"")</f>
        <v/>
      </c>
      <c r="R1863" s="3">
        <f>IF(M1863&lt;&gt;"",M1863/1.4,"")</f>
        <v/>
      </c>
      <c r="S1863" s="3">
        <f>IF(M1863&lt;&gt;"",M1863/1.56,"")</f>
        <v/>
      </c>
      <c r="T1863" s="3">
        <f>IF(N1863&lt;&gt;"",N1863,IF(O1863&lt;&gt;"",O1863,IF(L1863&lt;&gt;"",L1863/1.56,IF(M1863&lt;&gt;"",M1863/1.56,""))))</f>
        <v/>
      </c>
      <c r="U1863" s="3" t="n">
        <v>235</v>
      </c>
      <c r="V1863" s="3" t="n"/>
      <c r="W1863" s="3" t="n"/>
      <c r="X1863" s="4" t="n"/>
      <c r="Y1863" s="5" t="n">
        <v>0.444</v>
      </c>
      <c r="Z1863" s="4">
        <f>IF(L1863&lt;&gt;"",SQRT(3)*G1863*L1863/1000,"")</f>
        <v/>
      </c>
      <c r="AA1863" t="inlineStr">
        <is>
          <t>Source=Copeland 2D/3D/4D/4R/6D/8D/9R compressors (pdf) p98</t>
        </is>
      </c>
      <c r="AB1863" t="inlineStr">
        <is>
          <t>Copeland_RLA_230_460_3ph_60Hz.xlsx</t>
        </is>
      </c>
      <c r="AC1863" t="inlineStr">
        <is>
          <t>Recip_2D-9R</t>
        </is>
      </c>
    </row>
    <row r="1864">
      <c r="A1864" t="inlineStr">
        <is>
          <t>COPELAND</t>
        </is>
      </c>
      <c r="B1864" t="inlineStr">
        <is>
          <t>6DT3A3000-FSD</t>
        </is>
      </c>
      <c r="D1864" t="inlineStr">
        <is>
          <t>Reciprocating Semi-hermetic</t>
        </is>
      </c>
      <c r="E1864" s="2" t="n">
        <v>3</v>
      </c>
      <c r="F1864" s="2" t="n">
        <v>60</v>
      </c>
      <c r="G1864" s="2" t="n">
        <v>460</v>
      </c>
      <c r="H1864" t="inlineStr">
        <is>
          <t>460</t>
        </is>
      </c>
      <c r="I1864" s="2" t="n">
        <v>460</v>
      </c>
      <c r="J1864" s="2" t="n">
        <v>460</v>
      </c>
      <c r="L1864" s="3" t="n"/>
      <c r="M1864" s="3" t="n"/>
      <c r="N1864" s="3" t="n">
        <v>42.9</v>
      </c>
      <c r="O1864" s="3" t="n"/>
      <c r="P1864" s="3">
        <f>IF(L1864&lt;&gt;"",L1864/1.4,"")</f>
        <v/>
      </c>
      <c r="Q1864" s="3">
        <f>IF(L1864&lt;&gt;"",L1864/1.56,"")</f>
        <v/>
      </c>
      <c r="R1864" s="3">
        <f>IF(M1864&lt;&gt;"",M1864/1.4,"")</f>
        <v/>
      </c>
      <c r="S1864" s="3">
        <f>IF(M1864&lt;&gt;"",M1864/1.56,"")</f>
        <v/>
      </c>
      <c r="T1864" s="3">
        <f>IF(N1864&lt;&gt;"",N1864,IF(O1864&lt;&gt;"",O1864,IF(L1864&lt;&gt;"",L1864/1.56,IF(M1864&lt;&gt;"",M1864/1.56,""))))</f>
        <v/>
      </c>
      <c r="U1864" s="3" t="n">
        <v>235</v>
      </c>
      <c r="V1864" s="3" t="n">
        <v>141</v>
      </c>
      <c r="W1864" s="3" t="n"/>
      <c r="X1864" s="4" t="n"/>
      <c r="Y1864" s="5" t="n">
        <v>0.45</v>
      </c>
      <c r="Z1864" s="4">
        <f>IF(L1864&lt;&gt;"",SQRT(3)*G1864*L1864/1000,"")</f>
        <v/>
      </c>
      <c r="AA1864" t="inlineStr">
        <is>
          <t>Source=Copeland 2D/3D/4D/4R/6D/8D/9R compressors (pdf) p99; PWS_RLA=21.4</t>
        </is>
      </c>
      <c r="AB1864" t="inlineStr">
        <is>
          <t>Copeland_RLA_230_460_3ph_60Hz.xlsx</t>
        </is>
      </c>
      <c r="AC1864" t="inlineStr">
        <is>
          <t>Recip_2D-9R</t>
        </is>
      </c>
    </row>
    <row r="1865">
      <c r="A1865" t="inlineStr">
        <is>
          <t>COPELAND</t>
        </is>
      </c>
      <c r="B1865" t="inlineStr">
        <is>
          <t>6DT3A3000-TSK</t>
        </is>
      </c>
      <c r="D1865" t="inlineStr">
        <is>
          <t>Reciprocating Semi-hermetic</t>
        </is>
      </c>
      <c r="E1865" s="2" t="n">
        <v>3</v>
      </c>
      <c r="F1865" s="2" t="n">
        <v>60</v>
      </c>
      <c r="G1865" s="2" t="n">
        <v>230</v>
      </c>
      <c r="H1865" t="inlineStr">
        <is>
          <t>208/230</t>
        </is>
      </c>
      <c r="I1865" s="2" t="n">
        <v>208</v>
      </c>
      <c r="J1865" s="2" t="n">
        <v>230</v>
      </c>
      <c r="L1865" s="3" t="n"/>
      <c r="M1865" s="3" t="n"/>
      <c r="N1865" s="3" t="n">
        <v>95.59999999999999</v>
      </c>
      <c r="O1865" s="3" t="n"/>
      <c r="P1865" s="3">
        <f>IF(L1865&lt;&gt;"",L1865/1.4,"")</f>
        <v/>
      </c>
      <c r="Q1865" s="3">
        <f>IF(L1865&lt;&gt;"",L1865/1.56,"")</f>
        <v/>
      </c>
      <c r="R1865" s="3">
        <f>IF(M1865&lt;&gt;"",M1865/1.4,"")</f>
        <v/>
      </c>
      <c r="S1865" s="3">
        <f>IF(M1865&lt;&gt;"",M1865/1.56,"")</f>
        <v/>
      </c>
      <c r="T1865" s="3">
        <f>IF(N1865&lt;&gt;"",N1865,IF(O1865&lt;&gt;"",O1865,IF(L1865&lt;&gt;"",L1865/1.56,IF(M1865&lt;&gt;"",M1865/1.56,""))))</f>
        <v/>
      </c>
      <c r="U1865" s="3" t="n">
        <v>470</v>
      </c>
      <c r="V1865" s="3" t="n">
        <v>292</v>
      </c>
      <c r="W1865" s="3" t="n"/>
      <c r="X1865" s="4" t="n"/>
      <c r="Y1865" s="5" t="n">
        <v>0.111</v>
      </c>
      <c r="Z1865" s="4">
        <f>IF(L1865&lt;&gt;"",SQRT(3)*G1865*L1865/1000,"")</f>
        <v/>
      </c>
      <c r="AA1865" t="inlineStr">
        <is>
          <t>Source=Copeland 2D/3D/4D/4R/6D/8D/9R compressors (pdf) p99; PWS_RLA=47.8</t>
        </is>
      </c>
      <c r="AB1865" t="inlineStr">
        <is>
          <t>Copeland_RLA_230_460_3ph_60Hz.xlsx</t>
        </is>
      </c>
      <c r="AC1865" t="inlineStr">
        <is>
          <t>Recip_2D-9R</t>
        </is>
      </c>
    </row>
    <row r="1866">
      <c r="A1866" t="inlineStr">
        <is>
          <t>COPELAND</t>
        </is>
      </c>
      <c r="B1866" t="inlineStr">
        <is>
          <t>6DT3A3000-TSK</t>
        </is>
      </c>
      <c r="D1866" t="inlineStr">
        <is>
          <t>Reciprocating Semi-hermetic</t>
        </is>
      </c>
      <c r="E1866" s="2" t="n">
        <v>3</v>
      </c>
      <c r="F1866" s="2" t="n">
        <v>60</v>
      </c>
      <c r="G1866" s="2" t="n">
        <v>460</v>
      </c>
      <c r="H1866" t="inlineStr">
        <is>
          <t>460</t>
        </is>
      </c>
      <c r="I1866" s="2" t="n">
        <v>460</v>
      </c>
      <c r="J1866" s="2" t="n">
        <v>460</v>
      </c>
      <c r="L1866" s="3" t="n"/>
      <c r="M1866" s="3" t="n"/>
      <c r="N1866" s="3" t="n">
        <v>47.8</v>
      </c>
      <c r="O1866" s="3" t="n"/>
      <c r="P1866" s="3">
        <f>IF(L1866&lt;&gt;"",L1866/1.4,"")</f>
        <v/>
      </c>
      <c r="Q1866" s="3">
        <f>IF(L1866&lt;&gt;"",L1866/1.56,"")</f>
        <v/>
      </c>
      <c r="R1866" s="3">
        <f>IF(M1866&lt;&gt;"",M1866/1.4,"")</f>
        <v/>
      </c>
      <c r="S1866" s="3">
        <f>IF(M1866&lt;&gt;"",M1866/1.56,"")</f>
        <v/>
      </c>
      <c r="T1866" s="3">
        <f>IF(N1866&lt;&gt;"",N1866,IF(O1866&lt;&gt;"",O1866,IF(L1866&lt;&gt;"",L1866/1.56,IF(M1866&lt;&gt;"",M1866/1.56,""))))</f>
        <v/>
      </c>
      <c r="U1866" s="3" t="n">
        <v>235</v>
      </c>
      <c r="V1866" s="3" t="n"/>
      <c r="W1866" s="3" t="n"/>
      <c r="X1866" s="4" t="n"/>
      <c r="Y1866" s="5" t="n">
        <v>0.444</v>
      </c>
      <c r="Z1866" s="4">
        <f>IF(L1866&lt;&gt;"",SQRT(3)*G1866*L1866/1000,"")</f>
        <v/>
      </c>
      <c r="AA1866" t="inlineStr">
        <is>
          <t>Source=Copeland 2D/3D/4D/4R/6D/8D/9R compressors (pdf) p99</t>
        </is>
      </c>
      <c r="AB1866" t="inlineStr">
        <is>
          <t>Copeland_RLA_230_460_3ph_60Hz.xlsx</t>
        </is>
      </c>
      <c r="AC1866" t="inlineStr">
        <is>
          <t>Recip_2D-9R</t>
        </is>
      </c>
    </row>
    <row r="1867">
      <c r="A1867" t="inlineStr">
        <is>
          <t>COPELAND</t>
        </is>
      </c>
      <c r="B1867" t="inlineStr">
        <is>
          <t>6DT3A300E-FSD</t>
        </is>
      </c>
      <c r="D1867" t="inlineStr">
        <is>
          <t>Reciprocating Semi-hermetic</t>
        </is>
      </c>
      <c r="E1867" s="2" t="n">
        <v>3</v>
      </c>
      <c r="F1867" s="2" t="n">
        <v>60</v>
      </c>
      <c r="G1867" s="2" t="n">
        <v>460</v>
      </c>
      <c r="H1867" t="inlineStr">
        <is>
          <t>460</t>
        </is>
      </c>
      <c r="I1867" s="2" t="n">
        <v>460</v>
      </c>
      <c r="J1867" s="2" t="n">
        <v>460</v>
      </c>
      <c r="L1867" s="3" t="n"/>
      <c r="M1867" s="3" t="n"/>
      <c r="N1867" s="3" t="n">
        <v>42.9</v>
      </c>
      <c r="O1867" s="3" t="n"/>
      <c r="P1867" s="3">
        <f>IF(L1867&lt;&gt;"",L1867/1.4,"")</f>
        <v/>
      </c>
      <c r="Q1867" s="3">
        <f>IF(L1867&lt;&gt;"",L1867/1.56,"")</f>
        <v/>
      </c>
      <c r="R1867" s="3">
        <f>IF(M1867&lt;&gt;"",M1867/1.4,"")</f>
        <v/>
      </c>
      <c r="S1867" s="3">
        <f>IF(M1867&lt;&gt;"",M1867/1.56,"")</f>
        <v/>
      </c>
      <c r="T1867" s="3">
        <f>IF(N1867&lt;&gt;"",N1867,IF(O1867&lt;&gt;"",O1867,IF(L1867&lt;&gt;"",L1867/1.56,IF(M1867&lt;&gt;"",M1867/1.56,""))))</f>
        <v/>
      </c>
      <c r="U1867" s="3" t="n">
        <v>235</v>
      </c>
      <c r="V1867" s="3" t="n">
        <v>141</v>
      </c>
      <c r="W1867" s="3" t="n"/>
      <c r="X1867" s="4" t="n"/>
      <c r="Y1867" s="5" t="n">
        <v>0.45</v>
      </c>
      <c r="Z1867" s="4">
        <f>IF(L1867&lt;&gt;"",SQRT(3)*G1867*L1867/1000,"")</f>
        <v/>
      </c>
      <c r="AA1867" t="inlineStr">
        <is>
          <t>Source=Copeland 2D/3D/4D/4R/6D/8D/9R compressors (pdf) p99; PWS_RLA=21.4</t>
        </is>
      </c>
      <c r="AB1867" t="inlineStr">
        <is>
          <t>Copeland_RLA_230_460_3ph_60Hz.xlsx</t>
        </is>
      </c>
      <c r="AC1867" t="inlineStr">
        <is>
          <t>Recip_2D-9R</t>
        </is>
      </c>
    </row>
    <row r="1868">
      <c r="A1868" t="inlineStr">
        <is>
          <t>COPELAND</t>
        </is>
      </c>
      <c r="B1868" t="inlineStr">
        <is>
          <t>6DT3A300E-TSK</t>
        </is>
      </c>
      <c r="D1868" t="inlineStr">
        <is>
          <t>Reciprocating Semi-hermetic</t>
        </is>
      </c>
      <c r="E1868" s="2" t="n">
        <v>3</v>
      </c>
      <c r="F1868" s="2" t="n">
        <v>60</v>
      </c>
      <c r="G1868" s="2" t="n">
        <v>230</v>
      </c>
      <c r="H1868" t="inlineStr">
        <is>
          <t>208/230</t>
        </is>
      </c>
      <c r="I1868" s="2" t="n">
        <v>208</v>
      </c>
      <c r="J1868" s="2" t="n">
        <v>230</v>
      </c>
      <c r="L1868" s="3" t="n"/>
      <c r="M1868" s="3" t="n"/>
      <c r="N1868" s="3" t="n">
        <v>95.59999999999999</v>
      </c>
      <c r="O1868" s="3" t="n"/>
      <c r="P1868" s="3">
        <f>IF(L1868&lt;&gt;"",L1868/1.4,"")</f>
        <v/>
      </c>
      <c r="Q1868" s="3">
        <f>IF(L1868&lt;&gt;"",L1868/1.56,"")</f>
        <v/>
      </c>
      <c r="R1868" s="3">
        <f>IF(M1868&lt;&gt;"",M1868/1.4,"")</f>
        <v/>
      </c>
      <c r="S1868" s="3">
        <f>IF(M1868&lt;&gt;"",M1868/1.56,"")</f>
        <v/>
      </c>
      <c r="T1868" s="3">
        <f>IF(N1868&lt;&gt;"",N1868,IF(O1868&lt;&gt;"",O1868,IF(L1868&lt;&gt;"",L1868/1.56,IF(M1868&lt;&gt;"",M1868/1.56,""))))</f>
        <v/>
      </c>
      <c r="U1868" s="3" t="n">
        <v>470</v>
      </c>
      <c r="V1868" s="3" t="n">
        <v>292</v>
      </c>
      <c r="W1868" s="3" t="n"/>
      <c r="X1868" s="4" t="n"/>
      <c r="Y1868" s="5" t="n">
        <v>0.111</v>
      </c>
      <c r="Z1868" s="4">
        <f>IF(L1868&lt;&gt;"",SQRT(3)*G1868*L1868/1000,"")</f>
        <v/>
      </c>
      <c r="AA1868" t="inlineStr">
        <is>
          <t>Source=Copeland 2D/3D/4D/4R/6D/8D/9R compressors (pdf) p99; PWS_RLA=47.8</t>
        </is>
      </c>
      <c r="AB1868" t="inlineStr">
        <is>
          <t>Copeland_RLA_230_460_3ph_60Hz.xlsx</t>
        </is>
      </c>
      <c r="AC1868" t="inlineStr">
        <is>
          <t>Recip_2D-9R</t>
        </is>
      </c>
    </row>
    <row r="1869">
      <c r="A1869" t="inlineStr">
        <is>
          <t>COPELAND</t>
        </is>
      </c>
      <c r="B1869" t="inlineStr">
        <is>
          <t>6DT3A300E-TSK</t>
        </is>
      </c>
      <c r="D1869" t="inlineStr">
        <is>
          <t>Reciprocating Semi-hermetic</t>
        </is>
      </c>
      <c r="E1869" s="2" t="n">
        <v>3</v>
      </c>
      <c r="F1869" s="2" t="n">
        <v>60</v>
      </c>
      <c r="G1869" s="2" t="n">
        <v>460</v>
      </c>
      <c r="H1869" t="inlineStr">
        <is>
          <t>460</t>
        </is>
      </c>
      <c r="I1869" s="2" t="n">
        <v>460</v>
      </c>
      <c r="J1869" s="2" t="n">
        <v>460</v>
      </c>
      <c r="L1869" s="3" t="n"/>
      <c r="M1869" s="3" t="n"/>
      <c r="N1869" s="3" t="n">
        <v>47.8</v>
      </c>
      <c r="O1869" s="3" t="n"/>
      <c r="P1869" s="3">
        <f>IF(L1869&lt;&gt;"",L1869/1.4,"")</f>
        <v/>
      </c>
      <c r="Q1869" s="3">
        <f>IF(L1869&lt;&gt;"",L1869/1.56,"")</f>
        <v/>
      </c>
      <c r="R1869" s="3">
        <f>IF(M1869&lt;&gt;"",M1869/1.4,"")</f>
        <v/>
      </c>
      <c r="S1869" s="3">
        <f>IF(M1869&lt;&gt;"",M1869/1.56,"")</f>
        <v/>
      </c>
      <c r="T1869" s="3">
        <f>IF(N1869&lt;&gt;"",N1869,IF(O1869&lt;&gt;"",O1869,IF(L1869&lt;&gt;"",L1869/1.56,IF(M1869&lt;&gt;"",M1869/1.56,""))))</f>
        <v/>
      </c>
      <c r="U1869" s="3" t="n">
        <v>235</v>
      </c>
      <c r="V1869" s="3" t="n"/>
      <c r="W1869" s="3" t="n"/>
      <c r="X1869" s="4" t="n"/>
      <c r="Y1869" s="5" t="n">
        <v>0.444</v>
      </c>
      <c r="Z1869" s="4">
        <f>IF(L1869&lt;&gt;"",SQRT(3)*G1869*L1869/1000,"")</f>
        <v/>
      </c>
      <c r="AA1869" t="inlineStr">
        <is>
          <t>Source=Copeland 2D/3D/4D/4R/6D/8D/9R compressors (pdf) p99</t>
        </is>
      </c>
      <c r="AB1869" t="inlineStr">
        <is>
          <t>Copeland_RLA_230_460_3ph_60Hz.xlsx</t>
        </is>
      </c>
      <c r="AC1869" t="inlineStr">
        <is>
          <t>Recip_2D-9R</t>
        </is>
      </c>
    </row>
    <row r="1870">
      <c r="A1870" t="inlineStr">
        <is>
          <t>COPELAND</t>
        </is>
      </c>
      <c r="B1870" t="inlineStr">
        <is>
          <t>6DT3A300L-FSD</t>
        </is>
      </c>
      <c r="D1870" t="inlineStr">
        <is>
          <t>Reciprocating Semi-hermetic</t>
        </is>
      </c>
      <c r="E1870" s="2" t="n">
        <v>3</v>
      </c>
      <c r="F1870" s="2" t="n">
        <v>60</v>
      </c>
      <c r="G1870" s="2" t="n">
        <v>460</v>
      </c>
      <c r="H1870" t="inlineStr">
        <is>
          <t>460</t>
        </is>
      </c>
      <c r="I1870" s="2" t="n">
        <v>460</v>
      </c>
      <c r="J1870" s="2" t="n">
        <v>460</v>
      </c>
      <c r="L1870" s="3" t="n"/>
      <c r="M1870" s="3" t="n"/>
      <c r="N1870" s="3" t="n">
        <v>42.9</v>
      </c>
      <c r="O1870" s="3" t="n"/>
      <c r="P1870" s="3">
        <f>IF(L1870&lt;&gt;"",L1870/1.4,"")</f>
        <v/>
      </c>
      <c r="Q1870" s="3">
        <f>IF(L1870&lt;&gt;"",L1870/1.56,"")</f>
        <v/>
      </c>
      <c r="R1870" s="3">
        <f>IF(M1870&lt;&gt;"",M1870/1.4,"")</f>
        <v/>
      </c>
      <c r="S1870" s="3">
        <f>IF(M1870&lt;&gt;"",M1870/1.56,"")</f>
        <v/>
      </c>
      <c r="T1870" s="3">
        <f>IF(N1870&lt;&gt;"",N1870,IF(O1870&lt;&gt;"",O1870,IF(L1870&lt;&gt;"",L1870/1.56,IF(M1870&lt;&gt;"",M1870/1.56,""))))</f>
        <v/>
      </c>
      <c r="U1870" s="3" t="n">
        <v>235</v>
      </c>
      <c r="V1870" s="3" t="n">
        <v>141</v>
      </c>
      <c r="W1870" s="3" t="n"/>
      <c r="X1870" s="4" t="n"/>
      <c r="Y1870" s="5" t="n">
        <v>0.45</v>
      </c>
      <c r="Z1870" s="4">
        <f>IF(L1870&lt;&gt;"",SQRT(3)*G1870*L1870/1000,"")</f>
        <v/>
      </c>
      <c r="AA1870" t="inlineStr">
        <is>
          <t>Source=Copeland 2D/3D/4D/4R/6D/8D/9R compressors (pdf) p99; PWS_RLA=21.4</t>
        </is>
      </c>
      <c r="AB1870" t="inlineStr">
        <is>
          <t>Copeland_RLA_230_460_3ph_60Hz.xlsx</t>
        </is>
      </c>
      <c r="AC1870" t="inlineStr">
        <is>
          <t>Recip_2D-9R</t>
        </is>
      </c>
    </row>
    <row r="1871">
      <c r="A1871" t="inlineStr">
        <is>
          <t>COPELAND</t>
        </is>
      </c>
      <c r="B1871" t="inlineStr">
        <is>
          <t>6DT3A300L-TSK</t>
        </is>
      </c>
      <c r="D1871" t="inlineStr">
        <is>
          <t>Reciprocating Semi-hermetic</t>
        </is>
      </c>
      <c r="E1871" s="2" t="n">
        <v>3</v>
      </c>
      <c r="F1871" s="2" t="n">
        <v>60</v>
      </c>
      <c r="G1871" s="2" t="n">
        <v>230</v>
      </c>
      <c r="H1871" t="inlineStr">
        <is>
          <t>208/230</t>
        </is>
      </c>
      <c r="I1871" s="2" t="n">
        <v>208</v>
      </c>
      <c r="J1871" s="2" t="n">
        <v>230</v>
      </c>
      <c r="L1871" s="3" t="n"/>
      <c r="M1871" s="3" t="n"/>
      <c r="N1871" s="3" t="n">
        <v>95.59999999999999</v>
      </c>
      <c r="O1871" s="3" t="n"/>
      <c r="P1871" s="3">
        <f>IF(L1871&lt;&gt;"",L1871/1.4,"")</f>
        <v/>
      </c>
      <c r="Q1871" s="3">
        <f>IF(L1871&lt;&gt;"",L1871/1.56,"")</f>
        <v/>
      </c>
      <c r="R1871" s="3">
        <f>IF(M1871&lt;&gt;"",M1871/1.4,"")</f>
        <v/>
      </c>
      <c r="S1871" s="3">
        <f>IF(M1871&lt;&gt;"",M1871/1.56,"")</f>
        <v/>
      </c>
      <c r="T1871" s="3">
        <f>IF(N1871&lt;&gt;"",N1871,IF(O1871&lt;&gt;"",O1871,IF(L1871&lt;&gt;"",L1871/1.56,IF(M1871&lt;&gt;"",M1871/1.56,""))))</f>
        <v/>
      </c>
      <c r="U1871" s="3" t="n">
        <v>470</v>
      </c>
      <c r="V1871" s="3" t="n">
        <v>292</v>
      </c>
      <c r="W1871" s="3" t="n"/>
      <c r="X1871" s="4" t="n"/>
      <c r="Y1871" s="5" t="n">
        <v>0.111</v>
      </c>
      <c r="Z1871" s="4">
        <f>IF(L1871&lt;&gt;"",SQRT(3)*G1871*L1871/1000,"")</f>
        <v/>
      </c>
      <c r="AA1871" t="inlineStr">
        <is>
          <t>Source=Copeland 2D/3D/4D/4R/6D/8D/9R compressors (pdf) p99; PWS_RLA=47.8</t>
        </is>
      </c>
      <c r="AB1871" t="inlineStr">
        <is>
          <t>Copeland_RLA_230_460_3ph_60Hz.xlsx</t>
        </is>
      </c>
      <c r="AC1871" t="inlineStr">
        <is>
          <t>Recip_2D-9R</t>
        </is>
      </c>
    </row>
    <row r="1872">
      <c r="A1872" t="inlineStr">
        <is>
          <t>COPELAND</t>
        </is>
      </c>
      <c r="B1872" t="inlineStr">
        <is>
          <t>6DT3A300L-TSK</t>
        </is>
      </c>
      <c r="D1872" t="inlineStr">
        <is>
          <t>Reciprocating Semi-hermetic</t>
        </is>
      </c>
      <c r="E1872" s="2" t="n">
        <v>3</v>
      </c>
      <c r="F1872" s="2" t="n">
        <v>60</v>
      </c>
      <c r="G1872" s="2" t="n">
        <v>460</v>
      </c>
      <c r="H1872" t="inlineStr">
        <is>
          <t>460</t>
        </is>
      </c>
      <c r="I1872" s="2" t="n">
        <v>460</v>
      </c>
      <c r="J1872" s="2" t="n">
        <v>460</v>
      </c>
      <c r="L1872" s="3" t="n"/>
      <c r="M1872" s="3" t="n"/>
      <c r="N1872" s="3" t="n">
        <v>47.8</v>
      </c>
      <c r="O1872" s="3" t="n"/>
      <c r="P1872" s="3">
        <f>IF(L1872&lt;&gt;"",L1872/1.4,"")</f>
        <v/>
      </c>
      <c r="Q1872" s="3">
        <f>IF(L1872&lt;&gt;"",L1872/1.56,"")</f>
        <v/>
      </c>
      <c r="R1872" s="3">
        <f>IF(M1872&lt;&gt;"",M1872/1.4,"")</f>
        <v/>
      </c>
      <c r="S1872" s="3">
        <f>IF(M1872&lt;&gt;"",M1872/1.56,"")</f>
        <v/>
      </c>
      <c r="T1872" s="3">
        <f>IF(N1872&lt;&gt;"",N1872,IF(O1872&lt;&gt;"",O1872,IF(L1872&lt;&gt;"",L1872/1.56,IF(M1872&lt;&gt;"",M1872/1.56,""))))</f>
        <v/>
      </c>
      <c r="U1872" s="3" t="n">
        <v>235</v>
      </c>
      <c r="V1872" s="3" t="n"/>
      <c r="W1872" s="3" t="n"/>
      <c r="X1872" s="4" t="n"/>
      <c r="Y1872" s="5" t="n">
        <v>0.444</v>
      </c>
      <c r="Z1872" s="4">
        <f>IF(L1872&lt;&gt;"",SQRT(3)*G1872*L1872/1000,"")</f>
        <v/>
      </c>
      <c r="AA1872" t="inlineStr">
        <is>
          <t>Source=Copeland 2D/3D/4D/4R/6D/8D/9R compressors (pdf) p99</t>
        </is>
      </c>
      <c r="AB1872" t="inlineStr">
        <is>
          <t>Copeland_RLA_230_460_3ph_60Hz.xlsx</t>
        </is>
      </c>
      <c r="AC1872" t="inlineStr">
        <is>
          <t>Recip_2D-9R</t>
        </is>
      </c>
    </row>
    <row r="1873">
      <c r="A1873" t="inlineStr">
        <is>
          <t>COPELAND</t>
        </is>
      </c>
      <c r="B1873" t="inlineStr">
        <is>
          <t>6DT3F11M0-FSD</t>
        </is>
      </c>
      <c r="D1873" t="inlineStr">
        <is>
          <t>Reciprocating Semi-hermetic</t>
        </is>
      </c>
      <c r="E1873" s="2" t="n">
        <v>3</v>
      </c>
      <c r="F1873" s="2" t="n">
        <v>60</v>
      </c>
      <c r="G1873" s="2" t="n">
        <v>460</v>
      </c>
      <c r="H1873" t="inlineStr">
        <is>
          <t>460</t>
        </is>
      </c>
      <c r="I1873" s="2" t="n">
        <v>460</v>
      </c>
      <c r="J1873" s="2" t="n">
        <v>460</v>
      </c>
      <c r="L1873" s="3" t="n"/>
      <c r="M1873" s="3" t="n"/>
      <c r="N1873" s="3" t="n">
        <v>42.9</v>
      </c>
      <c r="O1873" s="3" t="n"/>
      <c r="P1873" s="3">
        <f>IF(L1873&lt;&gt;"",L1873/1.4,"")</f>
        <v/>
      </c>
      <c r="Q1873" s="3">
        <f>IF(L1873&lt;&gt;"",L1873/1.56,"")</f>
        <v/>
      </c>
      <c r="R1873" s="3">
        <f>IF(M1873&lt;&gt;"",M1873/1.4,"")</f>
        <v/>
      </c>
      <c r="S1873" s="3">
        <f>IF(M1873&lt;&gt;"",M1873/1.56,"")</f>
        <v/>
      </c>
      <c r="T1873" s="3">
        <f>IF(N1873&lt;&gt;"",N1873,IF(O1873&lt;&gt;"",O1873,IF(L1873&lt;&gt;"",L1873/1.56,IF(M1873&lt;&gt;"",M1873/1.56,""))))</f>
        <v/>
      </c>
      <c r="U1873" s="3" t="n">
        <v>235</v>
      </c>
      <c r="V1873" s="3" t="n">
        <v>141</v>
      </c>
      <c r="W1873" s="3" t="n"/>
      <c r="X1873" s="4" t="n"/>
      <c r="Y1873" s="5" t="n">
        <v>0.45</v>
      </c>
      <c r="Z1873" s="4">
        <f>IF(L1873&lt;&gt;"",SQRT(3)*G1873*L1873/1000,"")</f>
        <v/>
      </c>
      <c r="AA1873" t="inlineStr">
        <is>
          <t>Source=Copeland 2D/3D/4D/4R/6D/8D/9R compressors (pdf) p99; PWS_RLA=21.4</t>
        </is>
      </c>
      <c r="AB1873" t="inlineStr">
        <is>
          <t>Copeland_RLA_230_460_3ph_60Hz.xlsx</t>
        </is>
      </c>
      <c r="AC1873" t="inlineStr">
        <is>
          <t>Recip_2D-9R</t>
        </is>
      </c>
    </row>
    <row r="1874">
      <c r="A1874" t="inlineStr">
        <is>
          <t>COPELAND</t>
        </is>
      </c>
      <c r="B1874" t="inlineStr">
        <is>
          <t>6DT3F11M0-TSK</t>
        </is>
      </c>
      <c r="D1874" t="inlineStr">
        <is>
          <t>Reciprocating Semi-hermetic</t>
        </is>
      </c>
      <c r="E1874" s="2" t="n">
        <v>3</v>
      </c>
      <c r="F1874" s="2" t="n">
        <v>60</v>
      </c>
      <c r="G1874" s="2" t="n">
        <v>230</v>
      </c>
      <c r="H1874" t="inlineStr">
        <is>
          <t>208/230</t>
        </is>
      </c>
      <c r="I1874" s="2" t="n">
        <v>208</v>
      </c>
      <c r="J1874" s="2" t="n">
        <v>230</v>
      </c>
      <c r="L1874" s="3" t="n"/>
      <c r="M1874" s="3" t="n"/>
      <c r="N1874" s="3" t="n">
        <v>95.59999999999999</v>
      </c>
      <c r="O1874" s="3" t="n"/>
      <c r="P1874" s="3">
        <f>IF(L1874&lt;&gt;"",L1874/1.4,"")</f>
        <v/>
      </c>
      <c r="Q1874" s="3">
        <f>IF(L1874&lt;&gt;"",L1874/1.56,"")</f>
        <v/>
      </c>
      <c r="R1874" s="3">
        <f>IF(M1874&lt;&gt;"",M1874/1.4,"")</f>
        <v/>
      </c>
      <c r="S1874" s="3">
        <f>IF(M1874&lt;&gt;"",M1874/1.56,"")</f>
        <v/>
      </c>
      <c r="T1874" s="3">
        <f>IF(N1874&lt;&gt;"",N1874,IF(O1874&lt;&gt;"",O1874,IF(L1874&lt;&gt;"",L1874/1.56,IF(M1874&lt;&gt;"",M1874/1.56,""))))</f>
        <v/>
      </c>
      <c r="U1874" s="3" t="n">
        <v>470</v>
      </c>
      <c r="V1874" s="3" t="n">
        <v>292</v>
      </c>
      <c r="W1874" s="3" t="n"/>
      <c r="X1874" s="4" t="n"/>
      <c r="Y1874" s="5" t="n">
        <v>0.111</v>
      </c>
      <c r="Z1874" s="4">
        <f>IF(L1874&lt;&gt;"",SQRT(3)*G1874*L1874/1000,"")</f>
        <v/>
      </c>
      <c r="AA1874" t="inlineStr">
        <is>
          <t>Source=Copeland 2D/3D/4D/4R/6D/8D/9R compressors (pdf) p100; PWS_RLA=47.8</t>
        </is>
      </c>
      <c r="AB1874" t="inlineStr">
        <is>
          <t>Copeland_RLA_230_460_3ph_60Hz.xlsx</t>
        </is>
      </c>
      <c r="AC1874" t="inlineStr">
        <is>
          <t>Recip_2D-9R</t>
        </is>
      </c>
    </row>
    <row r="1875">
      <c r="A1875" t="inlineStr">
        <is>
          <t>COPELAND</t>
        </is>
      </c>
      <c r="B1875" t="inlineStr">
        <is>
          <t>6DT3F11M0-TSK</t>
        </is>
      </c>
      <c r="D1875" t="inlineStr">
        <is>
          <t>Reciprocating Semi-hermetic</t>
        </is>
      </c>
      <c r="E1875" s="2" t="n">
        <v>3</v>
      </c>
      <c r="F1875" s="2" t="n">
        <v>60</v>
      </c>
      <c r="G1875" s="2" t="n">
        <v>460</v>
      </c>
      <c r="H1875" t="inlineStr">
        <is>
          <t>460</t>
        </is>
      </c>
      <c r="I1875" s="2" t="n">
        <v>460</v>
      </c>
      <c r="J1875" s="2" t="n">
        <v>460</v>
      </c>
      <c r="L1875" s="3" t="n"/>
      <c r="M1875" s="3" t="n"/>
      <c r="N1875" s="3" t="n">
        <v>47.8</v>
      </c>
      <c r="O1875" s="3" t="n"/>
      <c r="P1875" s="3">
        <f>IF(L1875&lt;&gt;"",L1875/1.4,"")</f>
        <v/>
      </c>
      <c r="Q1875" s="3">
        <f>IF(L1875&lt;&gt;"",L1875/1.56,"")</f>
        <v/>
      </c>
      <c r="R1875" s="3">
        <f>IF(M1875&lt;&gt;"",M1875/1.4,"")</f>
        <v/>
      </c>
      <c r="S1875" s="3">
        <f>IF(M1875&lt;&gt;"",M1875/1.56,"")</f>
        <v/>
      </c>
      <c r="T1875" s="3">
        <f>IF(N1875&lt;&gt;"",N1875,IF(O1875&lt;&gt;"",O1875,IF(L1875&lt;&gt;"",L1875/1.56,IF(M1875&lt;&gt;"",M1875/1.56,""))))</f>
        <v/>
      </c>
      <c r="U1875" s="3" t="n">
        <v>235</v>
      </c>
      <c r="V1875" s="3" t="n"/>
      <c r="W1875" s="3" t="n"/>
      <c r="X1875" s="4" t="n"/>
      <c r="Y1875" s="5" t="n">
        <v>0.444</v>
      </c>
      <c r="Z1875" s="4">
        <f>IF(L1875&lt;&gt;"",SQRT(3)*G1875*L1875/1000,"")</f>
        <v/>
      </c>
      <c r="AA1875" t="inlineStr">
        <is>
          <t>Source=Copeland 2D/3D/4D/4R/6D/8D/9R compressors (pdf) p100</t>
        </is>
      </c>
      <c r="AB1875" t="inlineStr">
        <is>
          <t>Copeland_RLA_230_460_3ph_60Hz.xlsx</t>
        </is>
      </c>
      <c r="AC1875" t="inlineStr">
        <is>
          <t>Recip_2D-9R</t>
        </is>
      </c>
    </row>
    <row r="1876">
      <c r="A1876" t="inlineStr">
        <is>
          <t>COPELAND</t>
        </is>
      </c>
      <c r="B1876" t="inlineStr">
        <is>
          <t>6DT3F11ME-FSD</t>
        </is>
      </c>
      <c r="D1876" t="inlineStr">
        <is>
          <t>Reciprocating Semi-hermetic</t>
        </is>
      </c>
      <c r="E1876" s="2" t="n">
        <v>3</v>
      </c>
      <c r="F1876" s="2" t="n">
        <v>60</v>
      </c>
      <c r="G1876" s="2" t="n">
        <v>460</v>
      </c>
      <c r="H1876" t="inlineStr">
        <is>
          <t>460</t>
        </is>
      </c>
      <c r="I1876" s="2" t="n">
        <v>460</v>
      </c>
      <c r="J1876" s="2" t="n">
        <v>460</v>
      </c>
      <c r="L1876" s="3" t="n"/>
      <c r="M1876" s="3" t="n"/>
      <c r="N1876" s="3" t="n">
        <v>47.4</v>
      </c>
      <c r="O1876" s="3" t="n"/>
      <c r="P1876" s="3">
        <f>IF(L1876&lt;&gt;"",L1876/1.4,"")</f>
        <v/>
      </c>
      <c r="Q1876" s="3">
        <f>IF(L1876&lt;&gt;"",L1876/1.56,"")</f>
        <v/>
      </c>
      <c r="R1876" s="3">
        <f>IF(M1876&lt;&gt;"",M1876/1.4,"")</f>
        <v/>
      </c>
      <c r="S1876" s="3">
        <f>IF(M1876&lt;&gt;"",M1876/1.56,"")</f>
        <v/>
      </c>
      <c r="T1876" s="3">
        <f>IF(N1876&lt;&gt;"",N1876,IF(O1876&lt;&gt;"",O1876,IF(L1876&lt;&gt;"",L1876/1.56,IF(M1876&lt;&gt;"",M1876/1.56,""))))</f>
        <v/>
      </c>
      <c r="U1876" s="3" t="n">
        <v>235</v>
      </c>
      <c r="V1876" s="3" t="n">
        <v>141</v>
      </c>
      <c r="W1876" s="3" t="n"/>
      <c r="X1876" s="4" t="n"/>
      <c r="Y1876" s="5" t="n">
        <v>0.45</v>
      </c>
      <c r="Z1876" s="4">
        <f>IF(L1876&lt;&gt;"",SQRT(3)*G1876*L1876/1000,"")</f>
        <v/>
      </c>
      <c r="AA1876" t="inlineStr">
        <is>
          <t>Source=Copeland 2D/3D/4D/4R/6D/8D/9R compressors (pdf) p100; PWS_RLA=23.7</t>
        </is>
      </c>
      <c r="AB1876" t="inlineStr">
        <is>
          <t>Copeland_RLA_230_460_3ph_60Hz.xlsx</t>
        </is>
      </c>
      <c r="AC1876" t="inlineStr">
        <is>
          <t>Recip_2D-9R</t>
        </is>
      </c>
    </row>
    <row r="1877">
      <c r="A1877" t="inlineStr">
        <is>
          <t>COPELAND</t>
        </is>
      </c>
      <c r="B1877" t="inlineStr">
        <is>
          <t>6DT3F11ME-TSK</t>
        </is>
      </c>
      <c r="D1877" t="inlineStr">
        <is>
          <t>Reciprocating Semi-hermetic</t>
        </is>
      </c>
      <c r="E1877" s="2" t="n">
        <v>3</v>
      </c>
      <c r="F1877" s="2" t="n">
        <v>60</v>
      </c>
      <c r="G1877" s="2" t="n">
        <v>230</v>
      </c>
      <c r="H1877" t="inlineStr">
        <is>
          <t>208/230</t>
        </is>
      </c>
      <c r="I1877" s="2" t="n">
        <v>208</v>
      </c>
      <c r="J1877" s="2" t="n">
        <v>230</v>
      </c>
      <c r="L1877" s="3" t="n"/>
      <c r="M1877" s="3" t="n"/>
      <c r="N1877" s="3" t="n">
        <v>95.7</v>
      </c>
      <c r="O1877" s="3" t="n"/>
      <c r="P1877" s="3">
        <f>IF(L1877&lt;&gt;"",L1877/1.4,"")</f>
        <v/>
      </c>
      <c r="Q1877" s="3">
        <f>IF(L1877&lt;&gt;"",L1877/1.56,"")</f>
        <v/>
      </c>
      <c r="R1877" s="3">
        <f>IF(M1877&lt;&gt;"",M1877/1.4,"")</f>
        <v/>
      </c>
      <c r="S1877" s="3">
        <f>IF(M1877&lt;&gt;"",M1877/1.56,"")</f>
        <v/>
      </c>
      <c r="T1877" s="3">
        <f>IF(N1877&lt;&gt;"",N1877,IF(O1877&lt;&gt;"",O1877,IF(L1877&lt;&gt;"",L1877/1.56,IF(M1877&lt;&gt;"",M1877/1.56,""))))</f>
        <v/>
      </c>
      <c r="U1877" s="3" t="n">
        <v>470</v>
      </c>
      <c r="V1877" s="3" t="n">
        <v>292</v>
      </c>
      <c r="W1877" s="3" t="n"/>
      <c r="X1877" s="4" t="n"/>
      <c r="Y1877" s="5" t="n">
        <v>0.111</v>
      </c>
      <c r="Z1877" s="4">
        <f>IF(L1877&lt;&gt;"",SQRT(3)*G1877*L1877/1000,"")</f>
        <v/>
      </c>
      <c r="AA1877" t="inlineStr">
        <is>
          <t>Source=Copeland 2D/3D/4D/4R/6D/8D/9R compressors (pdf) p100; PWS_RLA=47.8</t>
        </is>
      </c>
      <c r="AB1877" t="inlineStr">
        <is>
          <t>Copeland_RLA_230_460_3ph_60Hz.xlsx</t>
        </is>
      </c>
      <c r="AC1877" t="inlineStr">
        <is>
          <t>Recip_2D-9R</t>
        </is>
      </c>
    </row>
    <row r="1878">
      <c r="A1878" t="inlineStr">
        <is>
          <t>COPELAND</t>
        </is>
      </c>
      <c r="B1878" t="inlineStr">
        <is>
          <t>6DT3F11ME-TSK</t>
        </is>
      </c>
      <c r="D1878" t="inlineStr">
        <is>
          <t>Reciprocating Semi-hermetic</t>
        </is>
      </c>
      <c r="E1878" s="2" t="n">
        <v>3</v>
      </c>
      <c r="F1878" s="2" t="n">
        <v>60</v>
      </c>
      <c r="G1878" s="2" t="n">
        <v>460</v>
      </c>
      <c r="H1878" t="inlineStr">
        <is>
          <t>460</t>
        </is>
      </c>
      <c r="I1878" s="2" t="n">
        <v>460</v>
      </c>
      <c r="J1878" s="2" t="n">
        <v>460</v>
      </c>
      <c r="L1878" s="3" t="n"/>
      <c r="M1878" s="3" t="n"/>
      <c r="N1878" s="3" t="n">
        <v>47.9</v>
      </c>
      <c r="O1878" s="3" t="n"/>
      <c r="P1878" s="3">
        <f>IF(L1878&lt;&gt;"",L1878/1.4,"")</f>
        <v/>
      </c>
      <c r="Q1878" s="3">
        <f>IF(L1878&lt;&gt;"",L1878/1.56,"")</f>
        <v/>
      </c>
      <c r="R1878" s="3">
        <f>IF(M1878&lt;&gt;"",M1878/1.4,"")</f>
        <v/>
      </c>
      <c r="S1878" s="3">
        <f>IF(M1878&lt;&gt;"",M1878/1.56,"")</f>
        <v/>
      </c>
      <c r="T1878" s="3">
        <f>IF(N1878&lt;&gt;"",N1878,IF(O1878&lt;&gt;"",O1878,IF(L1878&lt;&gt;"",L1878/1.56,IF(M1878&lt;&gt;"",M1878/1.56,""))))</f>
        <v/>
      </c>
      <c r="U1878" s="3" t="n">
        <v>235</v>
      </c>
      <c r="V1878" s="3" t="n"/>
      <c r="W1878" s="3" t="n"/>
      <c r="X1878" s="4" t="n"/>
      <c r="Y1878" s="5" t="n">
        <v>0.444</v>
      </c>
      <c r="Z1878" s="4">
        <f>IF(L1878&lt;&gt;"",SQRT(3)*G1878*L1878/1000,"")</f>
        <v/>
      </c>
      <c r="AA1878" t="inlineStr">
        <is>
          <t>Source=Copeland 2D/3D/4D/4R/6D/8D/9R compressors (pdf) p100</t>
        </is>
      </c>
      <c r="AB1878" t="inlineStr">
        <is>
          <t>Copeland_RLA_230_460_3ph_60Hz.xlsx</t>
        </is>
      </c>
      <c r="AC1878" t="inlineStr">
        <is>
          <t>Recip_2D-9R</t>
        </is>
      </c>
    </row>
    <row r="1879">
      <c r="A1879" t="inlineStr">
        <is>
          <t>COPELAND</t>
        </is>
      </c>
      <c r="B1879" t="inlineStr">
        <is>
          <t>6DT3F11ML-FSD</t>
        </is>
      </c>
      <c r="D1879" t="inlineStr">
        <is>
          <t>Reciprocating Semi-hermetic</t>
        </is>
      </c>
      <c r="E1879" s="2" t="n">
        <v>3</v>
      </c>
      <c r="F1879" s="2" t="n">
        <v>60</v>
      </c>
      <c r="G1879" s="2" t="n">
        <v>460</v>
      </c>
      <c r="H1879" t="inlineStr">
        <is>
          <t>460</t>
        </is>
      </c>
      <c r="I1879" s="2" t="n">
        <v>460</v>
      </c>
      <c r="J1879" s="2" t="n">
        <v>460</v>
      </c>
      <c r="L1879" s="3" t="n"/>
      <c r="M1879" s="3" t="n"/>
      <c r="N1879" s="3" t="n">
        <v>47.4</v>
      </c>
      <c r="O1879" s="3" t="n"/>
      <c r="P1879" s="3">
        <f>IF(L1879&lt;&gt;"",L1879/1.4,"")</f>
        <v/>
      </c>
      <c r="Q1879" s="3">
        <f>IF(L1879&lt;&gt;"",L1879/1.56,"")</f>
        <v/>
      </c>
      <c r="R1879" s="3">
        <f>IF(M1879&lt;&gt;"",M1879/1.4,"")</f>
        <v/>
      </c>
      <c r="S1879" s="3">
        <f>IF(M1879&lt;&gt;"",M1879/1.56,"")</f>
        <v/>
      </c>
      <c r="T1879" s="3">
        <f>IF(N1879&lt;&gt;"",N1879,IF(O1879&lt;&gt;"",O1879,IF(L1879&lt;&gt;"",L1879/1.56,IF(M1879&lt;&gt;"",M1879/1.56,""))))</f>
        <v/>
      </c>
      <c r="U1879" s="3" t="n">
        <v>235</v>
      </c>
      <c r="V1879" s="3" t="n">
        <v>141</v>
      </c>
      <c r="W1879" s="3" t="n"/>
      <c r="X1879" s="4" t="n"/>
      <c r="Y1879" s="5" t="n">
        <v>0.45</v>
      </c>
      <c r="Z1879" s="4">
        <f>IF(L1879&lt;&gt;"",SQRT(3)*G1879*L1879/1000,"")</f>
        <v/>
      </c>
      <c r="AA1879" t="inlineStr">
        <is>
          <t>Source=Copeland 2D/3D/4D/4R/6D/8D/9R compressors (pdf) p100; PWS_RLA=23.7</t>
        </is>
      </c>
      <c r="AB1879" t="inlineStr">
        <is>
          <t>Copeland_RLA_230_460_3ph_60Hz.xlsx</t>
        </is>
      </c>
      <c r="AC1879" t="inlineStr">
        <is>
          <t>Recip_2D-9R</t>
        </is>
      </c>
    </row>
    <row r="1880">
      <c r="A1880" t="inlineStr">
        <is>
          <t>COPELAND</t>
        </is>
      </c>
      <c r="B1880" t="inlineStr">
        <is>
          <t>6DT3F11ML-TSK</t>
        </is>
      </c>
      <c r="D1880" t="inlineStr">
        <is>
          <t>Reciprocating Semi-hermetic</t>
        </is>
      </c>
      <c r="E1880" s="2" t="n">
        <v>3</v>
      </c>
      <c r="F1880" s="2" t="n">
        <v>60</v>
      </c>
      <c r="G1880" s="2" t="n">
        <v>230</v>
      </c>
      <c r="H1880" t="inlineStr">
        <is>
          <t>208/230</t>
        </is>
      </c>
      <c r="I1880" s="2" t="n">
        <v>208</v>
      </c>
      <c r="J1880" s="2" t="n">
        <v>230</v>
      </c>
      <c r="L1880" s="3" t="n"/>
      <c r="M1880" s="3" t="n"/>
      <c r="N1880" s="3" t="n">
        <v>95.7</v>
      </c>
      <c r="O1880" s="3" t="n"/>
      <c r="P1880" s="3">
        <f>IF(L1880&lt;&gt;"",L1880/1.4,"")</f>
        <v/>
      </c>
      <c r="Q1880" s="3">
        <f>IF(L1880&lt;&gt;"",L1880/1.56,"")</f>
        <v/>
      </c>
      <c r="R1880" s="3">
        <f>IF(M1880&lt;&gt;"",M1880/1.4,"")</f>
        <v/>
      </c>
      <c r="S1880" s="3">
        <f>IF(M1880&lt;&gt;"",M1880/1.56,"")</f>
        <v/>
      </c>
      <c r="T1880" s="3">
        <f>IF(N1880&lt;&gt;"",N1880,IF(O1880&lt;&gt;"",O1880,IF(L1880&lt;&gt;"",L1880/1.56,IF(M1880&lt;&gt;"",M1880/1.56,""))))</f>
        <v/>
      </c>
      <c r="U1880" s="3" t="n">
        <v>470</v>
      </c>
      <c r="V1880" s="3" t="n">
        <v>292</v>
      </c>
      <c r="W1880" s="3" t="n"/>
      <c r="X1880" s="4" t="n"/>
      <c r="Y1880" s="5" t="n">
        <v>0.111</v>
      </c>
      <c r="Z1880" s="4">
        <f>IF(L1880&lt;&gt;"",SQRT(3)*G1880*L1880/1000,"")</f>
        <v/>
      </c>
      <c r="AA1880" t="inlineStr">
        <is>
          <t>Source=Copeland 2D/3D/4D/4R/6D/8D/9R compressors (pdf) p100; PWS_RLA=47.8</t>
        </is>
      </c>
      <c r="AB1880" t="inlineStr">
        <is>
          <t>Copeland_RLA_230_460_3ph_60Hz.xlsx</t>
        </is>
      </c>
      <c r="AC1880" t="inlineStr">
        <is>
          <t>Recip_2D-9R</t>
        </is>
      </c>
    </row>
    <row r="1881">
      <c r="A1881" t="inlineStr">
        <is>
          <t>COPELAND</t>
        </is>
      </c>
      <c r="B1881" t="inlineStr">
        <is>
          <t>6DT3F11ML-TSK</t>
        </is>
      </c>
      <c r="D1881" t="inlineStr">
        <is>
          <t>Reciprocating Semi-hermetic</t>
        </is>
      </c>
      <c r="E1881" s="2" t="n">
        <v>3</v>
      </c>
      <c r="F1881" s="2" t="n">
        <v>60</v>
      </c>
      <c r="G1881" s="2" t="n">
        <v>460</v>
      </c>
      <c r="H1881" t="inlineStr">
        <is>
          <t>460</t>
        </is>
      </c>
      <c r="I1881" s="2" t="n">
        <v>460</v>
      </c>
      <c r="J1881" s="2" t="n">
        <v>460</v>
      </c>
      <c r="L1881" s="3" t="n"/>
      <c r="M1881" s="3" t="n"/>
      <c r="N1881" s="3" t="n">
        <v>47.9</v>
      </c>
      <c r="O1881" s="3" t="n"/>
      <c r="P1881" s="3">
        <f>IF(L1881&lt;&gt;"",L1881/1.4,"")</f>
        <v/>
      </c>
      <c r="Q1881" s="3">
        <f>IF(L1881&lt;&gt;"",L1881/1.56,"")</f>
        <v/>
      </c>
      <c r="R1881" s="3">
        <f>IF(M1881&lt;&gt;"",M1881/1.4,"")</f>
        <v/>
      </c>
      <c r="S1881" s="3">
        <f>IF(M1881&lt;&gt;"",M1881/1.56,"")</f>
        <v/>
      </c>
      <c r="T1881" s="3">
        <f>IF(N1881&lt;&gt;"",N1881,IF(O1881&lt;&gt;"",O1881,IF(L1881&lt;&gt;"",L1881/1.56,IF(M1881&lt;&gt;"",M1881/1.56,""))))</f>
        <v/>
      </c>
      <c r="U1881" s="3" t="n">
        <v>235</v>
      </c>
      <c r="V1881" s="3" t="n"/>
      <c r="W1881" s="3" t="n"/>
      <c r="X1881" s="4" t="n"/>
      <c r="Y1881" s="5" t="n">
        <v>0.444</v>
      </c>
      <c r="Z1881" s="4">
        <f>IF(L1881&lt;&gt;"",SQRT(3)*G1881*L1881/1000,"")</f>
        <v/>
      </c>
      <c r="AA1881" t="inlineStr">
        <is>
          <t>Source=Copeland 2D/3D/4D/4R/6D/8D/9R compressors (pdf) p100</t>
        </is>
      </c>
      <c r="AB1881" t="inlineStr">
        <is>
          <t>Copeland_RLA_230_460_3ph_60Hz.xlsx</t>
        </is>
      </c>
      <c r="AC1881" t="inlineStr">
        <is>
          <t>Recip_2D-9R</t>
        </is>
      </c>
    </row>
    <row r="1882">
      <c r="A1882" t="inlineStr">
        <is>
          <t>COPELAND</t>
        </is>
      </c>
      <c r="B1882" t="inlineStr">
        <is>
          <t>6DTG-3000-FSD</t>
        </is>
      </c>
      <c r="D1882" t="inlineStr">
        <is>
          <t>Reciprocating Semi-hermetic</t>
        </is>
      </c>
      <c r="E1882" s="2" t="n">
        <v>3</v>
      </c>
      <c r="F1882" s="2" t="n">
        <v>60</v>
      </c>
      <c r="G1882" s="2" t="n">
        <v>460</v>
      </c>
      <c r="H1882" t="inlineStr">
        <is>
          <t>460</t>
        </is>
      </c>
      <c r="I1882" s="2" t="n">
        <v>460</v>
      </c>
      <c r="J1882" s="2" t="n">
        <v>460</v>
      </c>
      <c r="L1882" s="3" t="n"/>
      <c r="M1882" s="3" t="n"/>
      <c r="N1882" s="3" t="n">
        <v>42.9</v>
      </c>
      <c r="O1882" s="3" t="n"/>
      <c r="P1882" s="3">
        <f>IF(L1882&lt;&gt;"",L1882/1.4,"")</f>
        <v/>
      </c>
      <c r="Q1882" s="3">
        <f>IF(L1882&lt;&gt;"",L1882/1.56,"")</f>
        <v/>
      </c>
      <c r="R1882" s="3">
        <f>IF(M1882&lt;&gt;"",M1882/1.4,"")</f>
        <v/>
      </c>
      <c r="S1882" s="3">
        <f>IF(M1882&lt;&gt;"",M1882/1.56,"")</f>
        <v/>
      </c>
      <c r="T1882" s="3">
        <f>IF(N1882&lt;&gt;"",N1882,IF(O1882&lt;&gt;"",O1882,IF(L1882&lt;&gt;"",L1882/1.56,IF(M1882&lt;&gt;"",M1882/1.56,""))))</f>
        <v/>
      </c>
      <c r="U1882" s="3" t="n">
        <v>235</v>
      </c>
      <c r="V1882" s="3" t="n">
        <v>141</v>
      </c>
      <c r="W1882" s="3" t="n"/>
      <c r="X1882" s="4" t="n"/>
      <c r="Y1882" s="5" t="n">
        <v>0.45</v>
      </c>
      <c r="Z1882" s="4">
        <f>IF(L1882&lt;&gt;"",SQRT(3)*G1882*L1882/1000,"")</f>
        <v/>
      </c>
      <c r="AA1882" t="inlineStr">
        <is>
          <t>Source=Copeland 2D/3D/4D/4R/6D/8D/9R compressors (pdf) p100; PWS_RLA=21.4</t>
        </is>
      </c>
      <c r="AB1882" t="inlineStr">
        <is>
          <t>Copeland_RLA_230_460_3ph_60Hz.xlsx</t>
        </is>
      </c>
      <c r="AC1882" t="inlineStr">
        <is>
          <t>Recip_2D-9R</t>
        </is>
      </c>
    </row>
    <row r="1883">
      <c r="A1883" t="inlineStr">
        <is>
          <t>COPELAND</t>
        </is>
      </c>
      <c r="B1883" t="inlineStr">
        <is>
          <t>6DTG-3000-TSK</t>
        </is>
      </c>
      <c r="D1883" t="inlineStr">
        <is>
          <t>Reciprocating Semi-hermetic</t>
        </is>
      </c>
      <c r="E1883" s="2" t="n">
        <v>3</v>
      </c>
      <c r="F1883" s="2" t="n">
        <v>60</v>
      </c>
      <c r="G1883" s="2" t="n">
        <v>230</v>
      </c>
      <c r="H1883" t="inlineStr">
        <is>
          <t>208/230</t>
        </is>
      </c>
      <c r="I1883" s="2" t="n">
        <v>208</v>
      </c>
      <c r="J1883" s="2" t="n">
        <v>230</v>
      </c>
      <c r="L1883" s="3" t="n"/>
      <c r="M1883" s="3" t="n"/>
      <c r="N1883" s="3" t="n">
        <v>95.59999999999999</v>
      </c>
      <c r="O1883" s="3" t="n"/>
      <c r="P1883" s="3">
        <f>IF(L1883&lt;&gt;"",L1883/1.4,"")</f>
        <v/>
      </c>
      <c r="Q1883" s="3">
        <f>IF(L1883&lt;&gt;"",L1883/1.56,"")</f>
        <v/>
      </c>
      <c r="R1883" s="3">
        <f>IF(M1883&lt;&gt;"",M1883/1.4,"")</f>
        <v/>
      </c>
      <c r="S1883" s="3">
        <f>IF(M1883&lt;&gt;"",M1883/1.56,"")</f>
        <v/>
      </c>
      <c r="T1883" s="3">
        <f>IF(N1883&lt;&gt;"",N1883,IF(O1883&lt;&gt;"",O1883,IF(L1883&lt;&gt;"",L1883/1.56,IF(M1883&lt;&gt;"",M1883/1.56,""))))</f>
        <v/>
      </c>
      <c r="U1883" s="3" t="n">
        <v>470</v>
      </c>
      <c r="V1883" s="3" t="n">
        <v>292</v>
      </c>
      <c r="W1883" s="3" t="n"/>
      <c r="X1883" s="4" t="n"/>
      <c r="Y1883" s="5" t="n">
        <v>0.111</v>
      </c>
      <c r="Z1883" s="4">
        <f>IF(L1883&lt;&gt;"",SQRT(3)*G1883*L1883/1000,"")</f>
        <v/>
      </c>
      <c r="AA1883" t="inlineStr">
        <is>
          <t>Source=Copeland 2D/3D/4D/4R/6D/8D/9R compressors (pdf) p100; PWS_RLA=47.8</t>
        </is>
      </c>
      <c r="AB1883" t="inlineStr">
        <is>
          <t>Copeland_RLA_230_460_3ph_60Hz.xlsx</t>
        </is>
      </c>
      <c r="AC1883" t="inlineStr">
        <is>
          <t>Recip_2D-9R</t>
        </is>
      </c>
    </row>
    <row r="1884">
      <c r="A1884" t="inlineStr">
        <is>
          <t>COPELAND</t>
        </is>
      </c>
      <c r="B1884" t="inlineStr">
        <is>
          <t>6DTG-3000-TSK</t>
        </is>
      </c>
      <c r="D1884" t="inlineStr">
        <is>
          <t>Reciprocating Semi-hermetic</t>
        </is>
      </c>
      <c r="E1884" s="2" t="n">
        <v>3</v>
      </c>
      <c r="F1884" s="2" t="n">
        <v>60</v>
      </c>
      <c r="G1884" s="2" t="n">
        <v>460</v>
      </c>
      <c r="H1884" t="inlineStr">
        <is>
          <t>460</t>
        </is>
      </c>
      <c r="I1884" s="2" t="n">
        <v>460</v>
      </c>
      <c r="J1884" s="2" t="n">
        <v>460</v>
      </c>
      <c r="L1884" s="3" t="n"/>
      <c r="M1884" s="3" t="n"/>
      <c r="N1884" s="3" t="n">
        <v>47.8</v>
      </c>
      <c r="O1884" s="3" t="n"/>
      <c r="P1884" s="3">
        <f>IF(L1884&lt;&gt;"",L1884/1.4,"")</f>
        <v/>
      </c>
      <c r="Q1884" s="3">
        <f>IF(L1884&lt;&gt;"",L1884/1.56,"")</f>
        <v/>
      </c>
      <c r="R1884" s="3">
        <f>IF(M1884&lt;&gt;"",M1884/1.4,"")</f>
        <v/>
      </c>
      <c r="S1884" s="3">
        <f>IF(M1884&lt;&gt;"",M1884/1.56,"")</f>
        <v/>
      </c>
      <c r="T1884" s="3">
        <f>IF(N1884&lt;&gt;"",N1884,IF(O1884&lt;&gt;"",O1884,IF(L1884&lt;&gt;"",L1884/1.56,IF(M1884&lt;&gt;"",M1884/1.56,""))))</f>
        <v/>
      </c>
      <c r="U1884" s="3" t="n">
        <v>235</v>
      </c>
      <c r="V1884" s="3" t="n"/>
      <c r="W1884" s="3" t="n"/>
      <c r="X1884" s="4" t="n"/>
      <c r="Y1884" s="5" t="n">
        <v>0.444</v>
      </c>
      <c r="Z1884" s="4">
        <f>IF(L1884&lt;&gt;"",SQRT(3)*G1884*L1884/1000,"")</f>
        <v/>
      </c>
      <c r="AA1884" t="inlineStr">
        <is>
          <t>Source=Copeland 2D/3D/4D/4R/6D/8D/9R compressors (pdf) p100</t>
        </is>
      </c>
      <c r="AB1884" t="inlineStr">
        <is>
          <t>Copeland_RLA_230_460_3ph_60Hz.xlsx</t>
        </is>
      </c>
      <c r="AC1884" t="inlineStr">
        <is>
          <t>Recip_2D-9R</t>
        </is>
      </c>
    </row>
    <row r="1885">
      <c r="A1885" t="inlineStr">
        <is>
          <t>COPELAND</t>
        </is>
      </c>
      <c r="B1885" t="inlineStr">
        <is>
          <t>6DTG-300E-FSD</t>
        </is>
      </c>
      <c r="D1885" t="inlineStr">
        <is>
          <t>Reciprocating Semi-hermetic</t>
        </is>
      </c>
      <c r="E1885" s="2" t="n">
        <v>3</v>
      </c>
      <c r="F1885" s="2" t="n">
        <v>60</v>
      </c>
      <c r="G1885" s="2" t="n">
        <v>460</v>
      </c>
      <c r="H1885" t="inlineStr">
        <is>
          <t>460</t>
        </is>
      </c>
      <c r="I1885" s="2" t="n">
        <v>460</v>
      </c>
      <c r="J1885" s="2" t="n">
        <v>460</v>
      </c>
      <c r="L1885" s="3" t="n"/>
      <c r="M1885" s="3" t="n"/>
      <c r="N1885" s="3" t="n">
        <v>42.9</v>
      </c>
      <c r="O1885" s="3" t="n"/>
      <c r="P1885" s="3">
        <f>IF(L1885&lt;&gt;"",L1885/1.4,"")</f>
        <v/>
      </c>
      <c r="Q1885" s="3">
        <f>IF(L1885&lt;&gt;"",L1885/1.56,"")</f>
        <v/>
      </c>
      <c r="R1885" s="3">
        <f>IF(M1885&lt;&gt;"",M1885/1.4,"")</f>
        <v/>
      </c>
      <c r="S1885" s="3">
        <f>IF(M1885&lt;&gt;"",M1885/1.56,"")</f>
        <v/>
      </c>
      <c r="T1885" s="3">
        <f>IF(N1885&lt;&gt;"",N1885,IF(O1885&lt;&gt;"",O1885,IF(L1885&lt;&gt;"",L1885/1.56,IF(M1885&lt;&gt;"",M1885/1.56,""))))</f>
        <v/>
      </c>
      <c r="U1885" s="3" t="n">
        <v>235</v>
      </c>
      <c r="V1885" s="3" t="n">
        <v>141</v>
      </c>
      <c r="W1885" s="3" t="n"/>
      <c r="X1885" s="4" t="n"/>
      <c r="Y1885" s="5" t="n">
        <v>0.45</v>
      </c>
      <c r="Z1885" s="4">
        <f>IF(L1885&lt;&gt;"",SQRT(3)*G1885*L1885/1000,"")</f>
        <v/>
      </c>
      <c r="AA1885" t="inlineStr">
        <is>
          <t>Source=Copeland 2D/3D/4D/4R/6D/8D/9R compressors (pdf) p100; PWS_RLA=21.4</t>
        </is>
      </c>
      <c r="AB1885" t="inlineStr">
        <is>
          <t>Copeland_RLA_230_460_3ph_60Hz.xlsx</t>
        </is>
      </c>
      <c r="AC1885" t="inlineStr">
        <is>
          <t>Recip_2D-9R</t>
        </is>
      </c>
    </row>
    <row r="1886">
      <c r="A1886" t="inlineStr">
        <is>
          <t>COPELAND</t>
        </is>
      </c>
      <c r="B1886" t="inlineStr">
        <is>
          <t>6DTG-300E-TSK</t>
        </is>
      </c>
      <c r="D1886" t="inlineStr">
        <is>
          <t>Reciprocating Semi-hermetic</t>
        </is>
      </c>
      <c r="E1886" s="2" t="n">
        <v>3</v>
      </c>
      <c r="F1886" s="2" t="n">
        <v>60</v>
      </c>
      <c r="G1886" s="2" t="n">
        <v>230</v>
      </c>
      <c r="H1886" t="inlineStr">
        <is>
          <t>208/230</t>
        </is>
      </c>
      <c r="I1886" s="2" t="n">
        <v>208</v>
      </c>
      <c r="J1886" s="2" t="n">
        <v>230</v>
      </c>
      <c r="L1886" s="3" t="n"/>
      <c r="M1886" s="3" t="n"/>
      <c r="N1886" s="3" t="n">
        <v>95.59999999999999</v>
      </c>
      <c r="O1886" s="3" t="n"/>
      <c r="P1886" s="3">
        <f>IF(L1886&lt;&gt;"",L1886/1.4,"")</f>
        <v/>
      </c>
      <c r="Q1886" s="3">
        <f>IF(L1886&lt;&gt;"",L1886/1.56,"")</f>
        <v/>
      </c>
      <c r="R1886" s="3">
        <f>IF(M1886&lt;&gt;"",M1886/1.4,"")</f>
        <v/>
      </c>
      <c r="S1886" s="3">
        <f>IF(M1886&lt;&gt;"",M1886/1.56,"")</f>
        <v/>
      </c>
      <c r="T1886" s="3">
        <f>IF(N1886&lt;&gt;"",N1886,IF(O1886&lt;&gt;"",O1886,IF(L1886&lt;&gt;"",L1886/1.56,IF(M1886&lt;&gt;"",M1886/1.56,""))))</f>
        <v/>
      </c>
      <c r="U1886" s="3" t="n">
        <v>470</v>
      </c>
      <c r="V1886" s="3" t="n">
        <v>292</v>
      </c>
      <c r="W1886" s="3" t="n"/>
      <c r="X1886" s="4" t="n"/>
      <c r="Y1886" s="5" t="n">
        <v>0.111</v>
      </c>
      <c r="Z1886" s="4">
        <f>IF(L1886&lt;&gt;"",SQRT(3)*G1886*L1886/1000,"")</f>
        <v/>
      </c>
      <c r="AA1886" t="inlineStr">
        <is>
          <t>Source=Copeland 2D/3D/4D/4R/6D/8D/9R compressors (pdf) p100; PWS_RLA=47.8</t>
        </is>
      </c>
      <c r="AB1886" t="inlineStr">
        <is>
          <t>Copeland_RLA_230_460_3ph_60Hz.xlsx</t>
        </is>
      </c>
      <c r="AC1886" t="inlineStr">
        <is>
          <t>Recip_2D-9R</t>
        </is>
      </c>
    </row>
    <row r="1887">
      <c r="A1887" t="inlineStr">
        <is>
          <t>COPELAND</t>
        </is>
      </c>
      <c r="B1887" t="inlineStr">
        <is>
          <t>6DTG-300E-TSK</t>
        </is>
      </c>
      <c r="D1887" t="inlineStr">
        <is>
          <t>Reciprocating Semi-hermetic</t>
        </is>
      </c>
      <c r="E1887" s="2" t="n">
        <v>3</v>
      </c>
      <c r="F1887" s="2" t="n">
        <v>60</v>
      </c>
      <c r="G1887" s="2" t="n">
        <v>460</v>
      </c>
      <c r="H1887" t="inlineStr">
        <is>
          <t>460</t>
        </is>
      </c>
      <c r="I1887" s="2" t="n">
        <v>460</v>
      </c>
      <c r="J1887" s="2" t="n">
        <v>460</v>
      </c>
      <c r="L1887" s="3" t="n"/>
      <c r="M1887" s="3" t="n"/>
      <c r="N1887" s="3" t="n">
        <v>47.8</v>
      </c>
      <c r="O1887" s="3" t="n"/>
      <c r="P1887" s="3">
        <f>IF(L1887&lt;&gt;"",L1887/1.4,"")</f>
        <v/>
      </c>
      <c r="Q1887" s="3">
        <f>IF(L1887&lt;&gt;"",L1887/1.56,"")</f>
        <v/>
      </c>
      <c r="R1887" s="3">
        <f>IF(M1887&lt;&gt;"",M1887/1.4,"")</f>
        <v/>
      </c>
      <c r="S1887" s="3">
        <f>IF(M1887&lt;&gt;"",M1887/1.56,"")</f>
        <v/>
      </c>
      <c r="T1887" s="3">
        <f>IF(N1887&lt;&gt;"",N1887,IF(O1887&lt;&gt;"",O1887,IF(L1887&lt;&gt;"",L1887/1.56,IF(M1887&lt;&gt;"",M1887/1.56,""))))</f>
        <v/>
      </c>
      <c r="U1887" s="3" t="n">
        <v>235</v>
      </c>
      <c r="V1887" s="3" t="n"/>
      <c r="W1887" s="3" t="n"/>
      <c r="X1887" s="4" t="n"/>
      <c r="Y1887" s="5" t="n">
        <v>0.444</v>
      </c>
      <c r="Z1887" s="4">
        <f>IF(L1887&lt;&gt;"",SQRT(3)*G1887*L1887/1000,"")</f>
        <v/>
      </c>
      <c r="AA1887" t="inlineStr">
        <is>
          <t>Source=Copeland 2D/3D/4D/4R/6D/8D/9R compressors (pdf) p100</t>
        </is>
      </c>
      <c r="AB1887" t="inlineStr">
        <is>
          <t>Copeland_RLA_230_460_3ph_60Hz.xlsx</t>
        </is>
      </c>
      <c r="AC1887" t="inlineStr">
        <is>
          <t>Recip_2D-9R</t>
        </is>
      </c>
    </row>
    <row r="1888">
      <c r="A1888" t="inlineStr">
        <is>
          <t>COPELAND</t>
        </is>
      </c>
      <c r="B1888" t="inlineStr">
        <is>
          <t>6DTGA300E-FSD</t>
        </is>
      </c>
      <c r="D1888" t="inlineStr">
        <is>
          <t>Reciprocating Semi-hermetic</t>
        </is>
      </c>
      <c r="E1888" s="2" t="n">
        <v>3</v>
      </c>
      <c r="F1888" s="2" t="n">
        <v>60</v>
      </c>
      <c r="G1888" s="2" t="n">
        <v>460</v>
      </c>
      <c r="H1888" t="inlineStr">
        <is>
          <t>460</t>
        </is>
      </c>
      <c r="I1888" s="2" t="n">
        <v>460</v>
      </c>
      <c r="J1888" s="2" t="n">
        <v>460</v>
      </c>
      <c r="L1888" s="3" t="n"/>
      <c r="M1888" s="3" t="n"/>
      <c r="N1888" s="3" t="n">
        <v>42.9</v>
      </c>
      <c r="O1888" s="3" t="n"/>
      <c r="P1888" s="3">
        <f>IF(L1888&lt;&gt;"",L1888/1.4,"")</f>
        <v/>
      </c>
      <c r="Q1888" s="3">
        <f>IF(L1888&lt;&gt;"",L1888/1.56,"")</f>
        <v/>
      </c>
      <c r="R1888" s="3">
        <f>IF(M1888&lt;&gt;"",M1888/1.4,"")</f>
        <v/>
      </c>
      <c r="S1888" s="3">
        <f>IF(M1888&lt;&gt;"",M1888/1.56,"")</f>
        <v/>
      </c>
      <c r="T1888" s="3">
        <f>IF(N1888&lt;&gt;"",N1888,IF(O1888&lt;&gt;"",O1888,IF(L1888&lt;&gt;"",L1888/1.56,IF(M1888&lt;&gt;"",M1888/1.56,""))))</f>
        <v/>
      </c>
      <c r="U1888" s="3" t="n">
        <v>235</v>
      </c>
      <c r="V1888" s="3" t="n">
        <v>141</v>
      </c>
      <c r="W1888" s="3" t="n"/>
      <c r="X1888" s="4" t="n"/>
      <c r="Y1888" s="5" t="n">
        <v>0.45</v>
      </c>
      <c r="Z1888" s="4">
        <f>IF(L1888&lt;&gt;"",SQRT(3)*G1888*L1888/1000,"")</f>
        <v/>
      </c>
      <c r="AA1888" t="inlineStr">
        <is>
          <t>Source=Copeland 2D/3D/4D/4R/6D/8D/9R compressors (pdf) p100; PWS_RLA=21.4</t>
        </is>
      </c>
      <c r="AB1888" t="inlineStr">
        <is>
          <t>Copeland_RLA_230_460_3ph_60Hz.xlsx</t>
        </is>
      </c>
      <c r="AC1888" t="inlineStr">
        <is>
          <t>Recip_2D-9R</t>
        </is>
      </c>
    </row>
    <row r="1889">
      <c r="A1889" t="inlineStr">
        <is>
          <t>COPELAND</t>
        </is>
      </c>
      <c r="B1889" t="inlineStr">
        <is>
          <t>6DW3-3000-FSD</t>
        </is>
      </c>
      <c r="D1889" t="inlineStr">
        <is>
          <t>Reciprocating Semi-hermetic</t>
        </is>
      </c>
      <c r="E1889" s="2" t="n">
        <v>3</v>
      </c>
      <c r="F1889" s="2" t="n">
        <v>60</v>
      </c>
      <c r="G1889" s="2" t="n">
        <v>460</v>
      </c>
      <c r="H1889" t="inlineStr">
        <is>
          <t>460</t>
        </is>
      </c>
      <c r="I1889" s="2" t="n">
        <v>460</v>
      </c>
      <c r="J1889" s="2" t="n">
        <v>460</v>
      </c>
      <c r="L1889" s="3" t="n"/>
      <c r="M1889" s="3" t="n"/>
      <c r="N1889" s="3" t="n">
        <v>50</v>
      </c>
      <c r="O1889" s="3" t="n"/>
      <c r="P1889" s="3">
        <f>IF(L1889&lt;&gt;"",L1889/1.4,"")</f>
        <v/>
      </c>
      <c r="Q1889" s="3">
        <f>IF(L1889&lt;&gt;"",L1889/1.56,"")</f>
        <v/>
      </c>
      <c r="R1889" s="3">
        <f>IF(M1889&lt;&gt;"",M1889/1.4,"")</f>
        <v/>
      </c>
      <c r="S1889" s="3">
        <f>IF(M1889&lt;&gt;"",M1889/1.56,"")</f>
        <v/>
      </c>
      <c r="T1889" s="3">
        <f>IF(N1889&lt;&gt;"",N1889,IF(O1889&lt;&gt;"",O1889,IF(L1889&lt;&gt;"",L1889/1.56,IF(M1889&lt;&gt;"",M1889/1.56,""))))</f>
        <v/>
      </c>
      <c r="U1889" s="3" t="n">
        <v>260</v>
      </c>
      <c r="V1889" s="3" t="n">
        <v>156</v>
      </c>
      <c r="W1889" s="3" t="n"/>
      <c r="X1889" s="4" t="n"/>
      <c r="Y1889" s="5" t="n">
        <v>0.39</v>
      </c>
      <c r="Z1889" s="4">
        <f>IF(L1889&lt;&gt;"",SQRT(3)*G1889*L1889/1000,"")</f>
        <v/>
      </c>
      <c r="AA1889" t="inlineStr">
        <is>
          <t>Source=Copeland 2D/3D/4D/4R/6D/8D/9R compressors (pdf) p100; PWS_RLA=25.0</t>
        </is>
      </c>
      <c r="AB1889" t="inlineStr">
        <is>
          <t>Copeland_RLA_230_460_3ph_60Hz.xlsx</t>
        </is>
      </c>
      <c r="AC1889" t="inlineStr">
        <is>
          <t>Recip_2D-9R</t>
        </is>
      </c>
    </row>
    <row r="1890">
      <c r="A1890" t="inlineStr">
        <is>
          <t>COPELAND</t>
        </is>
      </c>
      <c r="B1890" t="inlineStr">
        <is>
          <t>6DW3-3000-TSK</t>
        </is>
      </c>
      <c r="D1890" t="inlineStr">
        <is>
          <t>Reciprocating Semi-hermetic</t>
        </is>
      </c>
      <c r="E1890" s="2" t="n">
        <v>3</v>
      </c>
      <c r="F1890" s="2" t="n">
        <v>60</v>
      </c>
      <c r="G1890" s="2" t="n">
        <v>230</v>
      </c>
      <c r="H1890" t="inlineStr">
        <is>
          <t>208/230</t>
        </is>
      </c>
      <c r="I1890" s="2" t="n">
        <v>208</v>
      </c>
      <c r="J1890" s="2" t="n">
        <v>230</v>
      </c>
      <c r="L1890" s="3" t="n"/>
      <c r="M1890" s="3" t="n"/>
      <c r="N1890" s="3" t="n">
        <v>105</v>
      </c>
      <c r="O1890" s="3" t="n"/>
      <c r="P1890" s="3">
        <f>IF(L1890&lt;&gt;"",L1890/1.4,"")</f>
        <v/>
      </c>
      <c r="Q1890" s="3">
        <f>IF(L1890&lt;&gt;"",L1890/1.56,"")</f>
        <v/>
      </c>
      <c r="R1890" s="3">
        <f>IF(M1890&lt;&gt;"",M1890/1.4,"")</f>
        <v/>
      </c>
      <c r="S1890" s="3">
        <f>IF(M1890&lt;&gt;"",M1890/1.56,"")</f>
        <v/>
      </c>
      <c r="T1890" s="3">
        <f>IF(N1890&lt;&gt;"",N1890,IF(O1890&lt;&gt;"",O1890,IF(L1890&lt;&gt;"",L1890/1.56,IF(M1890&lt;&gt;"",M1890/1.56,""))))</f>
        <v/>
      </c>
      <c r="U1890" s="3" t="n">
        <v>565</v>
      </c>
      <c r="V1890" s="3" t="n">
        <v>340</v>
      </c>
      <c r="W1890" s="3" t="n"/>
      <c r="X1890" s="4" t="n"/>
      <c r="Y1890" s="5" t="n">
        <v>0.08699999999999999</v>
      </c>
      <c r="Z1890" s="4">
        <f>IF(L1890&lt;&gt;"",SQRT(3)*G1890*L1890/1000,"")</f>
        <v/>
      </c>
      <c r="AA1890" t="inlineStr">
        <is>
          <t>Source=Copeland 2D/3D/4D/4R/6D/8D/9R compressors (pdf) p100; PWS_RLA=52.5</t>
        </is>
      </c>
      <c r="AB1890" t="inlineStr">
        <is>
          <t>Copeland_RLA_230_460_3ph_60Hz.xlsx</t>
        </is>
      </c>
      <c r="AC1890" t="inlineStr">
        <is>
          <t>Recip_2D-9R</t>
        </is>
      </c>
    </row>
    <row r="1891">
      <c r="A1891" t="inlineStr">
        <is>
          <t>COPELAND</t>
        </is>
      </c>
      <c r="B1891" t="inlineStr">
        <is>
          <t>6DW3-3000-TSK</t>
        </is>
      </c>
      <c r="D1891" t="inlineStr">
        <is>
          <t>Reciprocating Semi-hermetic</t>
        </is>
      </c>
      <c r="E1891" s="2" t="n">
        <v>3</v>
      </c>
      <c r="F1891" s="2" t="n">
        <v>60</v>
      </c>
      <c r="G1891" s="2" t="n">
        <v>460</v>
      </c>
      <c r="H1891" t="inlineStr">
        <is>
          <t>460</t>
        </is>
      </c>
      <c r="I1891" s="2" t="n">
        <v>460</v>
      </c>
      <c r="J1891" s="2" t="n">
        <v>460</v>
      </c>
      <c r="L1891" s="3" t="n"/>
      <c r="M1891" s="3" t="n"/>
      <c r="N1891" s="3" t="n">
        <v>52.5</v>
      </c>
      <c r="O1891" s="3" t="n"/>
      <c r="P1891" s="3">
        <f>IF(L1891&lt;&gt;"",L1891/1.4,"")</f>
        <v/>
      </c>
      <c r="Q1891" s="3">
        <f>IF(L1891&lt;&gt;"",L1891/1.56,"")</f>
        <v/>
      </c>
      <c r="R1891" s="3">
        <f>IF(M1891&lt;&gt;"",M1891/1.4,"")</f>
        <v/>
      </c>
      <c r="S1891" s="3">
        <f>IF(M1891&lt;&gt;"",M1891/1.56,"")</f>
        <v/>
      </c>
      <c r="T1891" s="3">
        <f>IF(N1891&lt;&gt;"",N1891,IF(O1891&lt;&gt;"",O1891,IF(L1891&lt;&gt;"",L1891/1.56,IF(M1891&lt;&gt;"",M1891/1.56,""))))</f>
        <v/>
      </c>
      <c r="U1891" s="3" t="n">
        <v>283</v>
      </c>
      <c r="V1891" s="3" t="n"/>
      <c r="W1891" s="3" t="n"/>
      <c r="X1891" s="4" t="n"/>
      <c r="Y1891" s="5" t="n">
        <v>0.348</v>
      </c>
      <c r="Z1891" s="4">
        <f>IF(L1891&lt;&gt;"",SQRT(3)*G1891*L1891/1000,"")</f>
        <v/>
      </c>
      <c r="AA1891" t="inlineStr">
        <is>
          <t>Source=Copeland 2D/3D/4D/4R/6D/8D/9R compressors (pdf) p100</t>
        </is>
      </c>
      <c r="AB1891" t="inlineStr">
        <is>
          <t>Copeland_RLA_230_460_3ph_60Hz.xlsx</t>
        </is>
      </c>
      <c r="AC1891" t="inlineStr">
        <is>
          <t>Recip_2D-9R</t>
        </is>
      </c>
    </row>
    <row r="1892">
      <c r="A1892" t="inlineStr">
        <is>
          <t>COPELAND</t>
        </is>
      </c>
      <c r="B1892" t="inlineStr">
        <is>
          <t>6DW3-300E-FSD</t>
        </is>
      </c>
      <c r="D1892" t="inlineStr">
        <is>
          <t>Reciprocating Semi-hermetic</t>
        </is>
      </c>
      <c r="E1892" s="2" t="n">
        <v>3</v>
      </c>
      <c r="F1892" s="2" t="n">
        <v>60</v>
      </c>
      <c r="G1892" s="2" t="n">
        <v>460</v>
      </c>
      <c r="H1892" t="inlineStr">
        <is>
          <t>460</t>
        </is>
      </c>
      <c r="I1892" s="2" t="n">
        <v>460</v>
      </c>
      <c r="J1892" s="2" t="n">
        <v>460</v>
      </c>
      <c r="L1892" s="3" t="n"/>
      <c r="M1892" s="3" t="n"/>
      <c r="N1892" s="3" t="n">
        <v>50</v>
      </c>
      <c r="O1892" s="3" t="n"/>
      <c r="P1892" s="3">
        <f>IF(L1892&lt;&gt;"",L1892/1.4,"")</f>
        <v/>
      </c>
      <c r="Q1892" s="3">
        <f>IF(L1892&lt;&gt;"",L1892/1.56,"")</f>
        <v/>
      </c>
      <c r="R1892" s="3">
        <f>IF(M1892&lt;&gt;"",M1892/1.4,"")</f>
        <v/>
      </c>
      <c r="S1892" s="3">
        <f>IF(M1892&lt;&gt;"",M1892/1.56,"")</f>
        <v/>
      </c>
      <c r="T1892" s="3">
        <f>IF(N1892&lt;&gt;"",N1892,IF(O1892&lt;&gt;"",O1892,IF(L1892&lt;&gt;"",L1892/1.56,IF(M1892&lt;&gt;"",M1892/1.56,""))))</f>
        <v/>
      </c>
      <c r="U1892" s="3" t="n">
        <v>260</v>
      </c>
      <c r="V1892" s="3" t="n">
        <v>156</v>
      </c>
      <c r="W1892" s="3" t="n"/>
      <c r="X1892" s="4" t="n"/>
      <c r="Y1892" s="5" t="n">
        <v>0.39</v>
      </c>
      <c r="Z1892" s="4">
        <f>IF(L1892&lt;&gt;"",SQRT(3)*G1892*L1892/1000,"")</f>
        <v/>
      </c>
      <c r="AA1892" t="inlineStr">
        <is>
          <t>Source=Copeland 2D/3D/4D/4R/6D/8D/9R compressors (pdf) p101; PWS_RLA=25.0</t>
        </is>
      </c>
      <c r="AB1892" t="inlineStr">
        <is>
          <t>Copeland_RLA_230_460_3ph_60Hz.xlsx</t>
        </is>
      </c>
      <c r="AC1892" t="inlineStr">
        <is>
          <t>Recip_2D-9R</t>
        </is>
      </c>
    </row>
    <row r="1893">
      <c r="A1893" t="inlineStr">
        <is>
          <t>COPELAND</t>
        </is>
      </c>
      <c r="B1893" t="inlineStr">
        <is>
          <t>6DW3-300E-TSK</t>
        </is>
      </c>
      <c r="D1893" t="inlineStr">
        <is>
          <t>Reciprocating Semi-hermetic</t>
        </is>
      </c>
      <c r="E1893" s="2" t="n">
        <v>3</v>
      </c>
      <c r="F1893" s="2" t="n">
        <v>60</v>
      </c>
      <c r="G1893" s="2" t="n">
        <v>230</v>
      </c>
      <c r="H1893" t="inlineStr">
        <is>
          <t>208/230</t>
        </is>
      </c>
      <c r="I1893" s="2" t="n">
        <v>208</v>
      </c>
      <c r="J1893" s="2" t="n">
        <v>230</v>
      </c>
      <c r="L1893" s="3" t="n"/>
      <c r="M1893" s="3" t="n"/>
      <c r="N1893" s="3" t="n">
        <v>105</v>
      </c>
      <c r="O1893" s="3" t="n"/>
      <c r="P1893" s="3">
        <f>IF(L1893&lt;&gt;"",L1893/1.4,"")</f>
        <v/>
      </c>
      <c r="Q1893" s="3">
        <f>IF(L1893&lt;&gt;"",L1893/1.56,"")</f>
        <v/>
      </c>
      <c r="R1893" s="3">
        <f>IF(M1893&lt;&gt;"",M1893/1.4,"")</f>
        <v/>
      </c>
      <c r="S1893" s="3">
        <f>IF(M1893&lt;&gt;"",M1893/1.56,"")</f>
        <v/>
      </c>
      <c r="T1893" s="3">
        <f>IF(N1893&lt;&gt;"",N1893,IF(O1893&lt;&gt;"",O1893,IF(L1893&lt;&gt;"",L1893/1.56,IF(M1893&lt;&gt;"",M1893/1.56,""))))</f>
        <v/>
      </c>
      <c r="U1893" s="3" t="n">
        <v>565</v>
      </c>
      <c r="V1893" s="3" t="n">
        <v>340</v>
      </c>
      <c r="W1893" s="3" t="n"/>
      <c r="X1893" s="4" t="n"/>
      <c r="Y1893" s="5" t="n">
        <v>0.08699999999999999</v>
      </c>
      <c r="Z1893" s="4">
        <f>IF(L1893&lt;&gt;"",SQRT(3)*G1893*L1893/1000,"")</f>
        <v/>
      </c>
      <c r="AA1893" t="inlineStr">
        <is>
          <t>Source=Copeland 2D/3D/4D/4R/6D/8D/9R compressors (pdf) p101; PWS_RLA=52.5</t>
        </is>
      </c>
      <c r="AB1893" t="inlineStr">
        <is>
          <t>Copeland_RLA_230_460_3ph_60Hz.xlsx</t>
        </is>
      </c>
      <c r="AC1893" t="inlineStr">
        <is>
          <t>Recip_2D-9R</t>
        </is>
      </c>
    </row>
    <row r="1894">
      <c r="A1894" t="inlineStr">
        <is>
          <t>COPELAND</t>
        </is>
      </c>
      <c r="B1894" t="inlineStr">
        <is>
          <t>6DW3-300E-TSK</t>
        </is>
      </c>
      <c r="D1894" t="inlineStr">
        <is>
          <t>Reciprocating Semi-hermetic</t>
        </is>
      </c>
      <c r="E1894" s="2" t="n">
        <v>3</v>
      </c>
      <c r="F1894" s="2" t="n">
        <v>60</v>
      </c>
      <c r="G1894" s="2" t="n">
        <v>460</v>
      </c>
      <c r="H1894" t="inlineStr">
        <is>
          <t>460</t>
        </is>
      </c>
      <c r="I1894" s="2" t="n">
        <v>460</v>
      </c>
      <c r="J1894" s="2" t="n">
        <v>460</v>
      </c>
      <c r="L1894" s="3" t="n"/>
      <c r="M1894" s="3" t="n"/>
      <c r="N1894" s="3" t="n">
        <v>52.5</v>
      </c>
      <c r="O1894" s="3" t="n"/>
      <c r="P1894" s="3">
        <f>IF(L1894&lt;&gt;"",L1894/1.4,"")</f>
        <v/>
      </c>
      <c r="Q1894" s="3">
        <f>IF(L1894&lt;&gt;"",L1894/1.56,"")</f>
        <v/>
      </c>
      <c r="R1894" s="3">
        <f>IF(M1894&lt;&gt;"",M1894/1.4,"")</f>
        <v/>
      </c>
      <c r="S1894" s="3">
        <f>IF(M1894&lt;&gt;"",M1894/1.56,"")</f>
        <v/>
      </c>
      <c r="T1894" s="3">
        <f>IF(N1894&lt;&gt;"",N1894,IF(O1894&lt;&gt;"",O1894,IF(L1894&lt;&gt;"",L1894/1.56,IF(M1894&lt;&gt;"",M1894/1.56,""))))</f>
        <v/>
      </c>
      <c r="U1894" s="3" t="n">
        <v>283</v>
      </c>
      <c r="V1894" s="3" t="n"/>
      <c r="W1894" s="3" t="n"/>
      <c r="X1894" s="4" t="n"/>
      <c r="Y1894" s="5" t="n">
        <v>0.348</v>
      </c>
      <c r="Z1894" s="4">
        <f>IF(L1894&lt;&gt;"",SQRT(3)*G1894*L1894/1000,"")</f>
        <v/>
      </c>
      <c r="AA1894" t="inlineStr">
        <is>
          <t>Source=Copeland 2D/3D/4D/4R/6D/8D/9R compressors (pdf) p101</t>
        </is>
      </c>
      <c r="AB1894" t="inlineStr">
        <is>
          <t>Copeland_RLA_230_460_3ph_60Hz.xlsx</t>
        </is>
      </c>
      <c r="AC1894" t="inlineStr">
        <is>
          <t>Recip_2D-9R</t>
        </is>
      </c>
    </row>
    <row r="1895">
      <c r="A1895" t="inlineStr">
        <is>
          <t>COPELAND</t>
        </is>
      </c>
      <c r="B1895" t="inlineStr">
        <is>
          <t>6DW3-300L-FSD</t>
        </is>
      </c>
      <c r="D1895" t="inlineStr">
        <is>
          <t>Reciprocating Semi-hermetic</t>
        </is>
      </c>
      <c r="E1895" s="2" t="n">
        <v>3</v>
      </c>
      <c r="F1895" s="2" t="n">
        <v>60</v>
      </c>
      <c r="G1895" s="2" t="n">
        <v>460</v>
      </c>
      <c r="H1895" t="inlineStr">
        <is>
          <t>460</t>
        </is>
      </c>
      <c r="I1895" s="2" t="n">
        <v>460</v>
      </c>
      <c r="J1895" s="2" t="n">
        <v>460</v>
      </c>
      <c r="L1895" s="3" t="n"/>
      <c r="M1895" s="3" t="n"/>
      <c r="N1895" s="3" t="n">
        <v>50</v>
      </c>
      <c r="O1895" s="3" t="n"/>
      <c r="P1895" s="3">
        <f>IF(L1895&lt;&gt;"",L1895/1.4,"")</f>
        <v/>
      </c>
      <c r="Q1895" s="3">
        <f>IF(L1895&lt;&gt;"",L1895/1.56,"")</f>
        <v/>
      </c>
      <c r="R1895" s="3">
        <f>IF(M1895&lt;&gt;"",M1895/1.4,"")</f>
        <v/>
      </c>
      <c r="S1895" s="3">
        <f>IF(M1895&lt;&gt;"",M1895/1.56,"")</f>
        <v/>
      </c>
      <c r="T1895" s="3">
        <f>IF(N1895&lt;&gt;"",N1895,IF(O1895&lt;&gt;"",O1895,IF(L1895&lt;&gt;"",L1895/1.56,IF(M1895&lt;&gt;"",M1895/1.56,""))))</f>
        <v/>
      </c>
      <c r="U1895" s="3" t="n">
        <v>260</v>
      </c>
      <c r="V1895" s="3" t="n">
        <v>156</v>
      </c>
      <c r="W1895" s="3" t="n"/>
      <c r="X1895" s="4" t="n"/>
      <c r="Y1895" s="5" t="n">
        <v>0.39</v>
      </c>
      <c r="Z1895" s="4">
        <f>IF(L1895&lt;&gt;"",SQRT(3)*G1895*L1895/1000,"")</f>
        <v/>
      </c>
      <c r="AA1895" t="inlineStr">
        <is>
          <t>Source=Copeland 2D/3D/4D/4R/6D/8D/9R compressors (pdf) p101; PWS_RLA=25.0</t>
        </is>
      </c>
      <c r="AB1895" t="inlineStr">
        <is>
          <t>Copeland_RLA_230_460_3ph_60Hz.xlsx</t>
        </is>
      </c>
      <c r="AC1895" t="inlineStr">
        <is>
          <t>Recip_2D-9R</t>
        </is>
      </c>
    </row>
    <row r="1896">
      <c r="A1896" t="inlineStr">
        <is>
          <t>COPELAND</t>
        </is>
      </c>
      <c r="B1896" t="inlineStr">
        <is>
          <t>6DW3-300L-TSK</t>
        </is>
      </c>
      <c r="D1896" t="inlineStr">
        <is>
          <t>Reciprocating Semi-hermetic</t>
        </is>
      </c>
      <c r="E1896" s="2" t="n">
        <v>3</v>
      </c>
      <c r="F1896" s="2" t="n">
        <v>60</v>
      </c>
      <c r="G1896" s="2" t="n">
        <v>230</v>
      </c>
      <c r="H1896" t="inlineStr">
        <is>
          <t>208/230</t>
        </is>
      </c>
      <c r="I1896" s="2" t="n">
        <v>208</v>
      </c>
      <c r="J1896" s="2" t="n">
        <v>230</v>
      </c>
      <c r="L1896" s="3" t="n"/>
      <c r="M1896" s="3" t="n"/>
      <c r="N1896" s="3" t="n">
        <v>105</v>
      </c>
      <c r="O1896" s="3" t="n"/>
      <c r="P1896" s="3">
        <f>IF(L1896&lt;&gt;"",L1896/1.4,"")</f>
        <v/>
      </c>
      <c r="Q1896" s="3">
        <f>IF(L1896&lt;&gt;"",L1896/1.56,"")</f>
        <v/>
      </c>
      <c r="R1896" s="3">
        <f>IF(M1896&lt;&gt;"",M1896/1.4,"")</f>
        <v/>
      </c>
      <c r="S1896" s="3">
        <f>IF(M1896&lt;&gt;"",M1896/1.56,"")</f>
        <v/>
      </c>
      <c r="T1896" s="3">
        <f>IF(N1896&lt;&gt;"",N1896,IF(O1896&lt;&gt;"",O1896,IF(L1896&lt;&gt;"",L1896/1.56,IF(M1896&lt;&gt;"",M1896/1.56,""))))</f>
        <v/>
      </c>
      <c r="U1896" s="3" t="n">
        <v>565</v>
      </c>
      <c r="V1896" s="3" t="n">
        <v>340</v>
      </c>
      <c r="W1896" s="3" t="n"/>
      <c r="X1896" s="4" t="n"/>
      <c r="Y1896" s="5" t="n">
        <v>0.08699999999999999</v>
      </c>
      <c r="Z1896" s="4">
        <f>IF(L1896&lt;&gt;"",SQRT(3)*G1896*L1896/1000,"")</f>
        <v/>
      </c>
      <c r="AA1896" t="inlineStr">
        <is>
          <t>Source=Copeland 2D/3D/4D/4R/6D/8D/9R compressors (pdf) p101; PWS_RLA=52.5</t>
        </is>
      </c>
      <c r="AB1896" t="inlineStr">
        <is>
          <t>Copeland_RLA_230_460_3ph_60Hz.xlsx</t>
        </is>
      </c>
      <c r="AC1896" t="inlineStr">
        <is>
          <t>Recip_2D-9R</t>
        </is>
      </c>
    </row>
    <row r="1897">
      <c r="A1897" t="inlineStr">
        <is>
          <t>COPELAND</t>
        </is>
      </c>
      <c r="B1897" t="inlineStr">
        <is>
          <t>6DW3-300L-TSK</t>
        </is>
      </c>
      <c r="D1897" t="inlineStr">
        <is>
          <t>Reciprocating Semi-hermetic</t>
        </is>
      </c>
      <c r="E1897" s="2" t="n">
        <v>3</v>
      </c>
      <c r="F1897" s="2" t="n">
        <v>60</v>
      </c>
      <c r="G1897" s="2" t="n">
        <v>460</v>
      </c>
      <c r="H1897" t="inlineStr">
        <is>
          <t>460</t>
        </is>
      </c>
      <c r="I1897" s="2" t="n">
        <v>460</v>
      </c>
      <c r="J1897" s="2" t="n">
        <v>460</v>
      </c>
      <c r="L1897" s="3" t="n"/>
      <c r="M1897" s="3" t="n"/>
      <c r="N1897" s="3" t="n">
        <v>52.5</v>
      </c>
      <c r="O1897" s="3" t="n"/>
      <c r="P1897" s="3">
        <f>IF(L1897&lt;&gt;"",L1897/1.4,"")</f>
        <v/>
      </c>
      <c r="Q1897" s="3">
        <f>IF(L1897&lt;&gt;"",L1897/1.56,"")</f>
        <v/>
      </c>
      <c r="R1897" s="3">
        <f>IF(M1897&lt;&gt;"",M1897/1.4,"")</f>
        <v/>
      </c>
      <c r="S1897" s="3">
        <f>IF(M1897&lt;&gt;"",M1897/1.56,"")</f>
        <v/>
      </c>
      <c r="T1897" s="3">
        <f>IF(N1897&lt;&gt;"",N1897,IF(O1897&lt;&gt;"",O1897,IF(L1897&lt;&gt;"",L1897/1.56,IF(M1897&lt;&gt;"",M1897/1.56,""))))</f>
        <v/>
      </c>
      <c r="U1897" s="3" t="n">
        <v>283</v>
      </c>
      <c r="V1897" s="3" t="n"/>
      <c r="W1897" s="3" t="n"/>
      <c r="X1897" s="4" t="n"/>
      <c r="Y1897" s="5" t="n">
        <v>0.348</v>
      </c>
      <c r="Z1897" s="4">
        <f>IF(L1897&lt;&gt;"",SQRT(3)*G1897*L1897/1000,"")</f>
        <v/>
      </c>
      <c r="AA1897" t="inlineStr">
        <is>
          <t>Source=Copeland 2D/3D/4D/4R/6D/8D/9R compressors (pdf) p101</t>
        </is>
      </c>
      <c r="AB1897" t="inlineStr">
        <is>
          <t>Copeland_RLA_230_460_3ph_60Hz.xlsx</t>
        </is>
      </c>
      <c r="AC1897" t="inlineStr">
        <is>
          <t>Recip_2D-9R</t>
        </is>
      </c>
    </row>
    <row r="1898">
      <c r="A1898" t="inlineStr">
        <is>
          <t>COPELAND</t>
        </is>
      </c>
      <c r="B1898" t="inlineStr">
        <is>
          <t>6DW3A3000-FSD</t>
        </is>
      </c>
      <c r="D1898" t="inlineStr">
        <is>
          <t>Reciprocating Semi-hermetic</t>
        </is>
      </c>
      <c r="E1898" s="2" t="n">
        <v>3</v>
      </c>
      <c r="F1898" s="2" t="n">
        <v>60</v>
      </c>
      <c r="G1898" s="2" t="n">
        <v>460</v>
      </c>
      <c r="H1898" t="inlineStr">
        <is>
          <t>460</t>
        </is>
      </c>
      <c r="I1898" s="2" t="n">
        <v>460</v>
      </c>
      <c r="J1898" s="2" t="n">
        <v>460</v>
      </c>
      <c r="L1898" s="3" t="n"/>
      <c r="M1898" s="3" t="n"/>
      <c r="N1898" s="3" t="n">
        <v>50</v>
      </c>
      <c r="O1898" s="3" t="n"/>
      <c r="P1898" s="3">
        <f>IF(L1898&lt;&gt;"",L1898/1.4,"")</f>
        <v/>
      </c>
      <c r="Q1898" s="3">
        <f>IF(L1898&lt;&gt;"",L1898/1.56,"")</f>
        <v/>
      </c>
      <c r="R1898" s="3">
        <f>IF(M1898&lt;&gt;"",M1898/1.4,"")</f>
        <v/>
      </c>
      <c r="S1898" s="3">
        <f>IF(M1898&lt;&gt;"",M1898/1.56,"")</f>
        <v/>
      </c>
      <c r="T1898" s="3">
        <f>IF(N1898&lt;&gt;"",N1898,IF(O1898&lt;&gt;"",O1898,IF(L1898&lt;&gt;"",L1898/1.56,IF(M1898&lt;&gt;"",M1898/1.56,""))))</f>
        <v/>
      </c>
      <c r="U1898" s="3" t="n">
        <v>260</v>
      </c>
      <c r="V1898" s="3" t="n">
        <v>156</v>
      </c>
      <c r="W1898" s="3" t="n"/>
      <c r="X1898" s="4" t="n"/>
      <c r="Y1898" s="5" t="n">
        <v>0.39</v>
      </c>
      <c r="Z1898" s="4">
        <f>IF(L1898&lt;&gt;"",SQRT(3)*G1898*L1898/1000,"")</f>
        <v/>
      </c>
      <c r="AA1898" t="inlineStr">
        <is>
          <t>Source=Copeland 2D/3D/4D/4R/6D/8D/9R compressors (pdf) p101; PWS_RLA=25.0</t>
        </is>
      </c>
      <c r="AB1898" t="inlineStr">
        <is>
          <t>Copeland_RLA_230_460_3ph_60Hz.xlsx</t>
        </is>
      </c>
      <c r="AC1898" t="inlineStr">
        <is>
          <t>Recip_2D-9R</t>
        </is>
      </c>
    </row>
    <row r="1899">
      <c r="A1899" t="inlineStr">
        <is>
          <t>COPELAND</t>
        </is>
      </c>
      <c r="B1899" t="inlineStr">
        <is>
          <t>6DW3A3000-TSK</t>
        </is>
      </c>
      <c r="D1899" t="inlineStr">
        <is>
          <t>Reciprocating Semi-hermetic</t>
        </is>
      </c>
      <c r="E1899" s="2" t="n">
        <v>3</v>
      </c>
      <c r="F1899" s="2" t="n">
        <v>60</v>
      </c>
      <c r="G1899" s="2" t="n">
        <v>230</v>
      </c>
      <c r="H1899" t="inlineStr">
        <is>
          <t>208/230</t>
        </is>
      </c>
      <c r="I1899" s="2" t="n">
        <v>208</v>
      </c>
      <c r="J1899" s="2" t="n">
        <v>230</v>
      </c>
      <c r="L1899" s="3" t="n"/>
      <c r="M1899" s="3" t="n"/>
      <c r="N1899" s="3" t="n">
        <v>105</v>
      </c>
      <c r="O1899" s="3" t="n"/>
      <c r="P1899" s="3">
        <f>IF(L1899&lt;&gt;"",L1899/1.4,"")</f>
        <v/>
      </c>
      <c r="Q1899" s="3">
        <f>IF(L1899&lt;&gt;"",L1899/1.56,"")</f>
        <v/>
      </c>
      <c r="R1899" s="3">
        <f>IF(M1899&lt;&gt;"",M1899/1.4,"")</f>
        <v/>
      </c>
      <c r="S1899" s="3">
        <f>IF(M1899&lt;&gt;"",M1899/1.56,"")</f>
        <v/>
      </c>
      <c r="T1899" s="3">
        <f>IF(N1899&lt;&gt;"",N1899,IF(O1899&lt;&gt;"",O1899,IF(L1899&lt;&gt;"",L1899/1.56,IF(M1899&lt;&gt;"",M1899/1.56,""))))</f>
        <v/>
      </c>
      <c r="U1899" s="3" t="n">
        <v>565</v>
      </c>
      <c r="V1899" s="3" t="n">
        <v>340</v>
      </c>
      <c r="W1899" s="3" t="n"/>
      <c r="X1899" s="4" t="n"/>
      <c r="Y1899" s="5" t="n">
        <v>0.08699999999999999</v>
      </c>
      <c r="Z1899" s="4">
        <f>IF(L1899&lt;&gt;"",SQRT(3)*G1899*L1899/1000,"")</f>
        <v/>
      </c>
      <c r="AA1899" t="inlineStr">
        <is>
          <t>Source=Copeland 2D/3D/4D/4R/6D/8D/9R compressors (pdf) p101; PWS_RLA=52.5</t>
        </is>
      </c>
      <c r="AB1899" t="inlineStr">
        <is>
          <t>Copeland_RLA_230_460_3ph_60Hz.xlsx</t>
        </is>
      </c>
      <c r="AC1899" t="inlineStr">
        <is>
          <t>Recip_2D-9R</t>
        </is>
      </c>
    </row>
    <row r="1900">
      <c r="A1900" t="inlineStr">
        <is>
          <t>COPELAND</t>
        </is>
      </c>
      <c r="B1900" t="inlineStr">
        <is>
          <t>6DW3A3000-TSK</t>
        </is>
      </c>
      <c r="D1900" t="inlineStr">
        <is>
          <t>Reciprocating Semi-hermetic</t>
        </is>
      </c>
      <c r="E1900" s="2" t="n">
        <v>3</v>
      </c>
      <c r="F1900" s="2" t="n">
        <v>60</v>
      </c>
      <c r="G1900" s="2" t="n">
        <v>460</v>
      </c>
      <c r="H1900" t="inlineStr">
        <is>
          <t>460</t>
        </is>
      </c>
      <c r="I1900" s="2" t="n">
        <v>460</v>
      </c>
      <c r="J1900" s="2" t="n">
        <v>460</v>
      </c>
      <c r="L1900" s="3" t="n"/>
      <c r="M1900" s="3" t="n"/>
      <c r="N1900" s="3" t="n">
        <v>52.5</v>
      </c>
      <c r="O1900" s="3" t="n"/>
      <c r="P1900" s="3">
        <f>IF(L1900&lt;&gt;"",L1900/1.4,"")</f>
        <v/>
      </c>
      <c r="Q1900" s="3">
        <f>IF(L1900&lt;&gt;"",L1900/1.56,"")</f>
        <v/>
      </c>
      <c r="R1900" s="3">
        <f>IF(M1900&lt;&gt;"",M1900/1.4,"")</f>
        <v/>
      </c>
      <c r="S1900" s="3">
        <f>IF(M1900&lt;&gt;"",M1900/1.56,"")</f>
        <v/>
      </c>
      <c r="T1900" s="3">
        <f>IF(N1900&lt;&gt;"",N1900,IF(O1900&lt;&gt;"",O1900,IF(L1900&lt;&gt;"",L1900/1.56,IF(M1900&lt;&gt;"",M1900/1.56,""))))</f>
        <v/>
      </c>
      <c r="U1900" s="3" t="n">
        <v>283</v>
      </c>
      <c r="V1900" s="3" t="n"/>
      <c r="W1900" s="3" t="n"/>
      <c r="X1900" s="4" t="n"/>
      <c r="Y1900" s="5" t="n">
        <v>0.348</v>
      </c>
      <c r="Z1900" s="4">
        <f>IF(L1900&lt;&gt;"",SQRT(3)*G1900*L1900/1000,"")</f>
        <v/>
      </c>
      <c r="AA1900" t="inlineStr">
        <is>
          <t>Source=Copeland 2D/3D/4D/4R/6D/8D/9R compressors (pdf) p101</t>
        </is>
      </c>
      <c r="AB1900" t="inlineStr">
        <is>
          <t>Copeland_RLA_230_460_3ph_60Hz.xlsx</t>
        </is>
      </c>
      <c r="AC1900" t="inlineStr">
        <is>
          <t>Recip_2D-9R</t>
        </is>
      </c>
    </row>
    <row r="1901">
      <c r="A1901" t="inlineStr">
        <is>
          <t>COPELAND</t>
        </is>
      </c>
      <c r="B1901" t="inlineStr">
        <is>
          <t>6DW3A300E-FSD</t>
        </is>
      </c>
      <c r="D1901" t="inlineStr">
        <is>
          <t>Reciprocating Semi-hermetic</t>
        </is>
      </c>
      <c r="E1901" s="2" t="n">
        <v>3</v>
      </c>
      <c r="F1901" s="2" t="n">
        <v>60</v>
      </c>
      <c r="G1901" s="2" t="n">
        <v>460</v>
      </c>
      <c r="H1901" t="inlineStr">
        <is>
          <t>460</t>
        </is>
      </c>
      <c r="I1901" s="2" t="n">
        <v>460</v>
      </c>
      <c r="J1901" s="2" t="n">
        <v>460</v>
      </c>
      <c r="L1901" s="3" t="n"/>
      <c r="M1901" s="3" t="n"/>
      <c r="N1901" s="3" t="n">
        <v>50</v>
      </c>
      <c r="O1901" s="3" t="n"/>
      <c r="P1901" s="3">
        <f>IF(L1901&lt;&gt;"",L1901/1.4,"")</f>
        <v/>
      </c>
      <c r="Q1901" s="3">
        <f>IF(L1901&lt;&gt;"",L1901/1.56,"")</f>
        <v/>
      </c>
      <c r="R1901" s="3">
        <f>IF(M1901&lt;&gt;"",M1901/1.4,"")</f>
        <v/>
      </c>
      <c r="S1901" s="3">
        <f>IF(M1901&lt;&gt;"",M1901/1.56,"")</f>
        <v/>
      </c>
      <c r="T1901" s="3">
        <f>IF(N1901&lt;&gt;"",N1901,IF(O1901&lt;&gt;"",O1901,IF(L1901&lt;&gt;"",L1901/1.56,IF(M1901&lt;&gt;"",M1901/1.56,""))))</f>
        <v/>
      </c>
      <c r="U1901" s="3" t="n">
        <v>260</v>
      </c>
      <c r="V1901" s="3" t="n">
        <v>156</v>
      </c>
      <c r="W1901" s="3" t="n"/>
      <c r="X1901" s="4" t="n"/>
      <c r="Y1901" s="5" t="n">
        <v>0.39</v>
      </c>
      <c r="Z1901" s="4">
        <f>IF(L1901&lt;&gt;"",SQRT(3)*G1901*L1901/1000,"")</f>
        <v/>
      </c>
      <c r="AA1901" t="inlineStr">
        <is>
          <t>Source=Copeland 2D/3D/4D/4R/6D/8D/9R compressors (pdf) p101; PWS_RLA=25.0</t>
        </is>
      </c>
      <c r="AB1901" t="inlineStr">
        <is>
          <t>Copeland_RLA_230_460_3ph_60Hz.xlsx</t>
        </is>
      </c>
      <c r="AC1901" t="inlineStr">
        <is>
          <t>Recip_2D-9R</t>
        </is>
      </c>
    </row>
    <row r="1902">
      <c r="A1902" t="inlineStr">
        <is>
          <t>COPELAND</t>
        </is>
      </c>
      <c r="B1902" t="inlineStr">
        <is>
          <t>6DW3A300E-TSK</t>
        </is>
      </c>
      <c r="D1902" t="inlineStr">
        <is>
          <t>Reciprocating Semi-hermetic</t>
        </is>
      </c>
      <c r="E1902" s="2" t="n">
        <v>3</v>
      </c>
      <c r="F1902" s="2" t="n">
        <v>60</v>
      </c>
      <c r="G1902" s="2" t="n">
        <v>230</v>
      </c>
      <c r="H1902" t="inlineStr">
        <is>
          <t>208/230</t>
        </is>
      </c>
      <c r="I1902" s="2" t="n">
        <v>208</v>
      </c>
      <c r="J1902" s="2" t="n">
        <v>230</v>
      </c>
      <c r="L1902" s="3" t="n"/>
      <c r="M1902" s="3" t="n"/>
      <c r="N1902" s="3" t="n">
        <v>134.3</v>
      </c>
      <c r="O1902" s="3" t="n"/>
      <c r="P1902" s="3">
        <f>IF(L1902&lt;&gt;"",L1902/1.4,"")</f>
        <v/>
      </c>
      <c r="Q1902" s="3">
        <f>IF(L1902&lt;&gt;"",L1902/1.56,"")</f>
        <v/>
      </c>
      <c r="R1902" s="3">
        <f>IF(M1902&lt;&gt;"",M1902/1.4,"")</f>
        <v/>
      </c>
      <c r="S1902" s="3">
        <f>IF(M1902&lt;&gt;"",M1902/1.56,"")</f>
        <v/>
      </c>
      <c r="T1902" s="3">
        <f>IF(N1902&lt;&gt;"",N1902,IF(O1902&lt;&gt;"",O1902,IF(L1902&lt;&gt;"",L1902/1.56,IF(M1902&lt;&gt;"",M1902/1.56,""))))</f>
        <v/>
      </c>
      <c r="U1902" s="3" t="n">
        <v>565</v>
      </c>
      <c r="V1902" s="3" t="n">
        <v>340</v>
      </c>
      <c r="W1902" s="3" t="n"/>
      <c r="X1902" s="4" t="n"/>
      <c r="Y1902" s="5" t="n">
        <v>0.08699999999999999</v>
      </c>
      <c r="Z1902" s="4">
        <f>IF(L1902&lt;&gt;"",SQRT(3)*G1902*L1902/1000,"")</f>
        <v/>
      </c>
      <c r="AA1902" t="inlineStr">
        <is>
          <t>Source=Copeland 2D/3D/4D/4R/6D/8D/9R compressors (pdf) p101; PWS_RLA=52.5</t>
        </is>
      </c>
      <c r="AB1902" t="inlineStr">
        <is>
          <t>Copeland_RLA_230_460_3ph_60Hz.xlsx</t>
        </is>
      </c>
      <c r="AC1902" t="inlineStr">
        <is>
          <t>Recip_2D-9R</t>
        </is>
      </c>
    </row>
    <row r="1903">
      <c r="A1903" t="inlineStr">
        <is>
          <t>COPELAND</t>
        </is>
      </c>
      <c r="B1903" t="inlineStr">
        <is>
          <t>6DW3A300E-TSK</t>
        </is>
      </c>
      <c r="D1903" t="inlineStr">
        <is>
          <t>Reciprocating Semi-hermetic</t>
        </is>
      </c>
      <c r="E1903" s="2" t="n">
        <v>3</v>
      </c>
      <c r="F1903" s="2" t="n">
        <v>60</v>
      </c>
      <c r="G1903" s="2" t="n">
        <v>460</v>
      </c>
      <c r="H1903" t="inlineStr">
        <is>
          <t>460</t>
        </is>
      </c>
      <c r="I1903" s="2" t="n">
        <v>460</v>
      </c>
      <c r="J1903" s="2" t="n">
        <v>460</v>
      </c>
      <c r="L1903" s="3" t="n"/>
      <c r="M1903" s="3" t="n"/>
      <c r="N1903" s="3" t="n">
        <v>67.09999999999999</v>
      </c>
      <c r="O1903" s="3" t="n"/>
      <c r="P1903" s="3">
        <f>IF(L1903&lt;&gt;"",L1903/1.4,"")</f>
        <v/>
      </c>
      <c r="Q1903" s="3">
        <f>IF(L1903&lt;&gt;"",L1903/1.56,"")</f>
        <v/>
      </c>
      <c r="R1903" s="3">
        <f>IF(M1903&lt;&gt;"",M1903/1.4,"")</f>
        <v/>
      </c>
      <c r="S1903" s="3">
        <f>IF(M1903&lt;&gt;"",M1903/1.56,"")</f>
        <v/>
      </c>
      <c r="T1903" s="3">
        <f>IF(N1903&lt;&gt;"",N1903,IF(O1903&lt;&gt;"",O1903,IF(L1903&lt;&gt;"",L1903/1.56,IF(M1903&lt;&gt;"",M1903/1.56,""))))</f>
        <v/>
      </c>
      <c r="U1903" s="3" t="n">
        <v>283</v>
      </c>
      <c r="V1903" s="3" t="n"/>
      <c r="W1903" s="3" t="n"/>
      <c r="X1903" s="4" t="n"/>
      <c r="Y1903" s="5" t="n">
        <v>0.348</v>
      </c>
      <c r="Z1903" s="4">
        <f>IF(L1903&lt;&gt;"",SQRT(3)*G1903*L1903/1000,"")</f>
        <v/>
      </c>
      <c r="AA1903" t="inlineStr">
        <is>
          <t>Source=Copeland 2D/3D/4D/4R/6D/8D/9R compressors (pdf) p101</t>
        </is>
      </c>
      <c r="AB1903" t="inlineStr">
        <is>
          <t>Copeland_RLA_230_460_3ph_60Hz.xlsx</t>
        </is>
      </c>
      <c r="AC1903" t="inlineStr">
        <is>
          <t>Recip_2D-9R</t>
        </is>
      </c>
    </row>
    <row r="1904">
      <c r="A1904" t="inlineStr">
        <is>
          <t>COPELAND</t>
        </is>
      </c>
      <c r="B1904" t="inlineStr">
        <is>
          <t>6DW3A300L-FSD</t>
        </is>
      </c>
      <c r="D1904" t="inlineStr">
        <is>
          <t>Reciprocating Semi-hermetic</t>
        </is>
      </c>
      <c r="E1904" s="2" t="n">
        <v>3</v>
      </c>
      <c r="F1904" s="2" t="n">
        <v>60</v>
      </c>
      <c r="G1904" s="2" t="n">
        <v>460</v>
      </c>
      <c r="H1904" t="inlineStr">
        <is>
          <t>460</t>
        </is>
      </c>
      <c r="I1904" s="2" t="n">
        <v>460</v>
      </c>
      <c r="J1904" s="2" t="n">
        <v>460</v>
      </c>
      <c r="L1904" s="3" t="n"/>
      <c r="M1904" s="3" t="n"/>
      <c r="N1904" s="3" t="n">
        <v>50</v>
      </c>
      <c r="O1904" s="3" t="n"/>
      <c r="P1904" s="3">
        <f>IF(L1904&lt;&gt;"",L1904/1.4,"")</f>
        <v/>
      </c>
      <c r="Q1904" s="3">
        <f>IF(L1904&lt;&gt;"",L1904/1.56,"")</f>
        <v/>
      </c>
      <c r="R1904" s="3">
        <f>IF(M1904&lt;&gt;"",M1904/1.4,"")</f>
        <v/>
      </c>
      <c r="S1904" s="3">
        <f>IF(M1904&lt;&gt;"",M1904/1.56,"")</f>
        <v/>
      </c>
      <c r="T1904" s="3">
        <f>IF(N1904&lt;&gt;"",N1904,IF(O1904&lt;&gt;"",O1904,IF(L1904&lt;&gt;"",L1904/1.56,IF(M1904&lt;&gt;"",M1904/1.56,""))))</f>
        <v/>
      </c>
      <c r="U1904" s="3" t="n">
        <v>260</v>
      </c>
      <c r="V1904" s="3" t="n">
        <v>156</v>
      </c>
      <c r="W1904" s="3" t="n"/>
      <c r="X1904" s="4" t="n"/>
      <c r="Y1904" s="5" t="n">
        <v>0.39</v>
      </c>
      <c r="Z1904" s="4">
        <f>IF(L1904&lt;&gt;"",SQRT(3)*G1904*L1904/1000,"")</f>
        <v/>
      </c>
      <c r="AA1904" t="inlineStr">
        <is>
          <t>Source=Copeland 2D/3D/4D/4R/6D/8D/9R compressors (pdf) p101; PWS_RLA=25.0</t>
        </is>
      </c>
      <c r="AB1904" t="inlineStr">
        <is>
          <t>Copeland_RLA_230_460_3ph_60Hz.xlsx</t>
        </is>
      </c>
      <c r="AC1904" t="inlineStr">
        <is>
          <t>Recip_2D-9R</t>
        </is>
      </c>
    </row>
    <row r="1905">
      <c r="A1905" t="inlineStr">
        <is>
          <t>COPELAND</t>
        </is>
      </c>
      <c r="B1905" t="inlineStr">
        <is>
          <t>6DW3A300L-TSK</t>
        </is>
      </c>
      <c r="D1905" t="inlineStr">
        <is>
          <t>Reciprocating Semi-hermetic</t>
        </is>
      </c>
      <c r="E1905" s="2" t="n">
        <v>3</v>
      </c>
      <c r="F1905" s="2" t="n">
        <v>60</v>
      </c>
      <c r="G1905" s="2" t="n">
        <v>230</v>
      </c>
      <c r="H1905" t="inlineStr">
        <is>
          <t>208/230</t>
        </is>
      </c>
      <c r="I1905" s="2" t="n">
        <v>208</v>
      </c>
      <c r="J1905" s="2" t="n">
        <v>230</v>
      </c>
      <c r="L1905" s="3" t="n"/>
      <c r="M1905" s="3" t="n"/>
      <c r="N1905" s="3" t="n">
        <v>134.3</v>
      </c>
      <c r="O1905" s="3" t="n"/>
      <c r="P1905" s="3">
        <f>IF(L1905&lt;&gt;"",L1905/1.4,"")</f>
        <v/>
      </c>
      <c r="Q1905" s="3">
        <f>IF(L1905&lt;&gt;"",L1905/1.56,"")</f>
        <v/>
      </c>
      <c r="R1905" s="3">
        <f>IF(M1905&lt;&gt;"",M1905/1.4,"")</f>
        <v/>
      </c>
      <c r="S1905" s="3">
        <f>IF(M1905&lt;&gt;"",M1905/1.56,"")</f>
        <v/>
      </c>
      <c r="T1905" s="3">
        <f>IF(N1905&lt;&gt;"",N1905,IF(O1905&lt;&gt;"",O1905,IF(L1905&lt;&gt;"",L1905/1.56,IF(M1905&lt;&gt;"",M1905/1.56,""))))</f>
        <v/>
      </c>
      <c r="U1905" s="3" t="n">
        <v>565</v>
      </c>
      <c r="V1905" s="3" t="n">
        <v>340</v>
      </c>
      <c r="W1905" s="3" t="n"/>
      <c r="X1905" s="4" t="n"/>
      <c r="Y1905" s="5" t="n">
        <v>0.08699999999999999</v>
      </c>
      <c r="Z1905" s="4">
        <f>IF(L1905&lt;&gt;"",SQRT(3)*G1905*L1905/1000,"")</f>
        <v/>
      </c>
      <c r="AA1905" t="inlineStr">
        <is>
          <t>Source=Copeland 2D/3D/4D/4R/6D/8D/9R compressors (pdf) p101; PWS_RLA=52.5</t>
        </is>
      </c>
      <c r="AB1905" t="inlineStr">
        <is>
          <t>Copeland_RLA_230_460_3ph_60Hz.xlsx</t>
        </is>
      </c>
      <c r="AC1905" t="inlineStr">
        <is>
          <t>Recip_2D-9R</t>
        </is>
      </c>
    </row>
    <row r="1906">
      <c r="A1906" t="inlineStr">
        <is>
          <t>COPELAND</t>
        </is>
      </c>
      <c r="B1906" t="inlineStr">
        <is>
          <t>6DW3A300L-TSK</t>
        </is>
      </c>
      <c r="D1906" t="inlineStr">
        <is>
          <t>Reciprocating Semi-hermetic</t>
        </is>
      </c>
      <c r="E1906" s="2" t="n">
        <v>3</v>
      </c>
      <c r="F1906" s="2" t="n">
        <v>60</v>
      </c>
      <c r="G1906" s="2" t="n">
        <v>460</v>
      </c>
      <c r="H1906" t="inlineStr">
        <is>
          <t>460</t>
        </is>
      </c>
      <c r="I1906" s="2" t="n">
        <v>460</v>
      </c>
      <c r="J1906" s="2" t="n">
        <v>460</v>
      </c>
      <c r="L1906" s="3" t="n"/>
      <c r="M1906" s="3" t="n"/>
      <c r="N1906" s="3" t="n">
        <v>67.09999999999999</v>
      </c>
      <c r="O1906" s="3" t="n"/>
      <c r="P1906" s="3">
        <f>IF(L1906&lt;&gt;"",L1906/1.4,"")</f>
        <v/>
      </c>
      <c r="Q1906" s="3">
        <f>IF(L1906&lt;&gt;"",L1906/1.56,"")</f>
        <v/>
      </c>
      <c r="R1906" s="3">
        <f>IF(M1906&lt;&gt;"",M1906/1.4,"")</f>
        <v/>
      </c>
      <c r="S1906" s="3">
        <f>IF(M1906&lt;&gt;"",M1906/1.56,"")</f>
        <v/>
      </c>
      <c r="T1906" s="3">
        <f>IF(N1906&lt;&gt;"",N1906,IF(O1906&lt;&gt;"",O1906,IF(L1906&lt;&gt;"",L1906/1.56,IF(M1906&lt;&gt;"",M1906/1.56,""))))</f>
        <v/>
      </c>
      <c r="U1906" s="3" t="n">
        <v>283</v>
      </c>
      <c r="V1906" s="3" t="n"/>
      <c r="W1906" s="3" t="n"/>
      <c r="X1906" s="4" t="n"/>
      <c r="Y1906" s="5" t="n">
        <v>0.348</v>
      </c>
      <c r="Z1906" s="4">
        <f>IF(L1906&lt;&gt;"",SQRT(3)*G1906*L1906/1000,"")</f>
        <v/>
      </c>
      <c r="AA1906" t="inlineStr">
        <is>
          <t>Source=Copeland 2D/3D/4D/4R/6D/8D/9R compressors (pdf) p101</t>
        </is>
      </c>
      <c r="AB1906" t="inlineStr">
        <is>
          <t>Copeland_RLA_230_460_3ph_60Hz.xlsx</t>
        </is>
      </c>
      <c r="AC1906" t="inlineStr">
        <is>
          <t>Recip_2D-9R</t>
        </is>
      </c>
    </row>
    <row r="1907">
      <c r="A1907" t="inlineStr">
        <is>
          <t>COPELAND</t>
        </is>
      </c>
      <c r="B1907" t="inlineStr">
        <is>
          <t>6DW3R32M0-FSD</t>
        </is>
      </c>
      <c r="D1907" t="inlineStr">
        <is>
          <t>Reciprocating Semi-hermetic</t>
        </is>
      </c>
      <c r="E1907" s="2" t="n">
        <v>3</v>
      </c>
      <c r="F1907" s="2" t="n">
        <v>60</v>
      </c>
      <c r="G1907" s="2" t="n">
        <v>460</v>
      </c>
      <c r="H1907" t="inlineStr">
        <is>
          <t>460</t>
        </is>
      </c>
      <c r="I1907" s="2" t="n">
        <v>460</v>
      </c>
      <c r="J1907" s="2" t="n">
        <v>460</v>
      </c>
      <c r="L1907" s="3" t="n"/>
      <c r="M1907" s="3" t="n"/>
      <c r="N1907" s="3" t="n">
        <v>50</v>
      </c>
      <c r="O1907" s="3" t="n"/>
      <c r="P1907" s="3">
        <f>IF(L1907&lt;&gt;"",L1907/1.4,"")</f>
        <v/>
      </c>
      <c r="Q1907" s="3">
        <f>IF(L1907&lt;&gt;"",L1907/1.56,"")</f>
        <v/>
      </c>
      <c r="R1907" s="3">
        <f>IF(M1907&lt;&gt;"",M1907/1.4,"")</f>
        <v/>
      </c>
      <c r="S1907" s="3">
        <f>IF(M1907&lt;&gt;"",M1907/1.56,"")</f>
        <v/>
      </c>
      <c r="T1907" s="3">
        <f>IF(N1907&lt;&gt;"",N1907,IF(O1907&lt;&gt;"",O1907,IF(L1907&lt;&gt;"",L1907/1.56,IF(M1907&lt;&gt;"",M1907/1.56,""))))</f>
        <v/>
      </c>
      <c r="U1907" s="3" t="n">
        <v>260</v>
      </c>
      <c r="V1907" s="3" t="n">
        <v>156</v>
      </c>
      <c r="W1907" s="3" t="n"/>
      <c r="X1907" s="4" t="n"/>
      <c r="Y1907" s="5" t="n">
        <v>0.39</v>
      </c>
      <c r="Z1907" s="4">
        <f>IF(L1907&lt;&gt;"",SQRT(3)*G1907*L1907/1000,"")</f>
        <v/>
      </c>
      <c r="AA1907" t="inlineStr">
        <is>
          <t>Source=Copeland 2D/3D/4D/4R/6D/8D/9R compressors (pdf) p101; PWS_RLA=25.0</t>
        </is>
      </c>
      <c r="AB1907" t="inlineStr">
        <is>
          <t>Copeland_RLA_230_460_3ph_60Hz.xlsx</t>
        </is>
      </c>
      <c r="AC1907" t="inlineStr">
        <is>
          <t>Recip_2D-9R</t>
        </is>
      </c>
    </row>
    <row r="1908">
      <c r="A1908" t="inlineStr">
        <is>
          <t>COPELAND</t>
        </is>
      </c>
      <c r="B1908" t="inlineStr">
        <is>
          <t>6DW3R32M0-TSK</t>
        </is>
      </c>
      <c r="D1908" t="inlineStr">
        <is>
          <t>Reciprocating Semi-hermetic</t>
        </is>
      </c>
      <c r="E1908" s="2" t="n">
        <v>3</v>
      </c>
      <c r="F1908" s="2" t="n">
        <v>60</v>
      </c>
      <c r="G1908" s="2" t="n">
        <v>230</v>
      </c>
      <c r="H1908" t="inlineStr">
        <is>
          <t>208/230</t>
        </is>
      </c>
      <c r="I1908" s="2" t="n">
        <v>208</v>
      </c>
      <c r="J1908" s="2" t="n">
        <v>230</v>
      </c>
      <c r="L1908" s="3" t="n"/>
      <c r="M1908" s="3" t="n"/>
      <c r="N1908" s="3" t="n">
        <v>105</v>
      </c>
      <c r="O1908" s="3" t="n"/>
      <c r="P1908" s="3">
        <f>IF(L1908&lt;&gt;"",L1908/1.4,"")</f>
        <v/>
      </c>
      <c r="Q1908" s="3">
        <f>IF(L1908&lt;&gt;"",L1908/1.56,"")</f>
        <v/>
      </c>
      <c r="R1908" s="3">
        <f>IF(M1908&lt;&gt;"",M1908/1.4,"")</f>
        <v/>
      </c>
      <c r="S1908" s="3">
        <f>IF(M1908&lt;&gt;"",M1908/1.56,"")</f>
        <v/>
      </c>
      <c r="T1908" s="3">
        <f>IF(N1908&lt;&gt;"",N1908,IF(O1908&lt;&gt;"",O1908,IF(L1908&lt;&gt;"",L1908/1.56,IF(M1908&lt;&gt;"",M1908/1.56,""))))</f>
        <v/>
      </c>
      <c r="U1908" s="3" t="n">
        <v>565</v>
      </c>
      <c r="V1908" s="3" t="n">
        <v>340</v>
      </c>
      <c r="W1908" s="3" t="n"/>
      <c r="X1908" s="4" t="n"/>
      <c r="Y1908" s="5" t="n">
        <v>0.08699999999999999</v>
      </c>
      <c r="Z1908" s="4">
        <f>IF(L1908&lt;&gt;"",SQRT(3)*G1908*L1908/1000,"")</f>
        <v/>
      </c>
      <c r="AA1908" t="inlineStr">
        <is>
          <t>Source=Copeland 2D/3D/4D/4R/6D/8D/9R compressors (pdf) p101; PWS_RLA=52.5</t>
        </is>
      </c>
      <c r="AB1908" t="inlineStr">
        <is>
          <t>Copeland_RLA_230_460_3ph_60Hz.xlsx</t>
        </is>
      </c>
      <c r="AC1908" t="inlineStr">
        <is>
          <t>Recip_2D-9R</t>
        </is>
      </c>
    </row>
    <row r="1909">
      <c r="A1909" t="inlineStr">
        <is>
          <t>COPELAND</t>
        </is>
      </c>
      <c r="B1909" t="inlineStr">
        <is>
          <t>6DW3R32M0-TSK</t>
        </is>
      </c>
      <c r="D1909" t="inlineStr">
        <is>
          <t>Reciprocating Semi-hermetic</t>
        </is>
      </c>
      <c r="E1909" s="2" t="n">
        <v>3</v>
      </c>
      <c r="F1909" s="2" t="n">
        <v>60</v>
      </c>
      <c r="G1909" s="2" t="n">
        <v>460</v>
      </c>
      <c r="H1909" t="inlineStr">
        <is>
          <t>460</t>
        </is>
      </c>
      <c r="I1909" s="2" t="n">
        <v>460</v>
      </c>
      <c r="J1909" s="2" t="n">
        <v>460</v>
      </c>
      <c r="L1909" s="3" t="n"/>
      <c r="M1909" s="3" t="n"/>
      <c r="N1909" s="3" t="n">
        <v>52.5</v>
      </c>
      <c r="O1909" s="3" t="n"/>
      <c r="P1909" s="3">
        <f>IF(L1909&lt;&gt;"",L1909/1.4,"")</f>
        <v/>
      </c>
      <c r="Q1909" s="3">
        <f>IF(L1909&lt;&gt;"",L1909/1.56,"")</f>
        <v/>
      </c>
      <c r="R1909" s="3">
        <f>IF(M1909&lt;&gt;"",M1909/1.4,"")</f>
        <v/>
      </c>
      <c r="S1909" s="3">
        <f>IF(M1909&lt;&gt;"",M1909/1.56,"")</f>
        <v/>
      </c>
      <c r="T1909" s="3">
        <f>IF(N1909&lt;&gt;"",N1909,IF(O1909&lt;&gt;"",O1909,IF(L1909&lt;&gt;"",L1909/1.56,IF(M1909&lt;&gt;"",M1909/1.56,""))))</f>
        <v/>
      </c>
      <c r="U1909" s="3" t="n">
        <v>283</v>
      </c>
      <c r="V1909" s="3" t="n"/>
      <c r="W1909" s="3" t="n"/>
      <c r="X1909" s="4" t="n"/>
      <c r="Y1909" s="5" t="n">
        <v>0.348</v>
      </c>
      <c r="Z1909" s="4">
        <f>IF(L1909&lt;&gt;"",SQRT(3)*G1909*L1909/1000,"")</f>
        <v/>
      </c>
      <c r="AA1909" t="inlineStr">
        <is>
          <t>Source=Copeland 2D/3D/4D/4R/6D/8D/9R compressors (pdf) p101</t>
        </is>
      </c>
      <c r="AB1909" t="inlineStr">
        <is>
          <t>Copeland_RLA_230_460_3ph_60Hz.xlsx</t>
        </is>
      </c>
      <c r="AC1909" t="inlineStr">
        <is>
          <t>Recip_2D-9R</t>
        </is>
      </c>
    </row>
    <row r="1910">
      <c r="A1910" t="inlineStr">
        <is>
          <t>COPELAND</t>
        </is>
      </c>
      <c r="B1910" t="inlineStr">
        <is>
          <t>6DW3R32ME-FSD</t>
        </is>
      </c>
      <c r="D1910" t="inlineStr">
        <is>
          <t>Reciprocating Semi-hermetic</t>
        </is>
      </c>
      <c r="E1910" s="2" t="n">
        <v>3</v>
      </c>
      <c r="F1910" s="2" t="n">
        <v>60</v>
      </c>
      <c r="G1910" s="2" t="n">
        <v>460</v>
      </c>
      <c r="H1910" t="inlineStr">
        <is>
          <t>460</t>
        </is>
      </c>
      <c r="I1910" s="2" t="n">
        <v>460</v>
      </c>
      <c r="J1910" s="2" t="n">
        <v>460</v>
      </c>
      <c r="L1910" s="3" t="n"/>
      <c r="M1910" s="3" t="n"/>
      <c r="N1910" s="3" t="n">
        <v>62.1</v>
      </c>
      <c r="O1910" s="3" t="n"/>
      <c r="P1910" s="3">
        <f>IF(L1910&lt;&gt;"",L1910/1.4,"")</f>
        <v/>
      </c>
      <c r="Q1910" s="3">
        <f>IF(L1910&lt;&gt;"",L1910/1.56,"")</f>
        <v/>
      </c>
      <c r="R1910" s="3">
        <f>IF(M1910&lt;&gt;"",M1910/1.4,"")</f>
        <v/>
      </c>
      <c r="S1910" s="3">
        <f>IF(M1910&lt;&gt;"",M1910/1.56,"")</f>
        <v/>
      </c>
      <c r="T1910" s="3">
        <f>IF(N1910&lt;&gt;"",N1910,IF(O1910&lt;&gt;"",O1910,IF(L1910&lt;&gt;"",L1910/1.56,IF(M1910&lt;&gt;"",M1910/1.56,""))))</f>
        <v/>
      </c>
      <c r="U1910" s="3" t="n">
        <v>260</v>
      </c>
      <c r="V1910" s="3" t="n">
        <v>156</v>
      </c>
      <c r="W1910" s="3" t="n"/>
      <c r="X1910" s="4" t="n"/>
      <c r="Y1910" s="5" t="n">
        <v>0.39</v>
      </c>
      <c r="Z1910" s="4">
        <f>IF(L1910&lt;&gt;"",SQRT(3)*G1910*L1910/1000,"")</f>
        <v/>
      </c>
      <c r="AA1910" t="inlineStr">
        <is>
          <t>Source=Copeland 2D/3D/4D/4R/6D/8D/9R compressors (pdf) p102; PWS_RLA=31.1</t>
        </is>
      </c>
      <c r="AB1910" t="inlineStr">
        <is>
          <t>Copeland_RLA_230_460_3ph_60Hz.xlsx</t>
        </is>
      </c>
      <c r="AC1910" t="inlineStr">
        <is>
          <t>Recip_2D-9R</t>
        </is>
      </c>
    </row>
    <row r="1911">
      <c r="A1911" t="inlineStr">
        <is>
          <t>COPELAND</t>
        </is>
      </c>
      <c r="B1911" t="inlineStr">
        <is>
          <t>6DW3R32ME-TSK</t>
        </is>
      </c>
      <c r="D1911" t="inlineStr">
        <is>
          <t>Reciprocating Semi-hermetic</t>
        </is>
      </c>
      <c r="E1911" s="2" t="n">
        <v>3</v>
      </c>
      <c r="F1911" s="2" t="n">
        <v>60</v>
      </c>
      <c r="G1911" s="2" t="n">
        <v>230</v>
      </c>
      <c r="H1911" t="inlineStr">
        <is>
          <t>208/230</t>
        </is>
      </c>
      <c r="I1911" s="2" t="n">
        <v>208</v>
      </c>
      <c r="J1911" s="2" t="n">
        <v>230</v>
      </c>
      <c r="L1911" s="3" t="n"/>
      <c r="M1911" s="3" t="n"/>
      <c r="N1911" s="3" t="n">
        <v>134.3</v>
      </c>
      <c r="O1911" s="3" t="n"/>
      <c r="P1911" s="3">
        <f>IF(L1911&lt;&gt;"",L1911/1.4,"")</f>
        <v/>
      </c>
      <c r="Q1911" s="3">
        <f>IF(L1911&lt;&gt;"",L1911/1.56,"")</f>
        <v/>
      </c>
      <c r="R1911" s="3">
        <f>IF(M1911&lt;&gt;"",M1911/1.4,"")</f>
        <v/>
      </c>
      <c r="S1911" s="3">
        <f>IF(M1911&lt;&gt;"",M1911/1.56,"")</f>
        <v/>
      </c>
      <c r="T1911" s="3">
        <f>IF(N1911&lt;&gt;"",N1911,IF(O1911&lt;&gt;"",O1911,IF(L1911&lt;&gt;"",L1911/1.56,IF(M1911&lt;&gt;"",M1911/1.56,""))))</f>
        <v/>
      </c>
      <c r="U1911" s="3" t="n">
        <v>565</v>
      </c>
      <c r="V1911" s="3" t="n">
        <v>340</v>
      </c>
      <c r="W1911" s="3" t="n"/>
      <c r="X1911" s="4" t="n"/>
      <c r="Y1911" s="5" t="n">
        <v>0.08699999999999999</v>
      </c>
      <c r="Z1911" s="4">
        <f>IF(L1911&lt;&gt;"",SQRT(3)*G1911*L1911/1000,"")</f>
        <v/>
      </c>
      <c r="AA1911" t="inlineStr">
        <is>
          <t>Source=Copeland 2D/3D/4D/4R/6D/8D/9R compressors (pdf) p102; PWS_RLA=67.1</t>
        </is>
      </c>
      <c r="AB1911" t="inlineStr">
        <is>
          <t>Copeland_RLA_230_460_3ph_60Hz.xlsx</t>
        </is>
      </c>
      <c r="AC1911" t="inlineStr">
        <is>
          <t>Recip_2D-9R</t>
        </is>
      </c>
    </row>
    <row r="1912">
      <c r="A1912" t="inlineStr">
        <is>
          <t>COPELAND</t>
        </is>
      </c>
      <c r="B1912" t="inlineStr">
        <is>
          <t>6DW3R32ME-TSK</t>
        </is>
      </c>
      <c r="D1912" t="inlineStr">
        <is>
          <t>Reciprocating Semi-hermetic</t>
        </is>
      </c>
      <c r="E1912" s="2" t="n">
        <v>3</v>
      </c>
      <c r="F1912" s="2" t="n">
        <v>60</v>
      </c>
      <c r="G1912" s="2" t="n">
        <v>460</v>
      </c>
      <c r="H1912" t="inlineStr">
        <is>
          <t>460</t>
        </is>
      </c>
      <c r="I1912" s="2" t="n">
        <v>460</v>
      </c>
      <c r="J1912" s="2" t="n">
        <v>460</v>
      </c>
      <c r="L1912" s="3" t="n"/>
      <c r="M1912" s="3" t="n"/>
      <c r="N1912" s="3" t="n">
        <v>67.09999999999999</v>
      </c>
      <c r="O1912" s="3" t="n"/>
      <c r="P1912" s="3">
        <f>IF(L1912&lt;&gt;"",L1912/1.4,"")</f>
        <v/>
      </c>
      <c r="Q1912" s="3">
        <f>IF(L1912&lt;&gt;"",L1912/1.56,"")</f>
        <v/>
      </c>
      <c r="R1912" s="3">
        <f>IF(M1912&lt;&gt;"",M1912/1.4,"")</f>
        <v/>
      </c>
      <c r="S1912" s="3">
        <f>IF(M1912&lt;&gt;"",M1912/1.56,"")</f>
        <v/>
      </c>
      <c r="T1912" s="3">
        <f>IF(N1912&lt;&gt;"",N1912,IF(O1912&lt;&gt;"",O1912,IF(L1912&lt;&gt;"",L1912/1.56,IF(M1912&lt;&gt;"",M1912/1.56,""))))</f>
        <v/>
      </c>
      <c r="U1912" s="3" t="n">
        <v>283</v>
      </c>
      <c r="V1912" s="3" t="n"/>
      <c r="W1912" s="3" t="n"/>
      <c r="X1912" s="4" t="n"/>
      <c r="Y1912" s="5" t="n">
        <v>0.348</v>
      </c>
      <c r="Z1912" s="4">
        <f>IF(L1912&lt;&gt;"",SQRT(3)*G1912*L1912/1000,"")</f>
        <v/>
      </c>
      <c r="AA1912" t="inlineStr">
        <is>
          <t>Source=Copeland 2D/3D/4D/4R/6D/8D/9R compressors (pdf) p102</t>
        </is>
      </c>
      <c r="AB1912" t="inlineStr">
        <is>
          <t>Copeland_RLA_230_460_3ph_60Hz.xlsx</t>
        </is>
      </c>
      <c r="AC1912" t="inlineStr">
        <is>
          <t>Recip_2D-9R</t>
        </is>
      </c>
    </row>
    <row r="1913">
      <c r="A1913" t="inlineStr">
        <is>
          <t>COPELAND</t>
        </is>
      </c>
      <c r="B1913" t="inlineStr">
        <is>
          <t>6DW3R32ML-FSD</t>
        </is>
      </c>
      <c r="D1913" t="inlineStr">
        <is>
          <t>Reciprocating Semi-hermetic</t>
        </is>
      </c>
      <c r="E1913" s="2" t="n">
        <v>3</v>
      </c>
      <c r="F1913" s="2" t="n">
        <v>60</v>
      </c>
      <c r="G1913" s="2" t="n">
        <v>460</v>
      </c>
      <c r="H1913" t="inlineStr">
        <is>
          <t>460</t>
        </is>
      </c>
      <c r="I1913" s="2" t="n">
        <v>460</v>
      </c>
      <c r="J1913" s="2" t="n">
        <v>460</v>
      </c>
      <c r="L1913" s="3" t="n"/>
      <c r="M1913" s="3" t="n"/>
      <c r="N1913" s="3" t="n">
        <v>62.1</v>
      </c>
      <c r="O1913" s="3" t="n"/>
      <c r="P1913" s="3">
        <f>IF(L1913&lt;&gt;"",L1913/1.4,"")</f>
        <v/>
      </c>
      <c r="Q1913" s="3">
        <f>IF(L1913&lt;&gt;"",L1913/1.56,"")</f>
        <v/>
      </c>
      <c r="R1913" s="3">
        <f>IF(M1913&lt;&gt;"",M1913/1.4,"")</f>
        <v/>
      </c>
      <c r="S1913" s="3">
        <f>IF(M1913&lt;&gt;"",M1913/1.56,"")</f>
        <v/>
      </c>
      <c r="T1913" s="3">
        <f>IF(N1913&lt;&gt;"",N1913,IF(O1913&lt;&gt;"",O1913,IF(L1913&lt;&gt;"",L1913/1.56,IF(M1913&lt;&gt;"",M1913/1.56,""))))</f>
        <v/>
      </c>
      <c r="U1913" s="3" t="n">
        <v>260</v>
      </c>
      <c r="V1913" s="3" t="n">
        <v>156</v>
      </c>
      <c r="W1913" s="3" t="n"/>
      <c r="X1913" s="4" t="n"/>
      <c r="Y1913" s="5" t="n">
        <v>0.39</v>
      </c>
      <c r="Z1913" s="4">
        <f>IF(L1913&lt;&gt;"",SQRT(3)*G1913*L1913/1000,"")</f>
        <v/>
      </c>
      <c r="AA1913" t="inlineStr">
        <is>
          <t>Source=Copeland 2D/3D/4D/4R/6D/8D/9R compressors (pdf) p102; PWS_RLA=31.1</t>
        </is>
      </c>
      <c r="AB1913" t="inlineStr">
        <is>
          <t>Copeland_RLA_230_460_3ph_60Hz.xlsx</t>
        </is>
      </c>
      <c r="AC1913" t="inlineStr">
        <is>
          <t>Recip_2D-9R</t>
        </is>
      </c>
    </row>
    <row r="1914">
      <c r="A1914" t="inlineStr">
        <is>
          <t>COPELAND</t>
        </is>
      </c>
      <c r="B1914" t="inlineStr">
        <is>
          <t>6DW3R32ML-TSK</t>
        </is>
      </c>
      <c r="D1914" t="inlineStr">
        <is>
          <t>Reciprocating Semi-hermetic</t>
        </is>
      </c>
      <c r="E1914" s="2" t="n">
        <v>3</v>
      </c>
      <c r="F1914" s="2" t="n">
        <v>60</v>
      </c>
      <c r="G1914" s="2" t="n">
        <v>230</v>
      </c>
      <c r="H1914" t="inlineStr">
        <is>
          <t>208/230</t>
        </is>
      </c>
      <c r="I1914" s="2" t="n">
        <v>208</v>
      </c>
      <c r="J1914" s="2" t="n">
        <v>230</v>
      </c>
      <c r="L1914" s="3" t="n"/>
      <c r="M1914" s="3" t="n"/>
      <c r="N1914" s="3" t="n">
        <v>134.3</v>
      </c>
      <c r="O1914" s="3" t="n"/>
      <c r="P1914" s="3">
        <f>IF(L1914&lt;&gt;"",L1914/1.4,"")</f>
        <v/>
      </c>
      <c r="Q1914" s="3">
        <f>IF(L1914&lt;&gt;"",L1914/1.56,"")</f>
        <v/>
      </c>
      <c r="R1914" s="3">
        <f>IF(M1914&lt;&gt;"",M1914/1.4,"")</f>
        <v/>
      </c>
      <c r="S1914" s="3">
        <f>IF(M1914&lt;&gt;"",M1914/1.56,"")</f>
        <v/>
      </c>
      <c r="T1914" s="3">
        <f>IF(N1914&lt;&gt;"",N1914,IF(O1914&lt;&gt;"",O1914,IF(L1914&lt;&gt;"",L1914/1.56,IF(M1914&lt;&gt;"",M1914/1.56,""))))</f>
        <v/>
      </c>
      <c r="U1914" s="3" t="n">
        <v>565</v>
      </c>
      <c r="V1914" s="3" t="n">
        <v>340</v>
      </c>
      <c r="W1914" s="3" t="n"/>
      <c r="X1914" s="4" t="n"/>
      <c r="Y1914" s="5" t="n">
        <v>0.08699999999999999</v>
      </c>
      <c r="Z1914" s="4">
        <f>IF(L1914&lt;&gt;"",SQRT(3)*G1914*L1914/1000,"")</f>
        <v/>
      </c>
      <c r="AA1914" t="inlineStr">
        <is>
          <t>Source=Copeland 2D/3D/4D/4R/6D/8D/9R compressors (pdf) p102; PWS_RLA=67.1</t>
        </is>
      </c>
      <c r="AB1914" t="inlineStr">
        <is>
          <t>Copeland_RLA_230_460_3ph_60Hz.xlsx</t>
        </is>
      </c>
      <c r="AC1914" t="inlineStr">
        <is>
          <t>Recip_2D-9R</t>
        </is>
      </c>
    </row>
    <row r="1915">
      <c r="A1915" t="inlineStr">
        <is>
          <t>COPELAND</t>
        </is>
      </c>
      <c r="B1915" t="inlineStr">
        <is>
          <t>6DW3R32ML-TSK</t>
        </is>
      </c>
      <c r="D1915" t="inlineStr">
        <is>
          <t>Reciprocating Semi-hermetic</t>
        </is>
      </c>
      <c r="E1915" s="2" t="n">
        <v>3</v>
      </c>
      <c r="F1915" s="2" t="n">
        <v>60</v>
      </c>
      <c r="G1915" s="2" t="n">
        <v>460</v>
      </c>
      <c r="H1915" t="inlineStr">
        <is>
          <t>460</t>
        </is>
      </c>
      <c r="I1915" s="2" t="n">
        <v>460</v>
      </c>
      <c r="J1915" s="2" t="n">
        <v>460</v>
      </c>
      <c r="L1915" s="3" t="n"/>
      <c r="M1915" s="3" t="n"/>
      <c r="N1915" s="3" t="n">
        <v>67.09999999999999</v>
      </c>
      <c r="O1915" s="3" t="n"/>
      <c r="P1915" s="3">
        <f>IF(L1915&lt;&gt;"",L1915/1.4,"")</f>
        <v/>
      </c>
      <c r="Q1915" s="3">
        <f>IF(L1915&lt;&gt;"",L1915/1.56,"")</f>
        <v/>
      </c>
      <c r="R1915" s="3">
        <f>IF(M1915&lt;&gt;"",M1915/1.4,"")</f>
        <v/>
      </c>
      <c r="S1915" s="3">
        <f>IF(M1915&lt;&gt;"",M1915/1.56,"")</f>
        <v/>
      </c>
      <c r="T1915" s="3">
        <f>IF(N1915&lt;&gt;"",N1915,IF(O1915&lt;&gt;"",O1915,IF(L1915&lt;&gt;"",L1915/1.56,IF(M1915&lt;&gt;"",M1915/1.56,""))))</f>
        <v/>
      </c>
      <c r="U1915" s="3" t="n">
        <v>283</v>
      </c>
      <c r="V1915" s="3" t="n"/>
      <c r="W1915" s="3" t="n"/>
      <c r="X1915" s="4" t="n"/>
      <c r="Y1915" s="5" t="n">
        <v>0.348</v>
      </c>
      <c r="Z1915" s="4">
        <f>IF(L1915&lt;&gt;"",SQRT(3)*G1915*L1915/1000,"")</f>
        <v/>
      </c>
      <c r="AA1915" t="inlineStr">
        <is>
          <t>Source=Copeland 2D/3D/4D/4R/6D/8D/9R compressors (pdf) p102</t>
        </is>
      </c>
      <c r="AB1915" t="inlineStr">
        <is>
          <t>Copeland_RLA_230_460_3ph_60Hz.xlsx</t>
        </is>
      </c>
      <c r="AC1915" t="inlineStr">
        <is>
          <t>Recip_2D-9R</t>
        </is>
      </c>
    </row>
    <row r="1916">
      <c r="A1916" t="inlineStr">
        <is>
          <t>COPELAND</t>
        </is>
      </c>
      <c r="B1916" t="inlineStr">
        <is>
          <t>6DY3-3000-FSD</t>
        </is>
      </c>
      <c r="D1916" t="inlineStr">
        <is>
          <t>Reciprocating Semi-hermetic</t>
        </is>
      </c>
      <c r="E1916" s="2" t="n">
        <v>3</v>
      </c>
      <c r="F1916" s="2" t="n">
        <v>60</v>
      </c>
      <c r="G1916" s="2" t="n">
        <v>460</v>
      </c>
      <c r="H1916" t="inlineStr">
        <is>
          <t>460</t>
        </is>
      </c>
      <c r="I1916" s="2" t="n">
        <v>460</v>
      </c>
      <c r="J1916" s="2" t="n">
        <v>460</v>
      </c>
      <c r="L1916" s="3" t="n"/>
      <c r="M1916" s="3" t="n"/>
      <c r="N1916" s="3" t="n">
        <v>50</v>
      </c>
      <c r="O1916" s="3" t="n"/>
      <c r="P1916" s="3">
        <f>IF(L1916&lt;&gt;"",L1916/1.4,"")</f>
        <v/>
      </c>
      <c r="Q1916" s="3">
        <f>IF(L1916&lt;&gt;"",L1916/1.56,"")</f>
        <v/>
      </c>
      <c r="R1916" s="3">
        <f>IF(M1916&lt;&gt;"",M1916/1.4,"")</f>
        <v/>
      </c>
      <c r="S1916" s="3">
        <f>IF(M1916&lt;&gt;"",M1916/1.56,"")</f>
        <v/>
      </c>
      <c r="T1916" s="3">
        <f>IF(N1916&lt;&gt;"",N1916,IF(O1916&lt;&gt;"",O1916,IF(L1916&lt;&gt;"",L1916/1.56,IF(M1916&lt;&gt;"",M1916/1.56,""))))</f>
        <v/>
      </c>
      <c r="U1916" s="3" t="n">
        <v>260</v>
      </c>
      <c r="V1916" s="3" t="n">
        <v>156</v>
      </c>
      <c r="W1916" s="3" t="n"/>
      <c r="X1916" s="4" t="n"/>
      <c r="Y1916" s="5" t="n">
        <v>0.39</v>
      </c>
      <c r="Z1916" s="4">
        <f>IF(L1916&lt;&gt;"",SQRT(3)*G1916*L1916/1000,"")</f>
        <v/>
      </c>
      <c r="AA1916" t="inlineStr">
        <is>
          <t>Source=Copeland 2D/3D/4D/4R/6D/8D/9R compressors (pdf) p102; PWS_RLA=25.0</t>
        </is>
      </c>
      <c r="AB1916" t="inlineStr">
        <is>
          <t>Copeland_RLA_230_460_3ph_60Hz.xlsx</t>
        </is>
      </c>
      <c r="AC1916" t="inlineStr">
        <is>
          <t>Recip_2D-9R</t>
        </is>
      </c>
    </row>
    <row r="1917">
      <c r="A1917" t="inlineStr">
        <is>
          <t>COPELAND</t>
        </is>
      </c>
      <c r="B1917" t="inlineStr">
        <is>
          <t>6DY3-3000-TSK</t>
        </is>
      </c>
      <c r="D1917" t="inlineStr">
        <is>
          <t>Reciprocating Semi-hermetic</t>
        </is>
      </c>
      <c r="E1917" s="2" t="n">
        <v>3</v>
      </c>
      <c r="F1917" s="2" t="n">
        <v>60</v>
      </c>
      <c r="G1917" s="2" t="n">
        <v>230</v>
      </c>
      <c r="H1917" t="inlineStr">
        <is>
          <t>208/230</t>
        </is>
      </c>
      <c r="I1917" s="2" t="n">
        <v>208</v>
      </c>
      <c r="J1917" s="2" t="n">
        <v>230</v>
      </c>
      <c r="L1917" s="3" t="n"/>
      <c r="M1917" s="3" t="n"/>
      <c r="N1917" s="3" t="n">
        <v>105</v>
      </c>
      <c r="O1917" s="3" t="n"/>
      <c r="P1917" s="3">
        <f>IF(L1917&lt;&gt;"",L1917/1.4,"")</f>
        <v/>
      </c>
      <c r="Q1917" s="3">
        <f>IF(L1917&lt;&gt;"",L1917/1.56,"")</f>
        <v/>
      </c>
      <c r="R1917" s="3">
        <f>IF(M1917&lt;&gt;"",M1917/1.4,"")</f>
        <v/>
      </c>
      <c r="S1917" s="3">
        <f>IF(M1917&lt;&gt;"",M1917/1.56,"")</f>
        <v/>
      </c>
      <c r="T1917" s="3">
        <f>IF(N1917&lt;&gt;"",N1917,IF(O1917&lt;&gt;"",O1917,IF(L1917&lt;&gt;"",L1917/1.56,IF(M1917&lt;&gt;"",M1917/1.56,""))))</f>
        <v/>
      </c>
      <c r="U1917" s="3" t="n">
        <v>565</v>
      </c>
      <c r="V1917" s="3" t="n">
        <v>340</v>
      </c>
      <c r="W1917" s="3" t="n"/>
      <c r="X1917" s="4" t="n"/>
      <c r="Y1917" s="5" t="n">
        <v>0.08699999999999999</v>
      </c>
      <c r="Z1917" s="4">
        <f>IF(L1917&lt;&gt;"",SQRT(3)*G1917*L1917/1000,"")</f>
        <v/>
      </c>
      <c r="AA1917" t="inlineStr">
        <is>
          <t>Source=Copeland 2D/3D/4D/4R/6D/8D/9R compressors (pdf) p102; PWS_RLA=52.5</t>
        </is>
      </c>
      <c r="AB1917" t="inlineStr">
        <is>
          <t>Copeland_RLA_230_460_3ph_60Hz.xlsx</t>
        </is>
      </c>
      <c r="AC1917" t="inlineStr">
        <is>
          <t>Recip_2D-9R</t>
        </is>
      </c>
    </row>
    <row r="1918">
      <c r="A1918" t="inlineStr">
        <is>
          <t>COPELAND</t>
        </is>
      </c>
      <c r="B1918" t="inlineStr">
        <is>
          <t>6DY3-3000-TSK</t>
        </is>
      </c>
      <c r="D1918" t="inlineStr">
        <is>
          <t>Reciprocating Semi-hermetic</t>
        </is>
      </c>
      <c r="E1918" s="2" t="n">
        <v>3</v>
      </c>
      <c r="F1918" s="2" t="n">
        <v>60</v>
      </c>
      <c r="G1918" s="2" t="n">
        <v>460</v>
      </c>
      <c r="H1918" t="inlineStr">
        <is>
          <t>460</t>
        </is>
      </c>
      <c r="I1918" s="2" t="n">
        <v>460</v>
      </c>
      <c r="J1918" s="2" t="n">
        <v>460</v>
      </c>
      <c r="L1918" s="3" t="n"/>
      <c r="M1918" s="3" t="n"/>
      <c r="N1918" s="3" t="n">
        <v>52.5</v>
      </c>
      <c r="O1918" s="3" t="n"/>
      <c r="P1918" s="3">
        <f>IF(L1918&lt;&gt;"",L1918/1.4,"")</f>
        <v/>
      </c>
      <c r="Q1918" s="3">
        <f>IF(L1918&lt;&gt;"",L1918/1.56,"")</f>
        <v/>
      </c>
      <c r="R1918" s="3">
        <f>IF(M1918&lt;&gt;"",M1918/1.4,"")</f>
        <v/>
      </c>
      <c r="S1918" s="3">
        <f>IF(M1918&lt;&gt;"",M1918/1.56,"")</f>
        <v/>
      </c>
      <c r="T1918" s="3">
        <f>IF(N1918&lt;&gt;"",N1918,IF(O1918&lt;&gt;"",O1918,IF(L1918&lt;&gt;"",L1918/1.56,IF(M1918&lt;&gt;"",M1918/1.56,""))))</f>
        <v/>
      </c>
      <c r="U1918" s="3" t="n">
        <v>283</v>
      </c>
      <c r="V1918" s="3" t="n"/>
      <c r="W1918" s="3" t="n"/>
      <c r="X1918" s="4" t="n"/>
      <c r="Y1918" s="5" t="n">
        <v>0.348</v>
      </c>
      <c r="Z1918" s="4">
        <f>IF(L1918&lt;&gt;"",SQRT(3)*G1918*L1918/1000,"")</f>
        <v/>
      </c>
      <c r="AA1918" t="inlineStr">
        <is>
          <t>Source=Copeland 2D/3D/4D/4R/6D/8D/9R compressors (pdf) p102</t>
        </is>
      </c>
      <c r="AB1918" t="inlineStr">
        <is>
          <t>Copeland_RLA_230_460_3ph_60Hz.xlsx</t>
        </is>
      </c>
      <c r="AC1918" t="inlineStr">
        <is>
          <t>Recip_2D-9R</t>
        </is>
      </c>
    </row>
    <row r="1919">
      <c r="A1919" t="inlineStr">
        <is>
          <t>COPELAND</t>
        </is>
      </c>
      <c r="B1919" t="inlineStr">
        <is>
          <t>6DY3-300E-FSD</t>
        </is>
      </c>
      <c r="D1919" t="inlineStr">
        <is>
          <t>Reciprocating Semi-hermetic</t>
        </is>
      </c>
      <c r="E1919" s="2" t="n">
        <v>3</v>
      </c>
      <c r="F1919" s="2" t="n">
        <v>60</v>
      </c>
      <c r="G1919" s="2" t="n">
        <v>460</v>
      </c>
      <c r="H1919" t="inlineStr">
        <is>
          <t>460</t>
        </is>
      </c>
      <c r="I1919" s="2" t="n">
        <v>460</v>
      </c>
      <c r="J1919" s="2" t="n">
        <v>460</v>
      </c>
      <c r="L1919" s="3" t="n"/>
      <c r="M1919" s="3" t="n"/>
      <c r="N1919" s="3" t="n">
        <v>50</v>
      </c>
      <c r="O1919" s="3" t="n"/>
      <c r="P1919" s="3">
        <f>IF(L1919&lt;&gt;"",L1919/1.4,"")</f>
        <v/>
      </c>
      <c r="Q1919" s="3">
        <f>IF(L1919&lt;&gt;"",L1919/1.56,"")</f>
        <v/>
      </c>
      <c r="R1919" s="3">
        <f>IF(M1919&lt;&gt;"",M1919/1.4,"")</f>
        <v/>
      </c>
      <c r="S1919" s="3">
        <f>IF(M1919&lt;&gt;"",M1919/1.56,"")</f>
        <v/>
      </c>
      <c r="T1919" s="3">
        <f>IF(N1919&lt;&gt;"",N1919,IF(O1919&lt;&gt;"",O1919,IF(L1919&lt;&gt;"",L1919/1.56,IF(M1919&lt;&gt;"",M1919/1.56,""))))</f>
        <v/>
      </c>
      <c r="U1919" s="3" t="n">
        <v>260</v>
      </c>
      <c r="V1919" s="3" t="n">
        <v>156</v>
      </c>
      <c r="W1919" s="3" t="n"/>
      <c r="X1919" s="4" t="n"/>
      <c r="Y1919" s="5" t="n">
        <v>0.39</v>
      </c>
      <c r="Z1919" s="4">
        <f>IF(L1919&lt;&gt;"",SQRT(3)*G1919*L1919/1000,"")</f>
        <v/>
      </c>
      <c r="AA1919" t="inlineStr">
        <is>
          <t>Source=Copeland 2D/3D/4D/4R/6D/8D/9R compressors (pdf) p102; PWS_RLA=25.0</t>
        </is>
      </c>
      <c r="AB1919" t="inlineStr">
        <is>
          <t>Copeland_RLA_230_460_3ph_60Hz.xlsx</t>
        </is>
      </c>
      <c r="AC1919" t="inlineStr">
        <is>
          <t>Recip_2D-9R</t>
        </is>
      </c>
    </row>
    <row r="1920">
      <c r="A1920" t="inlineStr">
        <is>
          <t>COPELAND</t>
        </is>
      </c>
      <c r="B1920" t="inlineStr">
        <is>
          <t>6DY3-300E-TSK</t>
        </is>
      </c>
      <c r="D1920" t="inlineStr">
        <is>
          <t>Reciprocating Semi-hermetic</t>
        </is>
      </c>
      <c r="E1920" s="2" t="n">
        <v>3</v>
      </c>
      <c r="F1920" s="2" t="n">
        <v>60</v>
      </c>
      <c r="G1920" s="2" t="n">
        <v>230</v>
      </c>
      <c r="H1920" t="inlineStr">
        <is>
          <t>208/230</t>
        </is>
      </c>
      <c r="I1920" s="2" t="n">
        <v>208</v>
      </c>
      <c r="J1920" s="2" t="n">
        <v>230</v>
      </c>
      <c r="L1920" s="3" t="n"/>
      <c r="M1920" s="3" t="n"/>
      <c r="N1920" s="3" t="n">
        <v>105</v>
      </c>
      <c r="O1920" s="3" t="n"/>
      <c r="P1920" s="3">
        <f>IF(L1920&lt;&gt;"",L1920/1.4,"")</f>
        <v/>
      </c>
      <c r="Q1920" s="3">
        <f>IF(L1920&lt;&gt;"",L1920/1.56,"")</f>
        <v/>
      </c>
      <c r="R1920" s="3">
        <f>IF(M1920&lt;&gt;"",M1920/1.4,"")</f>
        <v/>
      </c>
      <c r="S1920" s="3">
        <f>IF(M1920&lt;&gt;"",M1920/1.56,"")</f>
        <v/>
      </c>
      <c r="T1920" s="3">
        <f>IF(N1920&lt;&gt;"",N1920,IF(O1920&lt;&gt;"",O1920,IF(L1920&lt;&gt;"",L1920/1.56,IF(M1920&lt;&gt;"",M1920/1.56,""))))</f>
        <v/>
      </c>
      <c r="U1920" s="3" t="n">
        <v>565</v>
      </c>
      <c r="V1920" s="3" t="n">
        <v>340</v>
      </c>
      <c r="W1920" s="3" t="n"/>
      <c r="X1920" s="4" t="n"/>
      <c r="Y1920" s="5" t="n">
        <v>0.08699999999999999</v>
      </c>
      <c r="Z1920" s="4">
        <f>IF(L1920&lt;&gt;"",SQRT(3)*G1920*L1920/1000,"")</f>
        <v/>
      </c>
      <c r="AA1920" t="inlineStr">
        <is>
          <t>Source=Copeland 2D/3D/4D/4R/6D/8D/9R compressors (pdf) p102; PWS_RLA=52.5</t>
        </is>
      </c>
      <c r="AB1920" t="inlineStr">
        <is>
          <t>Copeland_RLA_230_460_3ph_60Hz.xlsx</t>
        </is>
      </c>
      <c r="AC1920" t="inlineStr">
        <is>
          <t>Recip_2D-9R</t>
        </is>
      </c>
    </row>
    <row r="1921">
      <c r="A1921" t="inlineStr">
        <is>
          <t>COPELAND</t>
        </is>
      </c>
      <c r="B1921" t="inlineStr">
        <is>
          <t>6DY3-300E-TSK</t>
        </is>
      </c>
      <c r="D1921" t="inlineStr">
        <is>
          <t>Reciprocating Semi-hermetic</t>
        </is>
      </c>
      <c r="E1921" s="2" t="n">
        <v>3</v>
      </c>
      <c r="F1921" s="2" t="n">
        <v>60</v>
      </c>
      <c r="G1921" s="2" t="n">
        <v>460</v>
      </c>
      <c r="H1921" t="inlineStr">
        <is>
          <t>460</t>
        </is>
      </c>
      <c r="I1921" s="2" t="n">
        <v>460</v>
      </c>
      <c r="J1921" s="2" t="n">
        <v>460</v>
      </c>
      <c r="L1921" s="3" t="n"/>
      <c r="M1921" s="3" t="n"/>
      <c r="N1921" s="3" t="n">
        <v>52.5</v>
      </c>
      <c r="O1921" s="3" t="n"/>
      <c r="P1921" s="3">
        <f>IF(L1921&lt;&gt;"",L1921/1.4,"")</f>
        <v/>
      </c>
      <c r="Q1921" s="3">
        <f>IF(L1921&lt;&gt;"",L1921/1.56,"")</f>
        <v/>
      </c>
      <c r="R1921" s="3">
        <f>IF(M1921&lt;&gt;"",M1921/1.4,"")</f>
        <v/>
      </c>
      <c r="S1921" s="3">
        <f>IF(M1921&lt;&gt;"",M1921/1.56,"")</f>
        <v/>
      </c>
      <c r="T1921" s="3">
        <f>IF(N1921&lt;&gt;"",N1921,IF(O1921&lt;&gt;"",O1921,IF(L1921&lt;&gt;"",L1921/1.56,IF(M1921&lt;&gt;"",M1921/1.56,""))))</f>
        <v/>
      </c>
      <c r="U1921" s="3" t="n">
        <v>283</v>
      </c>
      <c r="V1921" s="3" t="n"/>
      <c r="W1921" s="3" t="n"/>
      <c r="X1921" s="4" t="n"/>
      <c r="Y1921" s="5" t="n">
        <v>0.348</v>
      </c>
      <c r="Z1921" s="4">
        <f>IF(L1921&lt;&gt;"",SQRT(3)*G1921*L1921/1000,"")</f>
        <v/>
      </c>
      <c r="AA1921" t="inlineStr">
        <is>
          <t>Source=Copeland 2D/3D/4D/4R/6D/8D/9R compressors (pdf) p102</t>
        </is>
      </c>
      <c r="AB1921" t="inlineStr">
        <is>
          <t>Copeland_RLA_230_460_3ph_60Hz.xlsx</t>
        </is>
      </c>
      <c r="AC1921" t="inlineStr">
        <is>
          <t>Recip_2D-9R</t>
        </is>
      </c>
    </row>
    <row r="1922">
      <c r="A1922" t="inlineStr">
        <is>
          <t>COPELAND</t>
        </is>
      </c>
      <c r="B1922" t="inlineStr">
        <is>
          <t>6DY3-300L-FSD</t>
        </is>
      </c>
      <c r="D1922" t="inlineStr">
        <is>
          <t>Reciprocating Semi-hermetic</t>
        </is>
      </c>
      <c r="E1922" s="2" t="n">
        <v>3</v>
      </c>
      <c r="F1922" s="2" t="n">
        <v>60</v>
      </c>
      <c r="G1922" s="2" t="n">
        <v>460</v>
      </c>
      <c r="H1922" t="inlineStr">
        <is>
          <t>460</t>
        </is>
      </c>
      <c r="I1922" s="2" t="n">
        <v>460</v>
      </c>
      <c r="J1922" s="2" t="n">
        <v>460</v>
      </c>
      <c r="L1922" s="3" t="n"/>
      <c r="M1922" s="3" t="n"/>
      <c r="N1922" s="3" t="n">
        <v>50</v>
      </c>
      <c r="O1922" s="3" t="n"/>
      <c r="P1922" s="3">
        <f>IF(L1922&lt;&gt;"",L1922/1.4,"")</f>
        <v/>
      </c>
      <c r="Q1922" s="3">
        <f>IF(L1922&lt;&gt;"",L1922/1.56,"")</f>
        <v/>
      </c>
      <c r="R1922" s="3">
        <f>IF(M1922&lt;&gt;"",M1922/1.4,"")</f>
        <v/>
      </c>
      <c r="S1922" s="3">
        <f>IF(M1922&lt;&gt;"",M1922/1.56,"")</f>
        <v/>
      </c>
      <c r="T1922" s="3">
        <f>IF(N1922&lt;&gt;"",N1922,IF(O1922&lt;&gt;"",O1922,IF(L1922&lt;&gt;"",L1922/1.56,IF(M1922&lt;&gt;"",M1922/1.56,""))))</f>
        <v/>
      </c>
      <c r="U1922" s="3" t="n">
        <v>260</v>
      </c>
      <c r="V1922" s="3" t="n">
        <v>156</v>
      </c>
      <c r="W1922" s="3" t="n"/>
      <c r="X1922" s="4" t="n"/>
      <c r="Y1922" s="5" t="n">
        <v>0.39</v>
      </c>
      <c r="Z1922" s="4">
        <f>IF(L1922&lt;&gt;"",SQRT(3)*G1922*L1922/1000,"")</f>
        <v/>
      </c>
      <c r="AA1922" t="inlineStr">
        <is>
          <t>Source=Copeland 2D/3D/4D/4R/6D/8D/9R compressors (pdf) p102; PWS_RLA=25.0</t>
        </is>
      </c>
      <c r="AB1922" t="inlineStr">
        <is>
          <t>Copeland_RLA_230_460_3ph_60Hz.xlsx</t>
        </is>
      </c>
      <c r="AC1922" t="inlineStr">
        <is>
          <t>Recip_2D-9R</t>
        </is>
      </c>
    </row>
    <row r="1923">
      <c r="A1923" t="inlineStr">
        <is>
          <t>COPELAND</t>
        </is>
      </c>
      <c r="B1923" t="inlineStr">
        <is>
          <t>6DY3-300L-TSK</t>
        </is>
      </c>
      <c r="D1923" t="inlineStr">
        <is>
          <t>Reciprocating Semi-hermetic</t>
        </is>
      </c>
      <c r="E1923" s="2" t="n">
        <v>3</v>
      </c>
      <c r="F1923" s="2" t="n">
        <v>60</v>
      </c>
      <c r="G1923" s="2" t="n">
        <v>230</v>
      </c>
      <c r="H1923" t="inlineStr">
        <is>
          <t>208/230</t>
        </is>
      </c>
      <c r="I1923" s="2" t="n">
        <v>208</v>
      </c>
      <c r="J1923" s="2" t="n">
        <v>230</v>
      </c>
      <c r="L1923" s="3" t="n"/>
      <c r="M1923" s="3" t="n"/>
      <c r="N1923" s="3" t="n">
        <v>105</v>
      </c>
      <c r="O1923" s="3" t="n"/>
      <c r="P1923" s="3">
        <f>IF(L1923&lt;&gt;"",L1923/1.4,"")</f>
        <v/>
      </c>
      <c r="Q1923" s="3">
        <f>IF(L1923&lt;&gt;"",L1923/1.56,"")</f>
        <v/>
      </c>
      <c r="R1923" s="3">
        <f>IF(M1923&lt;&gt;"",M1923/1.4,"")</f>
        <v/>
      </c>
      <c r="S1923" s="3">
        <f>IF(M1923&lt;&gt;"",M1923/1.56,"")</f>
        <v/>
      </c>
      <c r="T1923" s="3">
        <f>IF(N1923&lt;&gt;"",N1923,IF(O1923&lt;&gt;"",O1923,IF(L1923&lt;&gt;"",L1923/1.56,IF(M1923&lt;&gt;"",M1923/1.56,""))))</f>
        <v/>
      </c>
      <c r="U1923" s="3" t="n">
        <v>565</v>
      </c>
      <c r="V1923" s="3" t="n">
        <v>340</v>
      </c>
      <c r="W1923" s="3" t="n"/>
      <c r="X1923" s="4" t="n"/>
      <c r="Y1923" s="5" t="n">
        <v>0.08699999999999999</v>
      </c>
      <c r="Z1923" s="4">
        <f>IF(L1923&lt;&gt;"",SQRT(3)*G1923*L1923/1000,"")</f>
        <v/>
      </c>
      <c r="AA1923" t="inlineStr">
        <is>
          <t>Source=Copeland 2D/3D/4D/4R/6D/8D/9R compressors (pdf) p102; PWS_RLA=52.5</t>
        </is>
      </c>
      <c r="AB1923" t="inlineStr">
        <is>
          <t>Copeland_RLA_230_460_3ph_60Hz.xlsx</t>
        </is>
      </c>
      <c r="AC1923" t="inlineStr">
        <is>
          <t>Recip_2D-9R</t>
        </is>
      </c>
    </row>
    <row r="1924">
      <c r="A1924" t="inlineStr">
        <is>
          <t>COPELAND</t>
        </is>
      </c>
      <c r="B1924" t="inlineStr">
        <is>
          <t>6DY3-300L-TSK</t>
        </is>
      </c>
      <c r="D1924" t="inlineStr">
        <is>
          <t>Reciprocating Semi-hermetic</t>
        </is>
      </c>
      <c r="E1924" s="2" t="n">
        <v>3</v>
      </c>
      <c r="F1924" s="2" t="n">
        <v>60</v>
      </c>
      <c r="G1924" s="2" t="n">
        <v>460</v>
      </c>
      <c r="H1924" t="inlineStr">
        <is>
          <t>460</t>
        </is>
      </c>
      <c r="I1924" s="2" t="n">
        <v>460</v>
      </c>
      <c r="J1924" s="2" t="n">
        <v>460</v>
      </c>
      <c r="L1924" s="3" t="n"/>
      <c r="M1924" s="3" t="n"/>
      <c r="N1924" s="3" t="n">
        <v>52.5</v>
      </c>
      <c r="O1924" s="3" t="n"/>
      <c r="P1924" s="3">
        <f>IF(L1924&lt;&gt;"",L1924/1.4,"")</f>
        <v/>
      </c>
      <c r="Q1924" s="3">
        <f>IF(L1924&lt;&gt;"",L1924/1.56,"")</f>
        <v/>
      </c>
      <c r="R1924" s="3">
        <f>IF(M1924&lt;&gt;"",M1924/1.4,"")</f>
        <v/>
      </c>
      <c r="S1924" s="3">
        <f>IF(M1924&lt;&gt;"",M1924/1.56,"")</f>
        <v/>
      </c>
      <c r="T1924" s="3">
        <f>IF(N1924&lt;&gt;"",N1924,IF(O1924&lt;&gt;"",O1924,IF(L1924&lt;&gt;"",L1924/1.56,IF(M1924&lt;&gt;"",M1924/1.56,""))))</f>
        <v/>
      </c>
      <c r="U1924" s="3" t="n">
        <v>283</v>
      </c>
      <c r="V1924" s="3" t="n"/>
      <c r="W1924" s="3" t="n"/>
      <c r="X1924" s="4" t="n"/>
      <c r="Y1924" s="5" t="n">
        <v>0.348</v>
      </c>
      <c r="Z1924" s="4">
        <f>IF(L1924&lt;&gt;"",SQRT(3)*G1924*L1924/1000,"")</f>
        <v/>
      </c>
      <c r="AA1924" t="inlineStr">
        <is>
          <t>Source=Copeland 2D/3D/4D/4R/6D/8D/9R compressors (pdf) p102</t>
        </is>
      </c>
      <c r="AB1924" t="inlineStr">
        <is>
          <t>Copeland_RLA_230_460_3ph_60Hz.xlsx</t>
        </is>
      </c>
      <c r="AC1924" t="inlineStr">
        <is>
          <t>Recip_2D-9R</t>
        </is>
      </c>
    </row>
    <row r="1925">
      <c r="A1925" t="inlineStr">
        <is>
          <t>COPELAND</t>
        </is>
      </c>
      <c r="B1925" t="inlineStr">
        <is>
          <t>6DY3A3000-FSD</t>
        </is>
      </c>
      <c r="D1925" t="inlineStr">
        <is>
          <t>Reciprocating Semi-hermetic</t>
        </is>
      </c>
      <c r="E1925" s="2" t="n">
        <v>3</v>
      </c>
      <c r="F1925" s="2" t="n">
        <v>60</v>
      </c>
      <c r="G1925" s="2" t="n">
        <v>460</v>
      </c>
      <c r="H1925" t="inlineStr">
        <is>
          <t>460</t>
        </is>
      </c>
      <c r="I1925" s="2" t="n">
        <v>460</v>
      </c>
      <c r="J1925" s="2" t="n">
        <v>460</v>
      </c>
      <c r="L1925" s="3" t="n"/>
      <c r="M1925" s="3" t="n"/>
      <c r="N1925" s="3" t="n">
        <v>50</v>
      </c>
      <c r="O1925" s="3" t="n"/>
      <c r="P1925" s="3">
        <f>IF(L1925&lt;&gt;"",L1925/1.4,"")</f>
        <v/>
      </c>
      <c r="Q1925" s="3">
        <f>IF(L1925&lt;&gt;"",L1925/1.56,"")</f>
        <v/>
      </c>
      <c r="R1925" s="3">
        <f>IF(M1925&lt;&gt;"",M1925/1.4,"")</f>
        <v/>
      </c>
      <c r="S1925" s="3">
        <f>IF(M1925&lt;&gt;"",M1925/1.56,"")</f>
        <v/>
      </c>
      <c r="T1925" s="3">
        <f>IF(N1925&lt;&gt;"",N1925,IF(O1925&lt;&gt;"",O1925,IF(L1925&lt;&gt;"",L1925/1.56,IF(M1925&lt;&gt;"",M1925/1.56,""))))</f>
        <v/>
      </c>
      <c r="U1925" s="3" t="n">
        <v>260</v>
      </c>
      <c r="V1925" s="3" t="n">
        <v>156</v>
      </c>
      <c r="W1925" s="3" t="n"/>
      <c r="X1925" s="4" t="n"/>
      <c r="Y1925" s="5" t="n">
        <v>0.39</v>
      </c>
      <c r="Z1925" s="4">
        <f>IF(L1925&lt;&gt;"",SQRT(3)*G1925*L1925/1000,"")</f>
        <v/>
      </c>
      <c r="AA1925" t="inlineStr">
        <is>
          <t>Source=Copeland 2D/3D/4D/4R/6D/8D/9R compressors (pdf) p102; PWS_RLA=25.0</t>
        </is>
      </c>
      <c r="AB1925" t="inlineStr">
        <is>
          <t>Copeland_RLA_230_460_3ph_60Hz.xlsx</t>
        </is>
      </c>
      <c r="AC1925" t="inlineStr">
        <is>
          <t>Recip_2D-9R</t>
        </is>
      </c>
    </row>
    <row r="1926">
      <c r="A1926" t="inlineStr">
        <is>
          <t>COPELAND</t>
        </is>
      </c>
      <c r="B1926" t="inlineStr">
        <is>
          <t>6DY3A3000-TSK</t>
        </is>
      </c>
      <c r="D1926" t="inlineStr">
        <is>
          <t>Reciprocating Semi-hermetic</t>
        </is>
      </c>
      <c r="E1926" s="2" t="n">
        <v>3</v>
      </c>
      <c r="F1926" s="2" t="n">
        <v>60</v>
      </c>
      <c r="G1926" s="2" t="n">
        <v>230</v>
      </c>
      <c r="H1926" t="inlineStr">
        <is>
          <t>208/230</t>
        </is>
      </c>
      <c r="I1926" s="2" t="n">
        <v>208</v>
      </c>
      <c r="J1926" s="2" t="n">
        <v>230</v>
      </c>
      <c r="L1926" s="3" t="n"/>
      <c r="M1926" s="3" t="n"/>
      <c r="N1926" s="3" t="n">
        <v>105</v>
      </c>
      <c r="O1926" s="3" t="n"/>
      <c r="P1926" s="3">
        <f>IF(L1926&lt;&gt;"",L1926/1.4,"")</f>
        <v/>
      </c>
      <c r="Q1926" s="3">
        <f>IF(L1926&lt;&gt;"",L1926/1.56,"")</f>
        <v/>
      </c>
      <c r="R1926" s="3">
        <f>IF(M1926&lt;&gt;"",M1926/1.4,"")</f>
        <v/>
      </c>
      <c r="S1926" s="3">
        <f>IF(M1926&lt;&gt;"",M1926/1.56,"")</f>
        <v/>
      </c>
      <c r="T1926" s="3">
        <f>IF(N1926&lt;&gt;"",N1926,IF(O1926&lt;&gt;"",O1926,IF(L1926&lt;&gt;"",L1926/1.56,IF(M1926&lt;&gt;"",M1926/1.56,""))))</f>
        <v/>
      </c>
      <c r="U1926" s="3" t="n">
        <v>565</v>
      </c>
      <c r="V1926" s="3" t="n">
        <v>340</v>
      </c>
      <c r="W1926" s="3" t="n"/>
      <c r="X1926" s="4" t="n"/>
      <c r="Y1926" s="5" t="n">
        <v>0.08699999999999999</v>
      </c>
      <c r="Z1926" s="4">
        <f>IF(L1926&lt;&gt;"",SQRT(3)*G1926*L1926/1000,"")</f>
        <v/>
      </c>
      <c r="AA1926" t="inlineStr">
        <is>
          <t>Source=Copeland 2D/3D/4D/4R/6D/8D/9R compressors (pdf) p102; PWS_RLA=52.5</t>
        </is>
      </c>
      <c r="AB1926" t="inlineStr">
        <is>
          <t>Copeland_RLA_230_460_3ph_60Hz.xlsx</t>
        </is>
      </c>
      <c r="AC1926" t="inlineStr">
        <is>
          <t>Recip_2D-9R</t>
        </is>
      </c>
    </row>
    <row r="1927">
      <c r="A1927" t="inlineStr">
        <is>
          <t>COPELAND</t>
        </is>
      </c>
      <c r="B1927" t="inlineStr">
        <is>
          <t>6DY3A3000-TSK</t>
        </is>
      </c>
      <c r="D1927" t="inlineStr">
        <is>
          <t>Reciprocating Semi-hermetic</t>
        </is>
      </c>
      <c r="E1927" s="2" t="n">
        <v>3</v>
      </c>
      <c r="F1927" s="2" t="n">
        <v>60</v>
      </c>
      <c r="G1927" s="2" t="n">
        <v>460</v>
      </c>
      <c r="H1927" t="inlineStr">
        <is>
          <t>460</t>
        </is>
      </c>
      <c r="I1927" s="2" t="n">
        <v>460</v>
      </c>
      <c r="J1927" s="2" t="n">
        <v>460</v>
      </c>
      <c r="L1927" s="3" t="n"/>
      <c r="M1927" s="3" t="n"/>
      <c r="N1927" s="3" t="n">
        <v>52.5</v>
      </c>
      <c r="O1927" s="3" t="n"/>
      <c r="P1927" s="3">
        <f>IF(L1927&lt;&gt;"",L1927/1.4,"")</f>
        <v/>
      </c>
      <c r="Q1927" s="3">
        <f>IF(L1927&lt;&gt;"",L1927/1.56,"")</f>
        <v/>
      </c>
      <c r="R1927" s="3">
        <f>IF(M1927&lt;&gt;"",M1927/1.4,"")</f>
        <v/>
      </c>
      <c r="S1927" s="3">
        <f>IF(M1927&lt;&gt;"",M1927/1.56,"")</f>
        <v/>
      </c>
      <c r="T1927" s="3">
        <f>IF(N1927&lt;&gt;"",N1927,IF(O1927&lt;&gt;"",O1927,IF(L1927&lt;&gt;"",L1927/1.56,IF(M1927&lt;&gt;"",M1927/1.56,""))))</f>
        <v/>
      </c>
      <c r="U1927" s="3" t="n">
        <v>283</v>
      </c>
      <c r="V1927" s="3" t="n"/>
      <c r="W1927" s="3" t="n"/>
      <c r="X1927" s="4" t="n"/>
      <c r="Y1927" s="5" t="n">
        <v>0.348</v>
      </c>
      <c r="Z1927" s="4">
        <f>IF(L1927&lt;&gt;"",SQRT(3)*G1927*L1927/1000,"")</f>
        <v/>
      </c>
      <c r="AA1927" t="inlineStr">
        <is>
          <t>Source=Copeland 2D/3D/4D/4R/6D/8D/9R compressors (pdf) p102</t>
        </is>
      </c>
      <c r="AB1927" t="inlineStr">
        <is>
          <t>Copeland_RLA_230_460_3ph_60Hz.xlsx</t>
        </is>
      </c>
      <c r="AC1927" t="inlineStr">
        <is>
          <t>Recip_2D-9R</t>
        </is>
      </c>
    </row>
    <row r="1928">
      <c r="A1928" t="inlineStr">
        <is>
          <t>COPELAND</t>
        </is>
      </c>
      <c r="B1928" t="inlineStr">
        <is>
          <t>6DY3A300E-FSD</t>
        </is>
      </c>
      <c r="D1928" t="inlineStr">
        <is>
          <t>Reciprocating Semi-hermetic</t>
        </is>
      </c>
      <c r="E1928" s="2" t="n">
        <v>3</v>
      </c>
      <c r="F1928" s="2" t="n">
        <v>60</v>
      </c>
      <c r="G1928" s="2" t="n">
        <v>460</v>
      </c>
      <c r="H1928" t="inlineStr">
        <is>
          <t>460</t>
        </is>
      </c>
      <c r="I1928" s="2" t="n">
        <v>460</v>
      </c>
      <c r="J1928" s="2" t="n">
        <v>460</v>
      </c>
      <c r="L1928" s="3" t="n"/>
      <c r="M1928" s="3" t="n"/>
      <c r="N1928" s="3" t="n">
        <v>50</v>
      </c>
      <c r="O1928" s="3" t="n"/>
      <c r="P1928" s="3">
        <f>IF(L1928&lt;&gt;"",L1928/1.4,"")</f>
        <v/>
      </c>
      <c r="Q1928" s="3">
        <f>IF(L1928&lt;&gt;"",L1928/1.56,"")</f>
        <v/>
      </c>
      <c r="R1928" s="3">
        <f>IF(M1928&lt;&gt;"",M1928/1.4,"")</f>
        <v/>
      </c>
      <c r="S1928" s="3">
        <f>IF(M1928&lt;&gt;"",M1928/1.56,"")</f>
        <v/>
      </c>
      <c r="T1928" s="3">
        <f>IF(N1928&lt;&gt;"",N1928,IF(O1928&lt;&gt;"",O1928,IF(L1928&lt;&gt;"",L1928/1.56,IF(M1928&lt;&gt;"",M1928/1.56,""))))</f>
        <v/>
      </c>
      <c r="U1928" s="3" t="n">
        <v>260</v>
      </c>
      <c r="V1928" s="3" t="n">
        <v>156</v>
      </c>
      <c r="W1928" s="3" t="n"/>
      <c r="X1928" s="4" t="n"/>
      <c r="Y1928" s="5" t="n">
        <v>0.39</v>
      </c>
      <c r="Z1928" s="4">
        <f>IF(L1928&lt;&gt;"",SQRT(3)*G1928*L1928/1000,"")</f>
        <v/>
      </c>
      <c r="AA1928" t="inlineStr">
        <is>
          <t>Source=Copeland 2D/3D/4D/4R/6D/8D/9R compressors (pdf) p103; PWS_RLA=25.0</t>
        </is>
      </c>
      <c r="AB1928" t="inlineStr">
        <is>
          <t>Copeland_RLA_230_460_3ph_60Hz.xlsx</t>
        </is>
      </c>
      <c r="AC1928" t="inlineStr">
        <is>
          <t>Recip_2D-9R</t>
        </is>
      </c>
    </row>
    <row r="1929">
      <c r="A1929" t="inlineStr">
        <is>
          <t>COPELAND</t>
        </is>
      </c>
      <c r="B1929" t="inlineStr">
        <is>
          <t>6DY3A300E-TSK</t>
        </is>
      </c>
      <c r="D1929" t="inlineStr">
        <is>
          <t>Reciprocating Semi-hermetic</t>
        </is>
      </c>
      <c r="E1929" s="2" t="n">
        <v>3</v>
      </c>
      <c r="F1929" s="2" t="n">
        <v>60</v>
      </c>
      <c r="G1929" s="2" t="n">
        <v>230</v>
      </c>
      <c r="H1929" t="inlineStr">
        <is>
          <t>208/230</t>
        </is>
      </c>
      <c r="I1929" s="2" t="n">
        <v>208</v>
      </c>
      <c r="J1929" s="2" t="n">
        <v>230</v>
      </c>
      <c r="L1929" s="3" t="n"/>
      <c r="M1929" s="3" t="n"/>
      <c r="N1929" s="3" t="n">
        <v>134.3</v>
      </c>
      <c r="O1929" s="3" t="n"/>
      <c r="P1929" s="3">
        <f>IF(L1929&lt;&gt;"",L1929/1.4,"")</f>
        <v/>
      </c>
      <c r="Q1929" s="3">
        <f>IF(L1929&lt;&gt;"",L1929/1.56,"")</f>
        <v/>
      </c>
      <c r="R1929" s="3">
        <f>IF(M1929&lt;&gt;"",M1929/1.4,"")</f>
        <v/>
      </c>
      <c r="S1929" s="3">
        <f>IF(M1929&lt;&gt;"",M1929/1.56,"")</f>
        <v/>
      </c>
      <c r="T1929" s="3">
        <f>IF(N1929&lt;&gt;"",N1929,IF(O1929&lt;&gt;"",O1929,IF(L1929&lt;&gt;"",L1929/1.56,IF(M1929&lt;&gt;"",M1929/1.56,""))))</f>
        <v/>
      </c>
      <c r="U1929" s="3" t="n">
        <v>565</v>
      </c>
      <c r="V1929" s="3" t="n">
        <v>340</v>
      </c>
      <c r="W1929" s="3" t="n"/>
      <c r="X1929" s="4" t="n"/>
      <c r="Y1929" s="5" t="n">
        <v>0.08699999999999999</v>
      </c>
      <c r="Z1929" s="4">
        <f>IF(L1929&lt;&gt;"",SQRT(3)*G1929*L1929/1000,"")</f>
        <v/>
      </c>
      <c r="AA1929" t="inlineStr">
        <is>
          <t>Source=Copeland 2D/3D/4D/4R/6D/8D/9R compressors (pdf) p103; PWS_RLA=52.5</t>
        </is>
      </c>
      <c r="AB1929" t="inlineStr">
        <is>
          <t>Copeland_RLA_230_460_3ph_60Hz.xlsx</t>
        </is>
      </c>
      <c r="AC1929" t="inlineStr">
        <is>
          <t>Recip_2D-9R</t>
        </is>
      </c>
    </row>
    <row r="1930">
      <c r="A1930" t="inlineStr">
        <is>
          <t>COPELAND</t>
        </is>
      </c>
      <c r="B1930" t="inlineStr">
        <is>
          <t>6DY3A300E-TSK</t>
        </is>
      </c>
      <c r="D1930" t="inlineStr">
        <is>
          <t>Reciprocating Semi-hermetic</t>
        </is>
      </c>
      <c r="E1930" s="2" t="n">
        <v>3</v>
      </c>
      <c r="F1930" s="2" t="n">
        <v>60</v>
      </c>
      <c r="G1930" s="2" t="n">
        <v>460</v>
      </c>
      <c r="H1930" t="inlineStr">
        <is>
          <t>460</t>
        </is>
      </c>
      <c r="I1930" s="2" t="n">
        <v>460</v>
      </c>
      <c r="J1930" s="2" t="n">
        <v>460</v>
      </c>
      <c r="L1930" s="3" t="n"/>
      <c r="M1930" s="3" t="n"/>
      <c r="N1930" s="3" t="n">
        <v>67.09999999999999</v>
      </c>
      <c r="O1930" s="3" t="n"/>
      <c r="P1930" s="3">
        <f>IF(L1930&lt;&gt;"",L1930/1.4,"")</f>
        <v/>
      </c>
      <c r="Q1930" s="3">
        <f>IF(L1930&lt;&gt;"",L1930/1.56,"")</f>
        <v/>
      </c>
      <c r="R1930" s="3">
        <f>IF(M1930&lt;&gt;"",M1930/1.4,"")</f>
        <v/>
      </c>
      <c r="S1930" s="3">
        <f>IF(M1930&lt;&gt;"",M1930/1.56,"")</f>
        <v/>
      </c>
      <c r="T1930" s="3">
        <f>IF(N1930&lt;&gt;"",N1930,IF(O1930&lt;&gt;"",O1930,IF(L1930&lt;&gt;"",L1930/1.56,IF(M1930&lt;&gt;"",M1930/1.56,""))))</f>
        <v/>
      </c>
      <c r="U1930" s="3" t="n">
        <v>283</v>
      </c>
      <c r="V1930" s="3" t="n"/>
      <c r="W1930" s="3" t="n"/>
      <c r="X1930" s="4" t="n"/>
      <c r="Y1930" s="5" t="n">
        <v>0.348</v>
      </c>
      <c r="Z1930" s="4">
        <f>IF(L1930&lt;&gt;"",SQRT(3)*G1930*L1930/1000,"")</f>
        <v/>
      </c>
      <c r="AA1930" t="inlineStr">
        <is>
          <t>Source=Copeland 2D/3D/4D/4R/6D/8D/9R compressors (pdf) p103</t>
        </is>
      </c>
      <c r="AB1930" t="inlineStr">
        <is>
          <t>Copeland_RLA_230_460_3ph_60Hz.xlsx</t>
        </is>
      </c>
      <c r="AC1930" t="inlineStr">
        <is>
          <t>Recip_2D-9R</t>
        </is>
      </c>
    </row>
    <row r="1931">
      <c r="A1931" t="inlineStr">
        <is>
          <t>COPELAND</t>
        </is>
      </c>
      <c r="B1931" t="inlineStr">
        <is>
          <t>6DY3A300L-FSD</t>
        </is>
      </c>
      <c r="D1931" t="inlineStr">
        <is>
          <t>Reciprocating Semi-hermetic</t>
        </is>
      </c>
      <c r="E1931" s="2" t="n">
        <v>3</v>
      </c>
      <c r="F1931" s="2" t="n">
        <v>60</v>
      </c>
      <c r="G1931" s="2" t="n">
        <v>460</v>
      </c>
      <c r="H1931" t="inlineStr">
        <is>
          <t>460</t>
        </is>
      </c>
      <c r="I1931" s="2" t="n">
        <v>460</v>
      </c>
      <c r="J1931" s="2" t="n">
        <v>460</v>
      </c>
      <c r="L1931" s="3" t="n"/>
      <c r="M1931" s="3" t="n"/>
      <c r="N1931" s="3" t="n">
        <v>50</v>
      </c>
      <c r="O1931" s="3" t="n"/>
      <c r="P1931" s="3">
        <f>IF(L1931&lt;&gt;"",L1931/1.4,"")</f>
        <v/>
      </c>
      <c r="Q1931" s="3">
        <f>IF(L1931&lt;&gt;"",L1931/1.56,"")</f>
        <v/>
      </c>
      <c r="R1931" s="3">
        <f>IF(M1931&lt;&gt;"",M1931/1.4,"")</f>
        <v/>
      </c>
      <c r="S1931" s="3">
        <f>IF(M1931&lt;&gt;"",M1931/1.56,"")</f>
        <v/>
      </c>
      <c r="T1931" s="3">
        <f>IF(N1931&lt;&gt;"",N1931,IF(O1931&lt;&gt;"",O1931,IF(L1931&lt;&gt;"",L1931/1.56,IF(M1931&lt;&gt;"",M1931/1.56,""))))</f>
        <v/>
      </c>
      <c r="U1931" s="3" t="n">
        <v>260</v>
      </c>
      <c r="V1931" s="3" t="n">
        <v>156</v>
      </c>
      <c r="W1931" s="3" t="n"/>
      <c r="X1931" s="4" t="n"/>
      <c r="Y1931" s="5" t="n">
        <v>0.39</v>
      </c>
      <c r="Z1931" s="4">
        <f>IF(L1931&lt;&gt;"",SQRT(3)*G1931*L1931/1000,"")</f>
        <v/>
      </c>
      <c r="AA1931" t="inlineStr">
        <is>
          <t>Source=Copeland 2D/3D/4D/4R/6D/8D/9R compressors (pdf) p103; PWS_RLA=25.0</t>
        </is>
      </c>
      <c r="AB1931" t="inlineStr">
        <is>
          <t>Copeland_RLA_230_460_3ph_60Hz.xlsx</t>
        </is>
      </c>
      <c r="AC1931" t="inlineStr">
        <is>
          <t>Recip_2D-9R</t>
        </is>
      </c>
    </row>
    <row r="1932">
      <c r="A1932" t="inlineStr">
        <is>
          <t>COPELAND</t>
        </is>
      </c>
      <c r="B1932" t="inlineStr">
        <is>
          <t>6DY3A300L-TSK</t>
        </is>
      </c>
      <c r="D1932" t="inlineStr">
        <is>
          <t>Reciprocating Semi-hermetic</t>
        </is>
      </c>
      <c r="E1932" s="2" t="n">
        <v>3</v>
      </c>
      <c r="F1932" s="2" t="n">
        <v>60</v>
      </c>
      <c r="G1932" s="2" t="n">
        <v>230</v>
      </c>
      <c r="H1932" t="inlineStr">
        <is>
          <t>208/230</t>
        </is>
      </c>
      <c r="I1932" s="2" t="n">
        <v>208</v>
      </c>
      <c r="J1932" s="2" t="n">
        <v>230</v>
      </c>
      <c r="L1932" s="3" t="n"/>
      <c r="M1932" s="3" t="n"/>
      <c r="N1932" s="3" t="n">
        <v>134.3</v>
      </c>
      <c r="O1932" s="3" t="n"/>
      <c r="P1932" s="3">
        <f>IF(L1932&lt;&gt;"",L1932/1.4,"")</f>
        <v/>
      </c>
      <c r="Q1932" s="3">
        <f>IF(L1932&lt;&gt;"",L1932/1.56,"")</f>
        <v/>
      </c>
      <c r="R1932" s="3">
        <f>IF(M1932&lt;&gt;"",M1932/1.4,"")</f>
        <v/>
      </c>
      <c r="S1932" s="3">
        <f>IF(M1932&lt;&gt;"",M1932/1.56,"")</f>
        <v/>
      </c>
      <c r="T1932" s="3">
        <f>IF(N1932&lt;&gt;"",N1932,IF(O1932&lt;&gt;"",O1932,IF(L1932&lt;&gt;"",L1932/1.56,IF(M1932&lt;&gt;"",M1932/1.56,""))))</f>
        <v/>
      </c>
      <c r="U1932" s="3" t="n">
        <v>565</v>
      </c>
      <c r="V1932" s="3" t="n">
        <v>340</v>
      </c>
      <c r="W1932" s="3" t="n"/>
      <c r="X1932" s="4" t="n"/>
      <c r="Y1932" s="5" t="n">
        <v>0.08699999999999999</v>
      </c>
      <c r="Z1932" s="4">
        <f>IF(L1932&lt;&gt;"",SQRT(3)*G1932*L1932/1000,"")</f>
        <v/>
      </c>
      <c r="AA1932" t="inlineStr">
        <is>
          <t>Source=Copeland 2D/3D/4D/4R/6D/8D/9R compressors (pdf) p103; PWS_RLA=52.5</t>
        </is>
      </c>
      <c r="AB1932" t="inlineStr">
        <is>
          <t>Copeland_RLA_230_460_3ph_60Hz.xlsx</t>
        </is>
      </c>
      <c r="AC1932" t="inlineStr">
        <is>
          <t>Recip_2D-9R</t>
        </is>
      </c>
    </row>
    <row r="1933">
      <c r="A1933" t="inlineStr">
        <is>
          <t>COPELAND</t>
        </is>
      </c>
      <c r="B1933" t="inlineStr">
        <is>
          <t>6DY3A300L-TSK</t>
        </is>
      </c>
      <c r="D1933" t="inlineStr">
        <is>
          <t>Reciprocating Semi-hermetic</t>
        </is>
      </c>
      <c r="E1933" s="2" t="n">
        <v>3</v>
      </c>
      <c r="F1933" s="2" t="n">
        <v>60</v>
      </c>
      <c r="G1933" s="2" t="n">
        <v>460</v>
      </c>
      <c r="H1933" t="inlineStr">
        <is>
          <t>460</t>
        </is>
      </c>
      <c r="I1933" s="2" t="n">
        <v>460</v>
      </c>
      <c r="J1933" s="2" t="n">
        <v>460</v>
      </c>
      <c r="L1933" s="3" t="n"/>
      <c r="M1933" s="3" t="n"/>
      <c r="N1933" s="3" t="n">
        <v>67.09999999999999</v>
      </c>
      <c r="O1933" s="3" t="n"/>
      <c r="P1933" s="3">
        <f>IF(L1933&lt;&gt;"",L1933/1.4,"")</f>
        <v/>
      </c>
      <c r="Q1933" s="3">
        <f>IF(L1933&lt;&gt;"",L1933/1.56,"")</f>
        <v/>
      </c>
      <c r="R1933" s="3">
        <f>IF(M1933&lt;&gt;"",M1933/1.4,"")</f>
        <v/>
      </c>
      <c r="S1933" s="3">
        <f>IF(M1933&lt;&gt;"",M1933/1.56,"")</f>
        <v/>
      </c>
      <c r="T1933" s="3">
        <f>IF(N1933&lt;&gt;"",N1933,IF(O1933&lt;&gt;"",O1933,IF(L1933&lt;&gt;"",L1933/1.56,IF(M1933&lt;&gt;"",M1933/1.56,""))))</f>
        <v/>
      </c>
      <c r="U1933" s="3" t="n">
        <v>283</v>
      </c>
      <c r="V1933" s="3" t="n"/>
      <c r="W1933" s="3" t="n"/>
      <c r="X1933" s="4" t="n"/>
      <c r="Y1933" s="5" t="n">
        <v>0.348</v>
      </c>
      <c r="Z1933" s="4">
        <f>IF(L1933&lt;&gt;"",SQRT(3)*G1933*L1933/1000,"")</f>
        <v/>
      </c>
      <c r="AA1933" t="inlineStr">
        <is>
          <t>Source=Copeland 2D/3D/4D/4R/6D/8D/9R compressors (pdf) p103</t>
        </is>
      </c>
      <c r="AB1933" t="inlineStr">
        <is>
          <t>Copeland_RLA_230_460_3ph_60Hz.xlsx</t>
        </is>
      </c>
      <c r="AC1933" t="inlineStr">
        <is>
          <t>Recip_2D-9R</t>
        </is>
      </c>
    </row>
    <row r="1934">
      <c r="A1934" t="inlineStr">
        <is>
          <t>COPELAND</t>
        </is>
      </c>
      <c r="B1934" t="inlineStr">
        <is>
          <t>6DY3R32M0-FSD</t>
        </is>
      </c>
      <c r="D1934" t="inlineStr">
        <is>
          <t>Reciprocating Semi-hermetic</t>
        </is>
      </c>
      <c r="E1934" s="2" t="n">
        <v>3</v>
      </c>
      <c r="F1934" s="2" t="n">
        <v>60</v>
      </c>
      <c r="G1934" s="2" t="n">
        <v>460</v>
      </c>
      <c r="H1934" t="inlineStr">
        <is>
          <t>460</t>
        </is>
      </c>
      <c r="I1934" s="2" t="n">
        <v>460</v>
      </c>
      <c r="J1934" s="2" t="n">
        <v>460</v>
      </c>
      <c r="L1934" s="3" t="n"/>
      <c r="M1934" s="3" t="n"/>
      <c r="N1934" s="3" t="n">
        <v>50</v>
      </c>
      <c r="O1934" s="3" t="n"/>
      <c r="P1934" s="3">
        <f>IF(L1934&lt;&gt;"",L1934/1.4,"")</f>
        <v/>
      </c>
      <c r="Q1934" s="3">
        <f>IF(L1934&lt;&gt;"",L1934/1.56,"")</f>
        <v/>
      </c>
      <c r="R1934" s="3">
        <f>IF(M1934&lt;&gt;"",M1934/1.4,"")</f>
        <v/>
      </c>
      <c r="S1934" s="3">
        <f>IF(M1934&lt;&gt;"",M1934/1.56,"")</f>
        <v/>
      </c>
      <c r="T1934" s="3">
        <f>IF(N1934&lt;&gt;"",N1934,IF(O1934&lt;&gt;"",O1934,IF(L1934&lt;&gt;"",L1934/1.56,IF(M1934&lt;&gt;"",M1934/1.56,""))))</f>
        <v/>
      </c>
      <c r="U1934" s="3" t="n">
        <v>260</v>
      </c>
      <c r="V1934" s="3" t="n">
        <v>156</v>
      </c>
      <c r="W1934" s="3" t="n"/>
      <c r="X1934" s="4" t="n"/>
      <c r="Y1934" s="5" t="n">
        <v>0.39</v>
      </c>
      <c r="Z1934" s="4">
        <f>IF(L1934&lt;&gt;"",SQRT(3)*G1934*L1934/1000,"")</f>
        <v/>
      </c>
      <c r="AA1934" t="inlineStr">
        <is>
          <t>Source=Copeland 2D/3D/4D/4R/6D/8D/9R compressors (pdf) p103; PWS_RLA=25.0</t>
        </is>
      </c>
      <c r="AB1934" t="inlineStr">
        <is>
          <t>Copeland_RLA_230_460_3ph_60Hz.xlsx</t>
        </is>
      </c>
      <c r="AC1934" t="inlineStr">
        <is>
          <t>Recip_2D-9R</t>
        </is>
      </c>
    </row>
    <row r="1935">
      <c r="A1935" t="inlineStr">
        <is>
          <t>COPELAND</t>
        </is>
      </c>
      <c r="B1935" t="inlineStr">
        <is>
          <t>6DY3R32M0-TSK</t>
        </is>
      </c>
      <c r="D1935" t="inlineStr">
        <is>
          <t>Reciprocating Semi-hermetic</t>
        </is>
      </c>
      <c r="E1935" s="2" t="n">
        <v>3</v>
      </c>
      <c r="F1935" s="2" t="n">
        <v>60</v>
      </c>
      <c r="G1935" s="2" t="n">
        <v>230</v>
      </c>
      <c r="H1935" t="inlineStr">
        <is>
          <t>208/230</t>
        </is>
      </c>
      <c r="I1935" s="2" t="n">
        <v>208</v>
      </c>
      <c r="J1935" s="2" t="n">
        <v>230</v>
      </c>
      <c r="L1935" s="3" t="n"/>
      <c r="M1935" s="3" t="n"/>
      <c r="N1935" s="3" t="n">
        <v>105</v>
      </c>
      <c r="O1935" s="3" t="n"/>
      <c r="P1935" s="3">
        <f>IF(L1935&lt;&gt;"",L1935/1.4,"")</f>
        <v/>
      </c>
      <c r="Q1935" s="3">
        <f>IF(L1935&lt;&gt;"",L1935/1.56,"")</f>
        <v/>
      </c>
      <c r="R1935" s="3">
        <f>IF(M1935&lt;&gt;"",M1935/1.4,"")</f>
        <v/>
      </c>
      <c r="S1935" s="3">
        <f>IF(M1935&lt;&gt;"",M1935/1.56,"")</f>
        <v/>
      </c>
      <c r="T1935" s="3">
        <f>IF(N1935&lt;&gt;"",N1935,IF(O1935&lt;&gt;"",O1935,IF(L1935&lt;&gt;"",L1935/1.56,IF(M1935&lt;&gt;"",M1935/1.56,""))))</f>
        <v/>
      </c>
      <c r="U1935" s="3" t="n">
        <v>565</v>
      </c>
      <c r="V1935" s="3" t="n">
        <v>340</v>
      </c>
      <c r="W1935" s="3" t="n"/>
      <c r="X1935" s="4" t="n"/>
      <c r="Y1935" s="5" t="n">
        <v>0.08699999999999999</v>
      </c>
      <c r="Z1935" s="4">
        <f>IF(L1935&lt;&gt;"",SQRT(3)*G1935*L1935/1000,"")</f>
        <v/>
      </c>
      <c r="AA1935" t="inlineStr">
        <is>
          <t>Source=Copeland 2D/3D/4D/4R/6D/8D/9R compressors (pdf) p103; PWS_RLA=52.5</t>
        </is>
      </c>
      <c r="AB1935" t="inlineStr">
        <is>
          <t>Copeland_RLA_230_460_3ph_60Hz.xlsx</t>
        </is>
      </c>
      <c r="AC1935" t="inlineStr">
        <is>
          <t>Recip_2D-9R</t>
        </is>
      </c>
    </row>
    <row r="1936">
      <c r="A1936" t="inlineStr">
        <is>
          <t>COPELAND</t>
        </is>
      </c>
      <c r="B1936" t="inlineStr">
        <is>
          <t>6DY3R32M0-TSK</t>
        </is>
      </c>
      <c r="D1936" t="inlineStr">
        <is>
          <t>Reciprocating Semi-hermetic</t>
        </is>
      </c>
      <c r="E1936" s="2" t="n">
        <v>3</v>
      </c>
      <c r="F1936" s="2" t="n">
        <v>60</v>
      </c>
      <c r="G1936" s="2" t="n">
        <v>460</v>
      </c>
      <c r="H1936" t="inlineStr">
        <is>
          <t>460</t>
        </is>
      </c>
      <c r="I1936" s="2" t="n">
        <v>460</v>
      </c>
      <c r="J1936" s="2" t="n">
        <v>460</v>
      </c>
      <c r="L1936" s="3" t="n"/>
      <c r="M1936" s="3" t="n"/>
      <c r="N1936" s="3" t="n">
        <v>52.5</v>
      </c>
      <c r="O1936" s="3" t="n"/>
      <c r="P1936" s="3">
        <f>IF(L1936&lt;&gt;"",L1936/1.4,"")</f>
        <v/>
      </c>
      <c r="Q1936" s="3">
        <f>IF(L1936&lt;&gt;"",L1936/1.56,"")</f>
        <v/>
      </c>
      <c r="R1936" s="3">
        <f>IF(M1936&lt;&gt;"",M1936/1.4,"")</f>
        <v/>
      </c>
      <c r="S1936" s="3">
        <f>IF(M1936&lt;&gt;"",M1936/1.56,"")</f>
        <v/>
      </c>
      <c r="T1936" s="3">
        <f>IF(N1936&lt;&gt;"",N1936,IF(O1936&lt;&gt;"",O1936,IF(L1936&lt;&gt;"",L1936/1.56,IF(M1936&lt;&gt;"",M1936/1.56,""))))</f>
        <v/>
      </c>
      <c r="U1936" s="3" t="n">
        <v>283</v>
      </c>
      <c r="V1936" s="3" t="n"/>
      <c r="W1936" s="3" t="n"/>
      <c r="X1936" s="4" t="n"/>
      <c r="Y1936" s="5" t="n">
        <v>0.348</v>
      </c>
      <c r="Z1936" s="4">
        <f>IF(L1936&lt;&gt;"",SQRT(3)*G1936*L1936/1000,"")</f>
        <v/>
      </c>
      <c r="AA1936" t="inlineStr">
        <is>
          <t>Source=Copeland 2D/3D/4D/4R/6D/8D/9R compressors (pdf) p103</t>
        </is>
      </c>
      <c r="AB1936" t="inlineStr">
        <is>
          <t>Copeland_RLA_230_460_3ph_60Hz.xlsx</t>
        </is>
      </c>
      <c r="AC1936" t="inlineStr">
        <is>
          <t>Recip_2D-9R</t>
        </is>
      </c>
    </row>
    <row r="1937">
      <c r="A1937" t="inlineStr">
        <is>
          <t>COPELAND</t>
        </is>
      </c>
      <c r="B1937" t="inlineStr">
        <is>
          <t>6DY3R32ME-FSD</t>
        </is>
      </c>
      <c r="D1937" t="inlineStr">
        <is>
          <t>Reciprocating Semi-hermetic</t>
        </is>
      </c>
      <c r="E1937" s="2" t="n">
        <v>3</v>
      </c>
      <c r="F1937" s="2" t="n">
        <v>60</v>
      </c>
      <c r="G1937" s="2" t="n">
        <v>460</v>
      </c>
      <c r="H1937" t="inlineStr">
        <is>
          <t>460</t>
        </is>
      </c>
      <c r="I1937" s="2" t="n">
        <v>460</v>
      </c>
      <c r="J1937" s="2" t="n">
        <v>460</v>
      </c>
      <c r="L1937" s="3" t="n"/>
      <c r="M1937" s="3" t="n"/>
      <c r="N1937" s="3" t="n">
        <v>62.1</v>
      </c>
      <c r="O1937" s="3" t="n"/>
      <c r="P1937" s="3">
        <f>IF(L1937&lt;&gt;"",L1937/1.4,"")</f>
        <v/>
      </c>
      <c r="Q1937" s="3">
        <f>IF(L1937&lt;&gt;"",L1937/1.56,"")</f>
        <v/>
      </c>
      <c r="R1937" s="3">
        <f>IF(M1937&lt;&gt;"",M1937/1.4,"")</f>
        <v/>
      </c>
      <c r="S1937" s="3">
        <f>IF(M1937&lt;&gt;"",M1937/1.56,"")</f>
        <v/>
      </c>
      <c r="T1937" s="3">
        <f>IF(N1937&lt;&gt;"",N1937,IF(O1937&lt;&gt;"",O1937,IF(L1937&lt;&gt;"",L1937/1.56,IF(M1937&lt;&gt;"",M1937/1.56,""))))</f>
        <v/>
      </c>
      <c r="U1937" s="3" t="n">
        <v>260</v>
      </c>
      <c r="V1937" s="3" t="n">
        <v>156</v>
      </c>
      <c r="W1937" s="3" t="n"/>
      <c r="X1937" s="4" t="n"/>
      <c r="Y1937" s="5" t="n">
        <v>0.39</v>
      </c>
      <c r="Z1937" s="4">
        <f>IF(L1937&lt;&gt;"",SQRT(3)*G1937*L1937/1000,"")</f>
        <v/>
      </c>
      <c r="AA1937" t="inlineStr">
        <is>
          <t>Source=Copeland 2D/3D/4D/4R/6D/8D/9R compressors (pdf) p103; PWS_RLA=31.1</t>
        </is>
      </c>
      <c r="AB1937" t="inlineStr">
        <is>
          <t>Copeland_RLA_230_460_3ph_60Hz.xlsx</t>
        </is>
      </c>
      <c r="AC1937" t="inlineStr">
        <is>
          <t>Recip_2D-9R</t>
        </is>
      </c>
    </row>
    <row r="1938">
      <c r="A1938" t="inlineStr">
        <is>
          <t>COPELAND</t>
        </is>
      </c>
      <c r="B1938" t="inlineStr">
        <is>
          <t>6DY3R32ME-TSK</t>
        </is>
      </c>
      <c r="D1938" t="inlineStr">
        <is>
          <t>Reciprocating Semi-hermetic</t>
        </is>
      </c>
      <c r="E1938" s="2" t="n">
        <v>3</v>
      </c>
      <c r="F1938" s="2" t="n">
        <v>60</v>
      </c>
      <c r="G1938" s="2" t="n">
        <v>230</v>
      </c>
      <c r="H1938" t="inlineStr">
        <is>
          <t>208/230</t>
        </is>
      </c>
      <c r="I1938" s="2" t="n">
        <v>208</v>
      </c>
      <c r="J1938" s="2" t="n">
        <v>230</v>
      </c>
      <c r="L1938" s="3" t="n"/>
      <c r="M1938" s="3" t="n"/>
      <c r="N1938" s="3" t="n">
        <v>134.3</v>
      </c>
      <c r="O1938" s="3" t="n"/>
      <c r="P1938" s="3">
        <f>IF(L1938&lt;&gt;"",L1938/1.4,"")</f>
        <v/>
      </c>
      <c r="Q1938" s="3">
        <f>IF(L1938&lt;&gt;"",L1938/1.56,"")</f>
        <v/>
      </c>
      <c r="R1938" s="3">
        <f>IF(M1938&lt;&gt;"",M1938/1.4,"")</f>
        <v/>
      </c>
      <c r="S1938" s="3">
        <f>IF(M1938&lt;&gt;"",M1938/1.56,"")</f>
        <v/>
      </c>
      <c r="T1938" s="3">
        <f>IF(N1938&lt;&gt;"",N1938,IF(O1938&lt;&gt;"",O1938,IF(L1938&lt;&gt;"",L1938/1.56,IF(M1938&lt;&gt;"",M1938/1.56,""))))</f>
        <v/>
      </c>
      <c r="U1938" s="3" t="n">
        <v>565</v>
      </c>
      <c r="V1938" s="3" t="n">
        <v>340</v>
      </c>
      <c r="W1938" s="3" t="n"/>
      <c r="X1938" s="4" t="n"/>
      <c r="Y1938" s="5" t="n">
        <v>0.08699999999999999</v>
      </c>
      <c r="Z1938" s="4">
        <f>IF(L1938&lt;&gt;"",SQRT(3)*G1938*L1938/1000,"")</f>
        <v/>
      </c>
      <c r="AA1938" t="inlineStr">
        <is>
          <t>Source=Copeland 2D/3D/4D/4R/6D/8D/9R compressors (pdf) p103; PWS_RLA=67.1</t>
        </is>
      </c>
      <c r="AB1938" t="inlineStr">
        <is>
          <t>Copeland_RLA_230_460_3ph_60Hz.xlsx</t>
        </is>
      </c>
      <c r="AC1938" t="inlineStr">
        <is>
          <t>Recip_2D-9R</t>
        </is>
      </c>
    </row>
    <row r="1939">
      <c r="A1939" t="inlineStr">
        <is>
          <t>COPELAND</t>
        </is>
      </c>
      <c r="B1939" t="inlineStr">
        <is>
          <t>6DY3R32ME-TSK</t>
        </is>
      </c>
      <c r="D1939" t="inlineStr">
        <is>
          <t>Reciprocating Semi-hermetic</t>
        </is>
      </c>
      <c r="E1939" s="2" t="n">
        <v>3</v>
      </c>
      <c r="F1939" s="2" t="n">
        <v>60</v>
      </c>
      <c r="G1939" s="2" t="n">
        <v>460</v>
      </c>
      <c r="H1939" t="inlineStr">
        <is>
          <t>460</t>
        </is>
      </c>
      <c r="I1939" s="2" t="n">
        <v>460</v>
      </c>
      <c r="J1939" s="2" t="n">
        <v>460</v>
      </c>
      <c r="L1939" s="3" t="n"/>
      <c r="M1939" s="3" t="n"/>
      <c r="N1939" s="3" t="n">
        <v>67.09999999999999</v>
      </c>
      <c r="O1939" s="3" t="n"/>
      <c r="P1939" s="3">
        <f>IF(L1939&lt;&gt;"",L1939/1.4,"")</f>
        <v/>
      </c>
      <c r="Q1939" s="3">
        <f>IF(L1939&lt;&gt;"",L1939/1.56,"")</f>
        <v/>
      </c>
      <c r="R1939" s="3">
        <f>IF(M1939&lt;&gt;"",M1939/1.4,"")</f>
        <v/>
      </c>
      <c r="S1939" s="3">
        <f>IF(M1939&lt;&gt;"",M1939/1.56,"")</f>
        <v/>
      </c>
      <c r="T1939" s="3">
        <f>IF(N1939&lt;&gt;"",N1939,IF(O1939&lt;&gt;"",O1939,IF(L1939&lt;&gt;"",L1939/1.56,IF(M1939&lt;&gt;"",M1939/1.56,""))))</f>
        <v/>
      </c>
      <c r="U1939" s="3" t="n">
        <v>283</v>
      </c>
      <c r="V1939" s="3" t="n"/>
      <c r="W1939" s="3" t="n"/>
      <c r="X1939" s="4" t="n"/>
      <c r="Y1939" s="5" t="n">
        <v>0.348</v>
      </c>
      <c r="Z1939" s="4">
        <f>IF(L1939&lt;&gt;"",SQRT(3)*G1939*L1939/1000,"")</f>
        <v/>
      </c>
      <c r="AA1939" t="inlineStr">
        <is>
          <t>Source=Copeland 2D/3D/4D/4R/6D/8D/9R compressors (pdf) p103</t>
        </is>
      </c>
      <c r="AB1939" t="inlineStr">
        <is>
          <t>Copeland_RLA_230_460_3ph_60Hz.xlsx</t>
        </is>
      </c>
      <c r="AC1939" t="inlineStr">
        <is>
          <t>Recip_2D-9R</t>
        </is>
      </c>
    </row>
    <row r="1940">
      <c r="A1940" t="inlineStr">
        <is>
          <t>COPELAND</t>
        </is>
      </c>
      <c r="B1940" t="inlineStr">
        <is>
          <t>6DY3R32ML-FSD</t>
        </is>
      </c>
      <c r="D1940" t="inlineStr">
        <is>
          <t>Reciprocating Semi-hermetic</t>
        </is>
      </c>
      <c r="E1940" s="2" t="n">
        <v>3</v>
      </c>
      <c r="F1940" s="2" t="n">
        <v>60</v>
      </c>
      <c r="G1940" s="2" t="n">
        <v>460</v>
      </c>
      <c r="H1940" t="inlineStr">
        <is>
          <t>460</t>
        </is>
      </c>
      <c r="I1940" s="2" t="n">
        <v>460</v>
      </c>
      <c r="J1940" s="2" t="n">
        <v>460</v>
      </c>
      <c r="L1940" s="3" t="n"/>
      <c r="M1940" s="3" t="n"/>
      <c r="N1940" s="3" t="n">
        <v>62.1</v>
      </c>
      <c r="O1940" s="3" t="n"/>
      <c r="P1940" s="3">
        <f>IF(L1940&lt;&gt;"",L1940/1.4,"")</f>
        <v/>
      </c>
      <c r="Q1940" s="3">
        <f>IF(L1940&lt;&gt;"",L1940/1.56,"")</f>
        <v/>
      </c>
      <c r="R1940" s="3">
        <f>IF(M1940&lt;&gt;"",M1940/1.4,"")</f>
        <v/>
      </c>
      <c r="S1940" s="3">
        <f>IF(M1940&lt;&gt;"",M1940/1.56,"")</f>
        <v/>
      </c>
      <c r="T1940" s="3">
        <f>IF(N1940&lt;&gt;"",N1940,IF(O1940&lt;&gt;"",O1940,IF(L1940&lt;&gt;"",L1940/1.56,IF(M1940&lt;&gt;"",M1940/1.56,""))))</f>
        <v/>
      </c>
      <c r="U1940" s="3" t="n">
        <v>260</v>
      </c>
      <c r="V1940" s="3" t="n">
        <v>156</v>
      </c>
      <c r="W1940" s="3" t="n"/>
      <c r="X1940" s="4" t="n"/>
      <c r="Y1940" s="5" t="n">
        <v>0.39</v>
      </c>
      <c r="Z1940" s="4">
        <f>IF(L1940&lt;&gt;"",SQRT(3)*G1940*L1940/1000,"")</f>
        <v/>
      </c>
      <c r="AA1940" t="inlineStr">
        <is>
          <t>Source=Copeland 2D/3D/4D/4R/6D/8D/9R compressors (pdf) p103; PWS_RLA=31.1</t>
        </is>
      </c>
      <c r="AB1940" t="inlineStr">
        <is>
          <t>Copeland_RLA_230_460_3ph_60Hz.xlsx</t>
        </is>
      </c>
      <c r="AC1940" t="inlineStr">
        <is>
          <t>Recip_2D-9R</t>
        </is>
      </c>
    </row>
    <row r="1941">
      <c r="A1941" t="inlineStr">
        <is>
          <t>COPELAND</t>
        </is>
      </c>
      <c r="B1941" t="inlineStr">
        <is>
          <t>6DY3R32ML-TSK</t>
        </is>
      </c>
      <c r="D1941" t="inlineStr">
        <is>
          <t>Reciprocating Semi-hermetic</t>
        </is>
      </c>
      <c r="E1941" s="2" t="n">
        <v>3</v>
      </c>
      <c r="F1941" s="2" t="n">
        <v>60</v>
      </c>
      <c r="G1941" s="2" t="n">
        <v>230</v>
      </c>
      <c r="H1941" t="inlineStr">
        <is>
          <t>208/230</t>
        </is>
      </c>
      <c r="I1941" s="2" t="n">
        <v>208</v>
      </c>
      <c r="J1941" s="2" t="n">
        <v>230</v>
      </c>
      <c r="L1941" s="3" t="n"/>
      <c r="M1941" s="3" t="n"/>
      <c r="N1941" s="3" t="n">
        <v>134.3</v>
      </c>
      <c r="O1941" s="3" t="n"/>
      <c r="P1941" s="3">
        <f>IF(L1941&lt;&gt;"",L1941/1.4,"")</f>
        <v/>
      </c>
      <c r="Q1941" s="3">
        <f>IF(L1941&lt;&gt;"",L1941/1.56,"")</f>
        <v/>
      </c>
      <c r="R1941" s="3">
        <f>IF(M1941&lt;&gt;"",M1941/1.4,"")</f>
        <v/>
      </c>
      <c r="S1941" s="3">
        <f>IF(M1941&lt;&gt;"",M1941/1.56,"")</f>
        <v/>
      </c>
      <c r="T1941" s="3">
        <f>IF(N1941&lt;&gt;"",N1941,IF(O1941&lt;&gt;"",O1941,IF(L1941&lt;&gt;"",L1941/1.56,IF(M1941&lt;&gt;"",M1941/1.56,""))))</f>
        <v/>
      </c>
      <c r="U1941" s="3" t="n">
        <v>565</v>
      </c>
      <c r="V1941" s="3" t="n">
        <v>340</v>
      </c>
      <c r="W1941" s="3" t="n"/>
      <c r="X1941" s="4" t="n"/>
      <c r="Y1941" s="5" t="n">
        <v>0.08699999999999999</v>
      </c>
      <c r="Z1941" s="4">
        <f>IF(L1941&lt;&gt;"",SQRT(3)*G1941*L1941/1000,"")</f>
        <v/>
      </c>
      <c r="AA1941" t="inlineStr">
        <is>
          <t>Source=Copeland 2D/3D/4D/4R/6D/8D/9R compressors (pdf) p103; PWS_RLA=67.1</t>
        </is>
      </c>
      <c r="AB1941" t="inlineStr">
        <is>
          <t>Copeland_RLA_230_460_3ph_60Hz.xlsx</t>
        </is>
      </c>
      <c r="AC1941" t="inlineStr">
        <is>
          <t>Recip_2D-9R</t>
        </is>
      </c>
    </row>
    <row r="1942">
      <c r="A1942" t="inlineStr">
        <is>
          <t>COPELAND</t>
        </is>
      </c>
      <c r="B1942" t="inlineStr">
        <is>
          <t>6DY3R32ML-TSK</t>
        </is>
      </c>
      <c r="D1942" t="inlineStr">
        <is>
          <t>Reciprocating Semi-hermetic</t>
        </is>
      </c>
      <c r="E1942" s="2" t="n">
        <v>3</v>
      </c>
      <c r="F1942" s="2" t="n">
        <v>60</v>
      </c>
      <c r="G1942" s="2" t="n">
        <v>460</v>
      </c>
      <c r="H1942" t="inlineStr">
        <is>
          <t>460</t>
        </is>
      </c>
      <c r="I1942" s="2" t="n">
        <v>460</v>
      </c>
      <c r="J1942" s="2" t="n">
        <v>460</v>
      </c>
      <c r="L1942" s="3" t="n"/>
      <c r="M1942" s="3" t="n"/>
      <c r="N1942" s="3" t="n">
        <v>67.09999999999999</v>
      </c>
      <c r="O1942" s="3" t="n"/>
      <c r="P1942" s="3">
        <f>IF(L1942&lt;&gt;"",L1942/1.4,"")</f>
        <v/>
      </c>
      <c r="Q1942" s="3">
        <f>IF(L1942&lt;&gt;"",L1942/1.56,"")</f>
        <v/>
      </c>
      <c r="R1942" s="3">
        <f>IF(M1942&lt;&gt;"",M1942/1.4,"")</f>
        <v/>
      </c>
      <c r="S1942" s="3">
        <f>IF(M1942&lt;&gt;"",M1942/1.56,"")</f>
        <v/>
      </c>
      <c r="T1942" s="3">
        <f>IF(N1942&lt;&gt;"",N1942,IF(O1942&lt;&gt;"",O1942,IF(L1942&lt;&gt;"",L1942/1.56,IF(M1942&lt;&gt;"",M1942/1.56,""))))</f>
        <v/>
      </c>
      <c r="U1942" s="3" t="n">
        <v>283</v>
      </c>
      <c r="V1942" s="3" t="n"/>
      <c r="W1942" s="3" t="n"/>
      <c r="X1942" s="4" t="n"/>
      <c r="Y1942" s="5" t="n">
        <v>0.348</v>
      </c>
      <c r="Z1942" s="4">
        <f>IF(L1942&lt;&gt;"",SQRT(3)*G1942*L1942/1000,"")</f>
        <v/>
      </c>
      <c r="AA1942" t="inlineStr">
        <is>
          <t>Source=Copeland 2D/3D/4D/4R/6D/8D/9R compressors (pdf) p103</t>
        </is>
      </c>
      <c r="AB1942" t="inlineStr">
        <is>
          <t>Copeland_RLA_230_460_3ph_60Hz.xlsx</t>
        </is>
      </c>
      <c r="AC1942" t="inlineStr">
        <is>
          <t>Recip_2D-9R</t>
        </is>
      </c>
    </row>
    <row r="1943">
      <c r="A1943" t="inlineStr">
        <is>
          <t>COPELAND</t>
        </is>
      </c>
      <c r="B1943" t="inlineStr">
        <is>
          <t>6DYG-3000-FSD</t>
        </is>
      </c>
      <c r="D1943" t="inlineStr">
        <is>
          <t>Reciprocating Semi-hermetic</t>
        </is>
      </c>
      <c r="E1943" s="2" t="n">
        <v>3</v>
      </c>
      <c r="F1943" s="2" t="n">
        <v>60</v>
      </c>
      <c r="G1943" s="2" t="n">
        <v>460</v>
      </c>
      <c r="H1943" t="inlineStr">
        <is>
          <t>460</t>
        </is>
      </c>
      <c r="I1943" s="2" t="n">
        <v>460</v>
      </c>
      <c r="J1943" s="2" t="n">
        <v>460</v>
      </c>
      <c r="L1943" s="3" t="n"/>
      <c r="M1943" s="3" t="n"/>
      <c r="N1943" s="3" t="n">
        <v>50</v>
      </c>
      <c r="O1943" s="3" t="n"/>
      <c r="P1943" s="3">
        <f>IF(L1943&lt;&gt;"",L1943/1.4,"")</f>
        <v/>
      </c>
      <c r="Q1943" s="3">
        <f>IF(L1943&lt;&gt;"",L1943/1.56,"")</f>
        <v/>
      </c>
      <c r="R1943" s="3">
        <f>IF(M1943&lt;&gt;"",M1943/1.4,"")</f>
        <v/>
      </c>
      <c r="S1943" s="3">
        <f>IF(M1943&lt;&gt;"",M1943/1.56,"")</f>
        <v/>
      </c>
      <c r="T1943" s="3">
        <f>IF(N1943&lt;&gt;"",N1943,IF(O1943&lt;&gt;"",O1943,IF(L1943&lt;&gt;"",L1943/1.56,IF(M1943&lt;&gt;"",M1943/1.56,""))))</f>
        <v/>
      </c>
      <c r="U1943" s="3" t="n">
        <v>260</v>
      </c>
      <c r="V1943" s="3" t="n">
        <v>156</v>
      </c>
      <c r="W1943" s="3" t="n"/>
      <c r="X1943" s="4" t="n"/>
      <c r="Y1943" s="5" t="n">
        <v>0.39</v>
      </c>
      <c r="Z1943" s="4">
        <f>IF(L1943&lt;&gt;"",SQRT(3)*G1943*L1943/1000,"")</f>
        <v/>
      </c>
      <c r="AA1943" t="inlineStr">
        <is>
          <t>Source=Copeland 2D/3D/4D/4R/6D/8D/9R compressors (pdf) p103; PWS_RLA=25.0</t>
        </is>
      </c>
      <c r="AB1943" t="inlineStr">
        <is>
          <t>Copeland_RLA_230_460_3ph_60Hz.xlsx</t>
        </is>
      </c>
      <c r="AC1943" t="inlineStr">
        <is>
          <t>Recip_2D-9R</t>
        </is>
      </c>
    </row>
    <row r="1944">
      <c r="A1944" t="inlineStr">
        <is>
          <t>COPELAND</t>
        </is>
      </c>
      <c r="B1944" t="inlineStr">
        <is>
          <t>6DYG-3000-TSK</t>
        </is>
      </c>
      <c r="D1944" t="inlineStr">
        <is>
          <t>Reciprocating Semi-hermetic</t>
        </is>
      </c>
      <c r="E1944" s="2" t="n">
        <v>3</v>
      </c>
      <c r="F1944" s="2" t="n">
        <v>60</v>
      </c>
      <c r="G1944" s="2" t="n">
        <v>230</v>
      </c>
      <c r="H1944" t="inlineStr">
        <is>
          <t>208/230</t>
        </is>
      </c>
      <c r="I1944" s="2" t="n">
        <v>208</v>
      </c>
      <c r="J1944" s="2" t="n">
        <v>230</v>
      </c>
      <c r="L1944" s="3" t="n"/>
      <c r="M1944" s="3" t="n"/>
      <c r="N1944" s="3" t="n">
        <v>105</v>
      </c>
      <c r="O1944" s="3" t="n"/>
      <c r="P1944" s="3">
        <f>IF(L1944&lt;&gt;"",L1944/1.4,"")</f>
        <v/>
      </c>
      <c r="Q1944" s="3">
        <f>IF(L1944&lt;&gt;"",L1944/1.56,"")</f>
        <v/>
      </c>
      <c r="R1944" s="3">
        <f>IF(M1944&lt;&gt;"",M1944/1.4,"")</f>
        <v/>
      </c>
      <c r="S1944" s="3">
        <f>IF(M1944&lt;&gt;"",M1944/1.56,"")</f>
        <v/>
      </c>
      <c r="T1944" s="3">
        <f>IF(N1944&lt;&gt;"",N1944,IF(O1944&lt;&gt;"",O1944,IF(L1944&lt;&gt;"",L1944/1.56,IF(M1944&lt;&gt;"",M1944/1.56,""))))</f>
        <v/>
      </c>
      <c r="U1944" s="3" t="n">
        <v>565</v>
      </c>
      <c r="V1944" s="3" t="n">
        <v>340</v>
      </c>
      <c r="W1944" s="3" t="n"/>
      <c r="X1944" s="4" t="n"/>
      <c r="Y1944" s="5" t="n">
        <v>0.08699999999999999</v>
      </c>
      <c r="Z1944" s="4">
        <f>IF(L1944&lt;&gt;"",SQRT(3)*G1944*L1944/1000,"")</f>
        <v/>
      </c>
      <c r="AA1944" t="inlineStr">
        <is>
          <t>Source=Copeland 2D/3D/4D/4R/6D/8D/9R compressors (pdf) p103; PWS_RLA=52.5</t>
        </is>
      </c>
      <c r="AB1944" t="inlineStr">
        <is>
          <t>Copeland_RLA_230_460_3ph_60Hz.xlsx</t>
        </is>
      </c>
      <c r="AC1944" t="inlineStr">
        <is>
          <t>Recip_2D-9R</t>
        </is>
      </c>
    </row>
    <row r="1945">
      <c r="A1945" t="inlineStr">
        <is>
          <t>COPELAND</t>
        </is>
      </c>
      <c r="B1945" t="inlineStr">
        <is>
          <t>6DYG-3000-TSK</t>
        </is>
      </c>
      <c r="D1945" t="inlineStr">
        <is>
          <t>Reciprocating Semi-hermetic</t>
        </is>
      </c>
      <c r="E1945" s="2" t="n">
        <v>3</v>
      </c>
      <c r="F1945" s="2" t="n">
        <v>60</v>
      </c>
      <c r="G1945" s="2" t="n">
        <v>460</v>
      </c>
      <c r="H1945" t="inlineStr">
        <is>
          <t>460</t>
        </is>
      </c>
      <c r="I1945" s="2" t="n">
        <v>460</v>
      </c>
      <c r="J1945" s="2" t="n">
        <v>460</v>
      </c>
      <c r="L1945" s="3" t="n"/>
      <c r="M1945" s="3" t="n"/>
      <c r="N1945" s="3" t="n">
        <v>52.5</v>
      </c>
      <c r="O1945" s="3" t="n"/>
      <c r="P1945" s="3">
        <f>IF(L1945&lt;&gt;"",L1945/1.4,"")</f>
        <v/>
      </c>
      <c r="Q1945" s="3">
        <f>IF(L1945&lt;&gt;"",L1945/1.56,"")</f>
        <v/>
      </c>
      <c r="R1945" s="3">
        <f>IF(M1945&lt;&gt;"",M1945/1.4,"")</f>
        <v/>
      </c>
      <c r="S1945" s="3">
        <f>IF(M1945&lt;&gt;"",M1945/1.56,"")</f>
        <v/>
      </c>
      <c r="T1945" s="3">
        <f>IF(N1945&lt;&gt;"",N1945,IF(O1945&lt;&gt;"",O1945,IF(L1945&lt;&gt;"",L1945/1.56,IF(M1945&lt;&gt;"",M1945/1.56,""))))</f>
        <v/>
      </c>
      <c r="U1945" s="3" t="n">
        <v>283</v>
      </c>
      <c r="V1945" s="3" t="n"/>
      <c r="W1945" s="3" t="n"/>
      <c r="X1945" s="4" t="n"/>
      <c r="Y1945" s="5" t="n">
        <v>0.348</v>
      </c>
      <c r="Z1945" s="4">
        <f>IF(L1945&lt;&gt;"",SQRT(3)*G1945*L1945/1000,"")</f>
        <v/>
      </c>
      <c r="AA1945" t="inlineStr">
        <is>
          <t>Source=Copeland 2D/3D/4D/4R/6D/8D/9R compressors (pdf) p103</t>
        </is>
      </c>
      <c r="AB1945" t="inlineStr">
        <is>
          <t>Copeland_RLA_230_460_3ph_60Hz.xlsx</t>
        </is>
      </c>
      <c r="AC1945" t="inlineStr">
        <is>
          <t>Recip_2D-9R</t>
        </is>
      </c>
    </row>
    <row r="1946">
      <c r="A1946" t="inlineStr">
        <is>
          <t>COPELAND</t>
        </is>
      </c>
      <c r="B1946" t="inlineStr">
        <is>
          <t>6RA4-1000-TSK</t>
        </is>
      </c>
      <c r="D1946" t="inlineStr">
        <is>
          <t>Reciprocating Semi-hermetic</t>
        </is>
      </c>
      <c r="E1946" s="2" t="n">
        <v>3</v>
      </c>
      <c r="F1946" s="2" t="n">
        <v>60</v>
      </c>
      <c r="G1946" s="2" t="n">
        <v>230</v>
      </c>
      <c r="H1946" t="inlineStr">
        <is>
          <t>208/230</t>
        </is>
      </c>
      <c r="I1946" s="2" t="n">
        <v>208</v>
      </c>
      <c r="J1946" s="2" t="n">
        <v>230</v>
      </c>
      <c r="L1946" s="3" t="n"/>
      <c r="M1946" s="3" t="n"/>
      <c r="N1946" s="3" t="n">
        <v>43.6</v>
      </c>
      <c r="O1946" s="3" t="n"/>
      <c r="P1946" s="3">
        <f>IF(L1946&lt;&gt;"",L1946/1.4,"")</f>
        <v/>
      </c>
      <c r="Q1946" s="3">
        <f>IF(L1946&lt;&gt;"",L1946/1.56,"")</f>
        <v/>
      </c>
      <c r="R1946" s="3">
        <f>IF(M1946&lt;&gt;"",M1946/1.4,"")</f>
        <v/>
      </c>
      <c r="S1946" s="3">
        <f>IF(M1946&lt;&gt;"",M1946/1.56,"")</f>
        <v/>
      </c>
      <c r="T1946" s="3">
        <f>IF(N1946&lt;&gt;"",N1946,IF(O1946&lt;&gt;"",O1946,IF(L1946&lt;&gt;"",L1946/1.56,IF(M1946&lt;&gt;"",M1946/1.56,""))))</f>
        <v/>
      </c>
      <c r="U1946" s="3" t="n">
        <v>240</v>
      </c>
      <c r="V1946" s="3" t="n">
        <v>140</v>
      </c>
      <c r="W1946" s="3" t="n"/>
      <c r="X1946" s="4" t="n"/>
      <c r="Y1946" s="5" t="n">
        <v>0.259</v>
      </c>
      <c r="Z1946" s="4">
        <f>IF(L1946&lt;&gt;"",SQRT(3)*G1946*L1946/1000,"")</f>
        <v/>
      </c>
      <c r="AA1946" t="inlineStr">
        <is>
          <t>Source=Copeland 2D/3D/4D/4R/6D/8D/9R compressors (pdf) p104; PWS_RLA=21.8</t>
        </is>
      </c>
      <c r="AB1946" t="inlineStr">
        <is>
          <t>Copeland_RLA_230_460_3ph_60Hz.xlsx</t>
        </is>
      </c>
      <c r="AC1946" t="inlineStr">
        <is>
          <t>Recip_2D-9R</t>
        </is>
      </c>
    </row>
    <row r="1947">
      <c r="A1947" t="inlineStr">
        <is>
          <t>COPELAND</t>
        </is>
      </c>
      <c r="B1947" t="inlineStr">
        <is>
          <t>6RA4-1000-TSK</t>
        </is>
      </c>
      <c r="D1947" t="inlineStr">
        <is>
          <t>Reciprocating Semi-hermetic</t>
        </is>
      </c>
      <c r="E1947" s="2" t="n">
        <v>3</v>
      </c>
      <c r="F1947" s="2" t="n">
        <v>60</v>
      </c>
      <c r="G1947" s="2" t="n">
        <v>460</v>
      </c>
      <c r="H1947" t="inlineStr">
        <is>
          <t>460</t>
        </is>
      </c>
      <c r="I1947" s="2" t="n">
        <v>460</v>
      </c>
      <c r="J1947" s="2" t="n">
        <v>460</v>
      </c>
      <c r="L1947" s="3" t="n"/>
      <c r="M1947" s="3" t="n"/>
      <c r="N1947" s="3" t="n">
        <v>21.8</v>
      </c>
      <c r="O1947" s="3" t="n"/>
      <c r="P1947" s="3">
        <f>IF(L1947&lt;&gt;"",L1947/1.4,"")</f>
        <v/>
      </c>
      <c r="Q1947" s="3">
        <f>IF(L1947&lt;&gt;"",L1947/1.56,"")</f>
        <v/>
      </c>
      <c r="R1947" s="3">
        <f>IF(M1947&lt;&gt;"",M1947/1.4,"")</f>
        <v/>
      </c>
      <c r="S1947" s="3">
        <f>IF(M1947&lt;&gt;"",M1947/1.56,"")</f>
        <v/>
      </c>
      <c r="T1947" s="3">
        <f>IF(N1947&lt;&gt;"",N1947,IF(O1947&lt;&gt;"",O1947,IF(L1947&lt;&gt;"",L1947/1.56,IF(M1947&lt;&gt;"",M1947/1.56,""))))</f>
        <v/>
      </c>
      <c r="U1947" s="3" t="n">
        <v>120</v>
      </c>
      <c r="V1947" s="3" t="n"/>
      <c r="W1947" s="3" t="n"/>
      <c r="X1947" s="4" t="n"/>
      <c r="Y1947" s="5" t="n">
        <v>1.036</v>
      </c>
      <c r="Z1947" s="4">
        <f>IF(L1947&lt;&gt;"",SQRT(3)*G1947*L1947/1000,"")</f>
        <v/>
      </c>
      <c r="AA1947" t="inlineStr">
        <is>
          <t>Source=Copeland 2D/3D/4D/4R/6D/8D/9R compressors (pdf) p104</t>
        </is>
      </c>
      <c r="AB1947" t="inlineStr">
        <is>
          <t>Copeland_RLA_230_460_3ph_60Hz.xlsx</t>
        </is>
      </c>
      <c r="AC1947" t="inlineStr">
        <is>
          <t>Recip_2D-9R</t>
        </is>
      </c>
    </row>
    <row r="1948">
      <c r="A1948" t="inlineStr">
        <is>
          <t>COPELAND</t>
        </is>
      </c>
      <c r="B1948" t="inlineStr">
        <is>
          <t>6RA4-100A-TSK</t>
        </is>
      </c>
      <c r="D1948" t="inlineStr">
        <is>
          <t>Reciprocating Semi-hermetic</t>
        </is>
      </c>
      <c r="E1948" s="2" t="n">
        <v>3</v>
      </c>
      <c r="F1948" s="2" t="n">
        <v>60</v>
      </c>
      <c r="G1948" s="2" t="n">
        <v>230</v>
      </c>
      <c r="H1948" t="inlineStr">
        <is>
          <t>208/230</t>
        </is>
      </c>
      <c r="I1948" s="2" t="n">
        <v>208</v>
      </c>
      <c r="J1948" s="2" t="n">
        <v>230</v>
      </c>
      <c r="L1948" s="3" t="n"/>
      <c r="M1948" s="3" t="n"/>
      <c r="N1948" s="3" t="n">
        <v>43.6</v>
      </c>
      <c r="O1948" s="3" t="n"/>
      <c r="P1948" s="3">
        <f>IF(L1948&lt;&gt;"",L1948/1.4,"")</f>
        <v/>
      </c>
      <c r="Q1948" s="3">
        <f>IF(L1948&lt;&gt;"",L1948/1.56,"")</f>
        <v/>
      </c>
      <c r="R1948" s="3">
        <f>IF(M1948&lt;&gt;"",M1948/1.4,"")</f>
        <v/>
      </c>
      <c r="S1948" s="3">
        <f>IF(M1948&lt;&gt;"",M1948/1.56,"")</f>
        <v/>
      </c>
      <c r="T1948" s="3">
        <f>IF(N1948&lt;&gt;"",N1948,IF(O1948&lt;&gt;"",O1948,IF(L1948&lt;&gt;"",L1948/1.56,IF(M1948&lt;&gt;"",M1948/1.56,""))))</f>
        <v/>
      </c>
      <c r="U1948" s="3" t="n">
        <v>240</v>
      </c>
      <c r="V1948" s="3" t="n">
        <v>140</v>
      </c>
      <c r="W1948" s="3" t="n"/>
      <c r="X1948" s="4" t="n"/>
      <c r="Y1948" s="5" t="n">
        <v>0.259</v>
      </c>
      <c r="Z1948" s="4">
        <f>IF(L1948&lt;&gt;"",SQRT(3)*G1948*L1948/1000,"")</f>
        <v/>
      </c>
      <c r="AA1948" t="inlineStr">
        <is>
          <t>Source=Copeland 2D/3D/4D/4R/6D/8D/9R compressors (pdf) p104; PWS_RLA=21.8</t>
        </is>
      </c>
      <c r="AB1948" t="inlineStr">
        <is>
          <t>Copeland_RLA_230_460_3ph_60Hz.xlsx</t>
        </is>
      </c>
      <c r="AC1948" t="inlineStr">
        <is>
          <t>Recip_2D-9R</t>
        </is>
      </c>
    </row>
    <row r="1949">
      <c r="A1949" t="inlineStr">
        <is>
          <t>COPELAND</t>
        </is>
      </c>
      <c r="B1949" t="inlineStr">
        <is>
          <t>6RA4-100A-TSK</t>
        </is>
      </c>
      <c r="D1949" t="inlineStr">
        <is>
          <t>Reciprocating Semi-hermetic</t>
        </is>
      </c>
      <c r="E1949" s="2" t="n">
        <v>3</v>
      </c>
      <c r="F1949" s="2" t="n">
        <v>60</v>
      </c>
      <c r="G1949" s="2" t="n">
        <v>460</v>
      </c>
      <c r="H1949" t="inlineStr">
        <is>
          <t>460</t>
        </is>
      </c>
      <c r="I1949" s="2" t="n">
        <v>460</v>
      </c>
      <c r="J1949" s="2" t="n">
        <v>460</v>
      </c>
      <c r="L1949" s="3" t="n"/>
      <c r="M1949" s="3" t="n"/>
      <c r="N1949" s="3" t="n">
        <v>21.8</v>
      </c>
      <c r="O1949" s="3" t="n"/>
      <c r="P1949" s="3">
        <f>IF(L1949&lt;&gt;"",L1949/1.4,"")</f>
        <v/>
      </c>
      <c r="Q1949" s="3">
        <f>IF(L1949&lt;&gt;"",L1949/1.56,"")</f>
        <v/>
      </c>
      <c r="R1949" s="3">
        <f>IF(M1949&lt;&gt;"",M1949/1.4,"")</f>
        <v/>
      </c>
      <c r="S1949" s="3">
        <f>IF(M1949&lt;&gt;"",M1949/1.56,"")</f>
        <v/>
      </c>
      <c r="T1949" s="3">
        <f>IF(N1949&lt;&gt;"",N1949,IF(O1949&lt;&gt;"",O1949,IF(L1949&lt;&gt;"",L1949/1.56,IF(M1949&lt;&gt;"",M1949/1.56,""))))</f>
        <v/>
      </c>
      <c r="U1949" s="3" t="n">
        <v>120</v>
      </c>
      <c r="V1949" s="3" t="n"/>
      <c r="W1949" s="3" t="n"/>
      <c r="X1949" s="4" t="n"/>
      <c r="Y1949" s="5" t="n">
        <v>1.036</v>
      </c>
      <c r="Z1949" s="4">
        <f>IF(L1949&lt;&gt;"",SQRT(3)*G1949*L1949/1000,"")</f>
        <v/>
      </c>
      <c r="AA1949" t="inlineStr">
        <is>
          <t>Source=Copeland 2D/3D/4D/4R/6D/8D/9R compressors (pdf) p104</t>
        </is>
      </c>
      <c r="AB1949" t="inlineStr">
        <is>
          <t>Copeland_RLA_230_460_3ph_60Hz.xlsx</t>
        </is>
      </c>
      <c r="AC1949" t="inlineStr">
        <is>
          <t>Recip_2D-9R</t>
        </is>
      </c>
    </row>
    <row r="1950">
      <c r="A1950" t="inlineStr">
        <is>
          <t>COPELAND</t>
        </is>
      </c>
      <c r="B1950" t="inlineStr">
        <is>
          <t>6RA4-2000-FSD</t>
        </is>
      </c>
      <c r="D1950" t="inlineStr">
        <is>
          <t>Reciprocating Semi-hermetic</t>
        </is>
      </c>
      <c r="E1950" s="2" t="n">
        <v>3</v>
      </c>
      <c r="F1950" s="2" t="n">
        <v>60</v>
      </c>
      <c r="G1950" s="2" t="n">
        <v>460</v>
      </c>
      <c r="H1950" t="inlineStr">
        <is>
          <t>460</t>
        </is>
      </c>
      <c r="I1950" s="2" t="n">
        <v>460</v>
      </c>
      <c r="J1950" s="2" t="n">
        <v>460</v>
      </c>
      <c r="L1950" s="3" t="n"/>
      <c r="M1950" s="3" t="n"/>
      <c r="N1950" s="3" t="n">
        <v>38.9</v>
      </c>
      <c r="O1950" s="3" t="n"/>
      <c r="P1950" s="3">
        <f>IF(L1950&lt;&gt;"",L1950/1.4,"")</f>
        <v/>
      </c>
      <c r="Q1950" s="3">
        <f>IF(L1950&lt;&gt;"",L1950/1.56,"")</f>
        <v/>
      </c>
      <c r="R1950" s="3">
        <f>IF(M1950&lt;&gt;"",M1950/1.4,"")</f>
        <v/>
      </c>
      <c r="S1950" s="3">
        <f>IF(M1950&lt;&gt;"",M1950/1.56,"")</f>
        <v/>
      </c>
      <c r="T1950" s="3">
        <f>IF(N1950&lt;&gt;"",N1950,IF(O1950&lt;&gt;"",O1950,IF(L1950&lt;&gt;"",L1950/1.56,IF(M1950&lt;&gt;"",M1950/1.56,""))))</f>
        <v/>
      </c>
      <c r="U1950" s="3" t="n">
        <v>135</v>
      </c>
      <c r="V1950" s="3" t="n">
        <v>82</v>
      </c>
      <c r="W1950" s="3" t="n"/>
      <c r="X1950" s="4" t="n"/>
      <c r="Y1950" s="5" t="n">
        <v>0.757</v>
      </c>
      <c r="Z1950" s="4">
        <f>IF(L1950&lt;&gt;"",SQRT(3)*G1950*L1950/1000,"")</f>
        <v/>
      </c>
      <c r="AA1950" t="inlineStr">
        <is>
          <t>Source=Copeland 2D/3D/4D/4R/6D/8D/9R compressors (pdf) p104; PWS_RLA=19.4</t>
        </is>
      </c>
      <c r="AB1950" t="inlineStr">
        <is>
          <t>Copeland_RLA_230_460_3ph_60Hz.xlsx</t>
        </is>
      </c>
      <c r="AC1950" t="inlineStr">
        <is>
          <t>Recip_2D-9R</t>
        </is>
      </c>
    </row>
    <row r="1951">
      <c r="A1951" t="inlineStr">
        <is>
          <t>COPELAND</t>
        </is>
      </c>
      <c r="B1951" t="inlineStr">
        <is>
          <t>6RA4-2000-TSK</t>
        </is>
      </c>
      <c r="D1951" t="inlineStr">
        <is>
          <t>Reciprocating Semi-hermetic</t>
        </is>
      </c>
      <c r="E1951" s="2" t="n">
        <v>3</v>
      </c>
      <c r="F1951" s="2" t="n">
        <v>60</v>
      </c>
      <c r="G1951" s="2" t="n">
        <v>230</v>
      </c>
      <c r="H1951" t="inlineStr">
        <is>
          <t>208/230</t>
        </is>
      </c>
      <c r="I1951" s="2" t="n">
        <v>208</v>
      </c>
      <c r="J1951" s="2" t="n">
        <v>230</v>
      </c>
      <c r="L1951" s="3" t="n"/>
      <c r="M1951" s="3" t="n"/>
      <c r="N1951" s="3" t="n">
        <v>67.40000000000001</v>
      </c>
      <c r="O1951" s="3" t="n"/>
      <c r="P1951" s="3">
        <f>IF(L1951&lt;&gt;"",L1951/1.4,"")</f>
        <v/>
      </c>
      <c r="Q1951" s="3">
        <f>IF(L1951&lt;&gt;"",L1951/1.56,"")</f>
        <v/>
      </c>
      <c r="R1951" s="3">
        <f>IF(M1951&lt;&gt;"",M1951/1.4,"")</f>
        <v/>
      </c>
      <c r="S1951" s="3">
        <f>IF(M1951&lt;&gt;"",M1951/1.56,"")</f>
        <v/>
      </c>
      <c r="T1951" s="3">
        <f>IF(N1951&lt;&gt;"",N1951,IF(O1951&lt;&gt;"",O1951,IF(L1951&lt;&gt;"",L1951/1.56,IF(M1951&lt;&gt;"",M1951/1.56,""))))</f>
        <v/>
      </c>
      <c r="U1951" s="3" t="n">
        <v>308</v>
      </c>
      <c r="V1951" s="3" t="n">
        <v>188</v>
      </c>
      <c r="W1951" s="3" t="n"/>
      <c r="X1951" s="4" t="n"/>
      <c r="Y1951" s="5" t="n">
        <v>0.173</v>
      </c>
      <c r="Z1951" s="4">
        <f>IF(L1951&lt;&gt;"",SQRT(3)*G1951*L1951/1000,"")</f>
        <v/>
      </c>
      <c r="AA1951" t="inlineStr">
        <is>
          <t>Source=Copeland 2D/3D/4D/4R/6D/8D/9R compressors (pdf) p104; PWS_RLA=33.7</t>
        </is>
      </c>
      <c r="AB1951" t="inlineStr">
        <is>
          <t>Copeland_RLA_230_460_3ph_60Hz.xlsx</t>
        </is>
      </c>
      <c r="AC1951" t="inlineStr">
        <is>
          <t>Recip_2D-9R</t>
        </is>
      </c>
    </row>
    <row r="1952">
      <c r="A1952" t="inlineStr">
        <is>
          <t>COPELAND</t>
        </is>
      </c>
      <c r="B1952" t="inlineStr">
        <is>
          <t>6RA4-2000-TSK</t>
        </is>
      </c>
      <c r="D1952" t="inlineStr">
        <is>
          <t>Reciprocating Semi-hermetic</t>
        </is>
      </c>
      <c r="E1952" s="2" t="n">
        <v>3</v>
      </c>
      <c r="F1952" s="2" t="n">
        <v>60</v>
      </c>
      <c r="G1952" s="2" t="n">
        <v>460</v>
      </c>
      <c r="H1952" t="inlineStr">
        <is>
          <t>460</t>
        </is>
      </c>
      <c r="I1952" s="2" t="n">
        <v>460</v>
      </c>
      <c r="J1952" s="2" t="n">
        <v>460</v>
      </c>
      <c r="L1952" s="3" t="n"/>
      <c r="M1952" s="3" t="n"/>
      <c r="N1952" s="3" t="n">
        <v>33.7</v>
      </c>
      <c r="O1952" s="3" t="n"/>
      <c r="P1952" s="3">
        <f>IF(L1952&lt;&gt;"",L1952/1.4,"")</f>
        <v/>
      </c>
      <c r="Q1952" s="3">
        <f>IF(L1952&lt;&gt;"",L1952/1.56,"")</f>
        <v/>
      </c>
      <c r="R1952" s="3">
        <f>IF(M1952&lt;&gt;"",M1952/1.4,"")</f>
        <v/>
      </c>
      <c r="S1952" s="3">
        <f>IF(M1952&lt;&gt;"",M1952/1.56,"")</f>
        <v/>
      </c>
      <c r="T1952" s="3">
        <f>IF(N1952&lt;&gt;"",N1952,IF(O1952&lt;&gt;"",O1952,IF(L1952&lt;&gt;"",L1952/1.56,IF(M1952&lt;&gt;"",M1952/1.56,""))))</f>
        <v/>
      </c>
      <c r="U1952" s="3" t="n">
        <v>154</v>
      </c>
      <c r="V1952" s="3" t="n"/>
      <c r="W1952" s="3" t="n"/>
      <c r="X1952" s="4" t="n"/>
      <c r="Y1952" s="5" t="n">
        <v>0.6899999999999999</v>
      </c>
      <c r="Z1952" s="4">
        <f>IF(L1952&lt;&gt;"",SQRT(3)*G1952*L1952/1000,"")</f>
        <v/>
      </c>
      <c r="AA1952" t="inlineStr">
        <is>
          <t>Source=Copeland 2D/3D/4D/4R/6D/8D/9R compressors (pdf) p104</t>
        </is>
      </c>
      <c r="AB1952" t="inlineStr">
        <is>
          <t>Copeland_RLA_230_460_3ph_60Hz.xlsx</t>
        </is>
      </c>
      <c r="AC1952" t="inlineStr">
        <is>
          <t>Recip_2D-9R</t>
        </is>
      </c>
    </row>
    <row r="1953">
      <c r="A1953" t="inlineStr">
        <is>
          <t>COPELAND</t>
        </is>
      </c>
      <c r="B1953" t="inlineStr">
        <is>
          <t>6RA4-200A-TSK</t>
        </is>
      </c>
      <c r="D1953" t="inlineStr">
        <is>
          <t>Reciprocating Semi-hermetic</t>
        </is>
      </c>
      <c r="E1953" s="2" t="n">
        <v>3</v>
      </c>
      <c r="F1953" s="2" t="n">
        <v>60</v>
      </c>
      <c r="G1953" s="2" t="n">
        <v>230</v>
      </c>
      <c r="H1953" t="inlineStr">
        <is>
          <t>208/230</t>
        </is>
      </c>
      <c r="I1953" s="2" t="n">
        <v>208</v>
      </c>
      <c r="J1953" s="2" t="n">
        <v>230</v>
      </c>
      <c r="L1953" s="3" t="n"/>
      <c r="M1953" s="3" t="n"/>
      <c r="N1953" s="3" t="n">
        <v>67.40000000000001</v>
      </c>
      <c r="O1953" s="3" t="n"/>
      <c r="P1953" s="3">
        <f>IF(L1953&lt;&gt;"",L1953/1.4,"")</f>
        <v/>
      </c>
      <c r="Q1953" s="3">
        <f>IF(L1953&lt;&gt;"",L1953/1.56,"")</f>
        <v/>
      </c>
      <c r="R1953" s="3">
        <f>IF(M1953&lt;&gt;"",M1953/1.4,"")</f>
        <v/>
      </c>
      <c r="S1953" s="3">
        <f>IF(M1953&lt;&gt;"",M1953/1.56,"")</f>
        <v/>
      </c>
      <c r="T1953" s="3">
        <f>IF(N1953&lt;&gt;"",N1953,IF(O1953&lt;&gt;"",O1953,IF(L1953&lt;&gt;"",L1953/1.56,IF(M1953&lt;&gt;"",M1953/1.56,""))))</f>
        <v/>
      </c>
      <c r="U1953" s="3" t="n">
        <v>308</v>
      </c>
      <c r="V1953" s="3" t="n">
        <v>188</v>
      </c>
      <c r="W1953" s="3" t="n"/>
      <c r="X1953" s="4" t="n"/>
      <c r="Y1953" s="5" t="n">
        <v>0.173</v>
      </c>
      <c r="Z1953" s="4">
        <f>IF(L1953&lt;&gt;"",SQRT(3)*G1953*L1953/1000,"")</f>
        <v/>
      </c>
      <c r="AA1953" t="inlineStr">
        <is>
          <t>Source=Copeland 2D/3D/4D/4R/6D/8D/9R compressors (pdf) p104; PWS_RLA=33.7</t>
        </is>
      </c>
      <c r="AB1953" t="inlineStr">
        <is>
          <t>Copeland_RLA_230_460_3ph_60Hz.xlsx</t>
        </is>
      </c>
      <c r="AC1953" t="inlineStr">
        <is>
          <t>Recip_2D-9R</t>
        </is>
      </c>
    </row>
    <row r="1954">
      <c r="A1954" t="inlineStr">
        <is>
          <t>COPELAND</t>
        </is>
      </c>
      <c r="B1954" t="inlineStr">
        <is>
          <t>6RA4-200A-TSK</t>
        </is>
      </c>
      <c r="D1954" t="inlineStr">
        <is>
          <t>Reciprocating Semi-hermetic</t>
        </is>
      </c>
      <c r="E1954" s="2" t="n">
        <v>3</v>
      </c>
      <c r="F1954" s="2" t="n">
        <v>60</v>
      </c>
      <c r="G1954" s="2" t="n">
        <v>460</v>
      </c>
      <c r="H1954" t="inlineStr">
        <is>
          <t>460</t>
        </is>
      </c>
      <c r="I1954" s="2" t="n">
        <v>460</v>
      </c>
      <c r="J1954" s="2" t="n">
        <v>460</v>
      </c>
      <c r="L1954" s="3" t="n"/>
      <c r="M1954" s="3" t="n"/>
      <c r="N1954" s="3" t="n">
        <v>33.7</v>
      </c>
      <c r="O1954" s="3" t="n"/>
      <c r="P1954" s="3">
        <f>IF(L1954&lt;&gt;"",L1954/1.4,"")</f>
        <v/>
      </c>
      <c r="Q1954" s="3">
        <f>IF(L1954&lt;&gt;"",L1954/1.56,"")</f>
        <v/>
      </c>
      <c r="R1954" s="3">
        <f>IF(M1954&lt;&gt;"",M1954/1.4,"")</f>
        <v/>
      </c>
      <c r="S1954" s="3">
        <f>IF(M1954&lt;&gt;"",M1954/1.56,"")</f>
        <v/>
      </c>
      <c r="T1954" s="3">
        <f>IF(N1954&lt;&gt;"",N1954,IF(O1954&lt;&gt;"",O1954,IF(L1954&lt;&gt;"",L1954/1.56,IF(M1954&lt;&gt;"",M1954/1.56,""))))</f>
        <v/>
      </c>
      <c r="U1954" s="3" t="n">
        <v>154</v>
      </c>
      <c r="V1954" s="3" t="n"/>
      <c r="W1954" s="3" t="n"/>
      <c r="X1954" s="4" t="n"/>
      <c r="Y1954" s="5" t="n">
        <v>0.6899999999999999</v>
      </c>
      <c r="Z1954" s="4">
        <f>IF(L1954&lt;&gt;"",SQRT(3)*G1954*L1954/1000,"")</f>
        <v/>
      </c>
      <c r="AA1954" t="inlineStr">
        <is>
          <t>Source=Copeland 2D/3D/4D/4R/6D/8D/9R compressors (pdf) p104</t>
        </is>
      </c>
      <c r="AB1954" t="inlineStr">
        <is>
          <t>Copeland_RLA_230_460_3ph_60Hz.xlsx</t>
        </is>
      </c>
      <c r="AC1954" t="inlineStr">
        <is>
          <t>Recip_2D-9R</t>
        </is>
      </c>
    </row>
    <row r="1955">
      <c r="A1955" t="inlineStr">
        <is>
          <t>COPELAND</t>
        </is>
      </c>
      <c r="B1955" t="inlineStr">
        <is>
          <t>6RA4-200L-TSK</t>
        </is>
      </c>
      <c r="D1955" t="inlineStr">
        <is>
          <t>Reciprocating Semi-hermetic</t>
        </is>
      </c>
      <c r="E1955" s="2" t="n">
        <v>3</v>
      </c>
      <c r="F1955" s="2" t="n">
        <v>60</v>
      </c>
      <c r="G1955" s="2" t="n">
        <v>230</v>
      </c>
      <c r="H1955" t="inlineStr">
        <is>
          <t>208/230</t>
        </is>
      </c>
      <c r="I1955" s="2" t="n">
        <v>208</v>
      </c>
      <c r="J1955" s="2" t="n">
        <v>230</v>
      </c>
      <c r="L1955" s="3" t="n"/>
      <c r="M1955" s="3" t="n"/>
      <c r="N1955" s="3" t="n">
        <v>67.40000000000001</v>
      </c>
      <c r="O1955" s="3" t="n"/>
      <c r="P1955" s="3">
        <f>IF(L1955&lt;&gt;"",L1955/1.4,"")</f>
        <v/>
      </c>
      <c r="Q1955" s="3">
        <f>IF(L1955&lt;&gt;"",L1955/1.56,"")</f>
        <v/>
      </c>
      <c r="R1955" s="3">
        <f>IF(M1955&lt;&gt;"",M1955/1.4,"")</f>
        <v/>
      </c>
      <c r="S1955" s="3">
        <f>IF(M1955&lt;&gt;"",M1955/1.56,"")</f>
        <v/>
      </c>
      <c r="T1955" s="3">
        <f>IF(N1955&lt;&gt;"",N1955,IF(O1955&lt;&gt;"",O1955,IF(L1955&lt;&gt;"",L1955/1.56,IF(M1955&lt;&gt;"",M1955/1.56,""))))</f>
        <v/>
      </c>
      <c r="U1955" s="3" t="n">
        <v>308</v>
      </c>
      <c r="V1955" s="3" t="n">
        <v>188</v>
      </c>
      <c r="W1955" s="3" t="n"/>
      <c r="X1955" s="4" t="n"/>
      <c r="Y1955" s="5" t="n">
        <v>0.173</v>
      </c>
      <c r="Z1955" s="4">
        <f>IF(L1955&lt;&gt;"",SQRT(3)*G1955*L1955/1000,"")</f>
        <v/>
      </c>
      <c r="AA1955" t="inlineStr">
        <is>
          <t>Source=Copeland 2D/3D/4D/4R/6D/8D/9R compressors (pdf) p104; PWS_RLA=33.7</t>
        </is>
      </c>
      <c r="AB1955" t="inlineStr">
        <is>
          <t>Copeland_RLA_230_460_3ph_60Hz.xlsx</t>
        </is>
      </c>
      <c r="AC1955" t="inlineStr">
        <is>
          <t>Recip_2D-9R</t>
        </is>
      </c>
    </row>
    <row r="1956">
      <c r="A1956" t="inlineStr">
        <is>
          <t>COPELAND</t>
        </is>
      </c>
      <c r="B1956" t="inlineStr">
        <is>
          <t>6RA4-200L-TSK</t>
        </is>
      </c>
      <c r="D1956" t="inlineStr">
        <is>
          <t>Reciprocating Semi-hermetic</t>
        </is>
      </c>
      <c r="E1956" s="2" t="n">
        <v>3</v>
      </c>
      <c r="F1956" s="2" t="n">
        <v>60</v>
      </c>
      <c r="G1956" s="2" t="n">
        <v>460</v>
      </c>
      <c r="H1956" t="inlineStr">
        <is>
          <t>460</t>
        </is>
      </c>
      <c r="I1956" s="2" t="n">
        <v>460</v>
      </c>
      <c r="J1956" s="2" t="n">
        <v>460</v>
      </c>
      <c r="L1956" s="3" t="n"/>
      <c r="M1956" s="3" t="n"/>
      <c r="N1956" s="3" t="n">
        <v>33.7</v>
      </c>
      <c r="O1956" s="3" t="n"/>
      <c r="P1956" s="3">
        <f>IF(L1956&lt;&gt;"",L1956/1.4,"")</f>
        <v/>
      </c>
      <c r="Q1956" s="3">
        <f>IF(L1956&lt;&gt;"",L1956/1.56,"")</f>
        <v/>
      </c>
      <c r="R1956" s="3">
        <f>IF(M1956&lt;&gt;"",M1956/1.4,"")</f>
        <v/>
      </c>
      <c r="S1956" s="3">
        <f>IF(M1956&lt;&gt;"",M1956/1.56,"")</f>
        <v/>
      </c>
      <c r="T1956" s="3">
        <f>IF(N1956&lt;&gt;"",N1956,IF(O1956&lt;&gt;"",O1956,IF(L1956&lt;&gt;"",L1956/1.56,IF(M1956&lt;&gt;"",M1956/1.56,""))))</f>
        <v/>
      </c>
      <c r="U1956" s="3" t="n">
        <v>154</v>
      </c>
      <c r="V1956" s="3" t="n"/>
      <c r="W1956" s="3" t="n"/>
      <c r="X1956" s="4" t="n"/>
      <c r="Y1956" s="5" t="n">
        <v>0.6899999999999999</v>
      </c>
      <c r="Z1956" s="4">
        <f>IF(L1956&lt;&gt;"",SQRT(3)*G1956*L1956/1000,"")</f>
        <v/>
      </c>
      <c r="AA1956" t="inlineStr">
        <is>
          <t>Source=Copeland 2D/3D/4D/4R/6D/8D/9R compressors (pdf) p104</t>
        </is>
      </c>
      <c r="AB1956" t="inlineStr">
        <is>
          <t>Copeland_RLA_230_460_3ph_60Hz.xlsx</t>
        </is>
      </c>
      <c r="AC1956" t="inlineStr">
        <is>
          <t>Recip_2D-9R</t>
        </is>
      </c>
    </row>
    <row r="1957">
      <c r="A1957" t="inlineStr">
        <is>
          <t>COPELAND</t>
        </is>
      </c>
      <c r="B1957" t="inlineStr">
        <is>
          <t>6RA4-3000-FSD</t>
        </is>
      </c>
      <c r="D1957" t="inlineStr">
        <is>
          <t>Reciprocating Semi-hermetic</t>
        </is>
      </c>
      <c r="E1957" s="2" t="n">
        <v>3</v>
      </c>
      <c r="F1957" s="2" t="n">
        <v>60</v>
      </c>
      <c r="G1957" s="2" t="n">
        <v>460</v>
      </c>
      <c r="H1957" t="inlineStr">
        <is>
          <t>460</t>
        </is>
      </c>
      <c r="I1957" s="2" t="n">
        <v>460</v>
      </c>
      <c r="J1957" s="2" t="n">
        <v>460</v>
      </c>
      <c r="L1957" s="3" t="n"/>
      <c r="M1957" s="3" t="n"/>
      <c r="N1957" s="3" t="n">
        <v>50.6</v>
      </c>
      <c r="O1957" s="3" t="n"/>
      <c r="P1957" s="3">
        <f>IF(L1957&lt;&gt;"",L1957/1.4,"")</f>
        <v/>
      </c>
      <c r="Q1957" s="3">
        <f>IF(L1957&lt;&gt;"",L1957/1.56,"")</f>
        <v/>
      </c>
      <c r="R1957" s="3">
        <f>IF(M1957&lt;&gt;"",M1957/1.4,"")</f>
        <v/>
      </c>
      <c r="S1957" s="3">
        <f>IF(M1957&lt;&gt;"",M1957/1.56,"")</f>
        <v/>
      </c>
      <c r="T1957" s="3">
        <f>IF(N1957&lt;&gt;"",N1957,IF(O1957&lt;&gt;"",O1957,IF(L1957&lt;&gt;"",L1957/1.56,IF(M1957&lt;&gt;"",M1957/1.56,""))))</f>
        <v/>
      </c>
      <c r="U1957" s="3" t="n">
        <v>200</v>
      </c>
      <c r="V1957" s="3" t="n">
        <v>121</v>
      </c>
      <c r="W1957" s="3" t="n"/>
      <c r="X1957" s="4" t="n"/>
      <c r="Y1957" s="5" t="n">
        <v>0.475</v>
      </c>
      <c r="Z1957" s="4">
        <f>IF(L1957&lt;&gt;"",SQRT(3)*G1957*L1957/1000,"")</f>
        <v/>
      </c>
      <c r="AA1957" t="inlineStr">
        <is>
          <t>Source=Copeland 2D/3D/4D/4R/6D/8D/9R compressors (pdf) p104; PWS_RLA=25.3</t>
        </is>
      </c>
      <c r="AB1957" t="inlineStr">
        <is>
          <t>Copeland_RLA_230_460_3ph_60Hz.xlsx</t>
        </is>
      </c>
      <c r="AC1957" t="inlineStr">
        <is>
          <t>Recip_2D-9R</t>
        </is>
      </c>
    </row>
    <row r="1958">
      <c r="A1958" t="inlineStr">
        <is>
          <t>COPELAND</t>
        </is>
      </c>
      <c r="B1958" t="inlineStr">
        <is>
          <t>6RA4-3000-TSK</t>
        </is>
      </c>
      <c r="D1958" t="inlineStr">
        <is>
          <t>Reciprocating Semi-hermetic</t>
        </is>
      </c>
      <c r="E1958" s="2" t="n">
        <v>3</v>
      </c>
      <c r="F1958" s="2" t="n">
        <v>60</v>
      </c>
      <c r="G1958" s="2" t="n">
        <v>230</v>
      </c>
      <c r="H1958" t="inlineStr">
        <is>
          <t>208/230</t>
        </is>
      </c>
      <c r="I1958" s="2" t="n">
        <v>208</v>
      </c>
      <c r="J1958" s="2" t="n">
        <v>230</v>
      </c>
      <c r="L1958" s="3" t="n"/>
      <c r="M1958" s="3" t="n"/>
      <c r="N1958" s="3" t="n">
        <v>104.3</v>
      </c>
      <c r="O1958" s="3" t="n"/>
      <c r="P1958" s="3">
        <f>IF(L1958&lt;&gt;"",L1958/1.4,"")</f>
        <v/>
      </c>
      <c r="Q1958" s="3">
        <f>IF(L1958&lt;&gt;"",L1958/1.56,"")</f>
        <v/>
      </c>
      <c r="R1958" s="3">
        <f>IF(M1958&lt;&gt;"",M1958/1.4,"")</f>
        <v/>
      </c>
      <c r="S1958" s="3">
        <f>IF(M1958&lt;&gt;"",M1958/1.56,"")</f>
        <v/>
      </c>
      <c r="T1958" s="3">
        <f>IF(N1958&lt;&gt;"",N1958,IF(O1958&lt;&gt;"",O1958,IF(L1958&lt;&gt;"",L1958/1.56,IF(M1958&lt;&gt;"",M1958/1.56,""))))</f>
        <v/>
      </c>
      <c r="U1958" s="3" t="n">
        <v>470</v>
      </c>
      <c r="V1958" s="3" t="n">
        <v>292</v>
      </c>
      <c r="W1958" s="3" t="n"/>
      <c r="X1958" s="4" t="n"/>
      <c r="Y1958" s="5" t="n">
        <v>0.108</v>
      </c>
      <c r="Z1958" s="4">
        <f>IF(L1958&lt;&gt;"",SQRT(3)*G1958*L1958/1000,"")</f>
        <v/>
      </c>
      <c r="AA1958" t="inlineStr">
        <is>
          <t>Source=Copeland 2D/3D/4D/4R/6D/8D/9R compressors (pdf) p104; PWS_RLA=52.5</t>
        </is>
      </c>
      <c r="AB1958" t="inlineStr">
        <is>
          <t>Copeland_RLA_230_460_3ph_60Hz.xlsx</t>
        </is>
      </c>
      <c r="AC1958" t="inlineStr">
        <is>
          <t>Recip_2D-9R</t>
        </is>
      </c>
    </row>
    <row r="1959">
      <c r="A1959" t="inlineStr">
        <is>
          <t>COPELAND</t>
        </is>
      </c>
      <c r="B1959" t="inlineStr">
        <is>
          <t>6RA4-3000-TSK</t>
        </is>
      </c>
      <c r="D1959" t="inlineStr">
        <is>
          <t>Reciprocating Semi-hermetic</t>
        </is>
      </c>
      <c r="E1959" s="2" t="n">
        <v>3</v>
      </c>
      <c r="F1959" s="2" t="n">
        <v>60</v>
      </c>
      <c r="G1959" s="2" t="n">
        <v>460</v>
      </c>
      <c r="H1959" t="inlineStr">
        <is>
          <t>460</t>
        </is>
      </c>
      <c r="I1959" s="2" t="n">
        <v>460</v>
      </c>
      <c r="J1959" s="2" t="n">
        <v>460</v>
      </c>
      <c r="L1959" s="3" t="n"/>
      <c r="M1959" s="3" t="n"/>
      <c r="N1959" s="3" t="n">
        <v>52.1</v>
      </c>
      <c r="O1959" s="3" t="n"/>
      <c r="P1959" s="3">
        <f>IF(L1959&lt;&gt;"",L1959/1.4,"")</f>
        <v/>
      </c>
      <c r="Q1959" s="3">
        <f>IF(L1959&lt;&gt;"",L1959/1.56,"")</f>
        <v/>
      </c>
      <c r="R1959" s="3">
        <f>IF(M1959&lt;&gt;"",M1959/1.4,"")</f>
        <v/>
      </c>
      <c r="S1959" s="3">
        <f>IF(M1959&lt;&gt;"",M1959/1.56,"")</f>
        <v/>
      </c>
      <c r="T1959" s="3">
        <f>IF(N1959&lt;&gt;"",N1959,IF(O1959&lt;&gt;"",O1959,IF(L1959&lt;&gt;"",L1959/1.56,IF(M1959&lt;&gt;"",M1959/1.56,""))))</f>
        <v/>
      </c>
      <c r="U1959" s="3" t="n">
        <v>235</v>
      </c>
      <c r="V1959" s="3" t="n"/>
      <c r="W1959" s="3" t="n"/>
      <c r="X1959" s="4" t="n"/>
      <c r="Y1959" s="5" t="n">
        <v>0.43</v>
      </c>
      <c r="Z1959" s="4">
        <f>IF(L1959&lt;&gt;"",SQRT(3)*G1959*L1959/1000,"")</f>
        <v/>
      </c>
      <c r="AA1959" t="inlineStr">
        <is>
          <t>Source=Copeland 2D/3D/4D/4R/6D/8D/9R compressors (pdf) p104</t>
        </is>
      </c>
      <c r="AB1959" t="inlineStr">
        <is>
          <t>Copeland_RLA_230_460_3ph_60Hz.xlsx</t>
        </is>
      </c>
      <c r="AC1959" t="inlineStr">
        <is>
          <t>Recip_2D-9R</t>
        </is>
      </c>
    </row>
    <row r="1960">
      <c r="A1960" t="inlineStr">
        <is>
          <t>COPELAND</t>
        </is>
      </c>
      <c r="B1960" t="inlineStr">
        <is>
          <t>6RA4-300A-TSK</t>
        </is>
      </c>
      <c r="D1960" t="inlineStr">
        <is>
          <t>Reciprocating Semi-hermetic</t>
        </is>
      </c>
      <c r="E1960" s="2" t="n">
        <v>3</v>
      </c>
      <c r="F1960" s="2" t="n">
        <v>60</v>
      </c>
      <c r="G1960" s="2" t="n">
        <v>230</v>
      </c>
      <c r="H1960" t="inlineStr">
        <is>
          <t>208/230</t>
        </is>
      </c>
      <c r="I1960" s="2" t="n">
        <v>208</v>
      </c>
      <c r="J1960" s="2" t="n">
        <v>230</v>
      </c>
      <c r="L1960" s="3" t="n"/>
      <c r="M1960" s="3" t="n"/>
      <c r="N1960" s="3" t="n">
        <v>104.3</v>
      </c>
      <c r="O1960" s="3" t="n"/>
      <c r="P1960" s="3">
        <f>IF(L1960&lt;&gt;"",L1960/1.4,"")</f>
        <v/>
      </c>
      <c r="Q1960" s="3">
        <f>IF(L1960&lt;&gt;"",L1960/1.56,"")</f>
        <v/>
      </c>
      <c r="R1960" s="3">
        <f>IF(M1960&lt;&gt;"",M1960/1.4,"")</f>
        <v/>
      </c>
      <c r="S1960" s="3">
        <f>IF(M1960&lt;&gt;"",M1960/1.56,"")</f>
        <v/>
      </c>
      <c r="T1960" s="3">
        <f>IF(N1960&lt;&gt;"",N1960,IF(O1960&lt;&gt;"",O1960,IF(L1960&lt;&gt;"",L1960/1.56,IF(M1960&lt;&gt;"",M1960/1.56,""))))</f>
        <v/>
      </c>
      <c r="U1960" s="3" t="n">
        <v>470</v>
      </c>
      <c r="V1960" s="3" t="n">
        <v>292</v>
      </c>
      <c r="W1960" s="3" t="n"/>
      <c r="X1960" s="4" t="n"/>
      <c r="Y1960" s="5" t="n">
        <v>0.108</v>
      </c>
      <c r="Z1960" s="4">
        <f>IF(L1960&lt;&gt;"",SQRT(3)*G1960*L1960/1000,"")</f>
        <v/>
      </c>
      <c r="AA1960" t="inlineStr">
        <is>
          <t>Source=Copeland 2D/3D/4D/4R/6D/8D/9R compressors (pdf) p104; PWS_RLA=52.5</t>
        </is>
      </c>
      <c r="AB1960" t="inlineStr">
        <is>
          <t>Copeland_RLA_230_460_3ph_60Hz.xlsx</t>
        </is>
      </c>
      <c r="AC1960" t="inlineStr">
        <is>
          <t>Recip_2D-9R</t>
        </is>
      </c>
    </row>
    <row r="1961">
      <c r="A1961" t="inlineStr">
        <is>
          <t>COPELAND</t>
        </is>
      </c>
      <c r="B1961" t="inlineStr">
        <is>
          <t>6RA4-300A-TSK</t>
        </is>
      </c>
      <c r="D1961" t="inlineStr">
        <is>
          <t>Reciprocating Semi-hermetic</t>
        </is>
      </c>
      <c r="E1961" s="2" t="n">
        <v>3</v>
      </c>
      <c r="F1961" s="2" t="n">
        <v>60</v>
      </c>
      <c r="G1961" s="2" t="n">
        <v>460</v>
      </c>
      <c r="H1961" t="inlineStr">
        <is>
          <t>460</t>
        </is>
      </c>
      <c r="I1961" s="2" t="n">
        <v>460</v>
      </c>
      <c r="J1961" s="2" t="n">
        <v>460</v>
      </c>
      <c r="L1961" s="3" t="n"/>
      <c r="M1961" s="3" t="n"/>
      <c r="N1961" s="3" t="n">
        <v>52.1</v>
      </c>
      <c r="O1961" s="3" t="n"/>
      <c r="P1961" s="3">
        <f>IF(L1961&lt;&gt;"",L1961/1.4,"")</f>
        <v/>
      </c>
      <c r="Q1961" s="3">
        <f>IF(L1961&lt;&gt;"",L1961/1.56,"")</f>
        <v/>
      </c>
      <c r="R1961" s="3">
        <f>IF(M1961&lt;&gt;"",M1961/1.4,"")</f>
        <v/>
      </c>
      <c r="S1961" s="3">
        <f>IF(M1961&lt;&gt;"",M1961/1.56,"")</f>
        <v/>
      </c>
      <c r="T1961" s="3">
        <f>IF(N1961&lt;&gt;"",N1961,IF(O1961&lt;&gt;"",O1961,IF(L1961&lt;&gt;"",L1961/1.56,IF(M1961&lt;&gt;"",M1961/1.56,""))))</f>
        <v/>
      </c>
      <c r="U1961" s="3" t="n">
        <v>235</v>
      </c>
      <c r="V1961" s="3" t="n"/>
      <c r="W1961" s="3" t="n"/>
      <c r="X1961" s="4" t="n"/>
      <c r="Y1961" s="5" t="n">
        <v>0.43</v>
      </c>
      <c r="Z1961" s="4">
        <f>IF(L1961&lt;&gt;"",SQRT(3)*G1961*L1961/1000,"")</f>
        <v/>
      </c>
      <c r="AA1961" t="inlineStr">
        <is>
          <t>Source=Copeland 2D/3D/4D/4R/6D/8D/9R compressors (pdf) p104</t>
        </is>
      </c>
      <c r="AB1961" t="inlineStr">
        <is>
          <t>Copeland_RLA_230_460_3ph_60Hz.xlsx</t>
        </is>
      </c>
      <c r="AC1961" t="inlineStr">
        <is>
          <t>Recip_2D-9R</t>
        </is>
      </c>
    </row>
    <row r="1962">
      <c r="A1962" t="inlineStr">
        <is>
          <t>COPELAND</t>
        </is>
      </c>
      <c r="B1962" t="inlineStr">
        <is>
          <t>6RA4-300L-TSK</t>
        </is>
      </c>
      <c r="D1962" t="inlineStr">
        <is>
          <t>Reciprocating Semi-hermetic</t>
        </is>
      </c>
      <c r="E1962" s="2" t="n">
        <v>3</v>
      </c>
      <c r="F1962" s="2" t="n">
        <v>60</v>
      </c>
      <c r="G1962" s="2" t="n">
        <v>230</v>
      </c>
      <c r="H1962" t="inlineStr">
        <is>
          <t>208/230</t>
        </is>
      </c>
      <c r="I1962" s="2" t="n">
        <v>208</v>
      </c>
      <c r="J1962" s="2" t="n">
        <v>230</v>
      </c>
      <c r="L1962" s="3" t="n"/>
      <c r="M1962" s="3" t="n"/>
      <c r="N1962" s="3" t="n">
        <v>104.3</v>
      </c>
      <c r="O1962" s="3" t="n"/>
      <c r="P1962" s="3">
        <f>IF(L1962&lt;&gt;"",L1962/1.4,"")</f>
        <v/>
      </c>
      <c r="Q1962" s="3">
        <f>IF(L1962&lt;&gt;"",L1962/1.56,"")</f>
        <v/>
      </c>
      <c r="R1962" s="3">
        <f>IF(M1962&lt;&gt;"",M1962/1.4,"")</f>
        <v/>
      </c>
      <c r="S1962" s="3">
        <f>IF(M1962&lt;&gt;"",M1962/1.56,"")</f>
        <v/>
      </c>
      <c r="T1962" s="3">
        <f>IF(N1962&lt;&gt;"",N1962,IF(O1962&lt;&gt;"",O1962,IF(L1962&lt;&gt;"",L1962/1.56,IF(M1962&lt;&gt;"",M1962/1.56,""))))</f>
        <v/>
      </c>
      <c r="U1962" s="3" t="n">
        <v>470</v>
      </c>
      <c r="V1962" s="3" t="n">
        <v>292</v>
      </c>
      <c r="W1962" s="3" t="n"/>
      <c r="X1962" s="4" t="n"/>
      <c r="Y1962" s="5" t="n">
        <v>0.108</v>
      </c>
      <c r="Z1962" s="4">
        <f>IF(L1962&lt;&gt;"",SQRT(3)*G1962*L1962/1000,"")</f>
        <v/>
      </c>
      <c r="AA1962" t="inlineStr">
        <is>
          <t>Source=Copeland 2D/3D/4D/4R/6D/8D/9R compressors (pdf) p104; PWS_RLA=52.5</t>
        </is>
      </c>
      <c r="AB1962" t="inlineStr">
        <is>
          <t>Copeland_RLA_230_460_3ph_60Hz.xlsx</t>
        </is>
      </c>
      <c r="AC1962" t="inlineStr">
        <is>
          <t>Recip_2D-9R</t>
        </is>
      </c>
    </row>
    <row r="1963">
      <c r="A1963" t="inlineStr">
        <is>
          <t>COPELAND</t>
        </is>
      </c>
      <c r="B1963" t="inlineStr">
        <is>
          <t>6RA4-300L-TSK</t>
        </is>
      </c>
      <c r="D1963" t="inlineStr">
        <is>
          <t>Reciprocating Semi-hermetic</t>
        </is>
      </c>
      <c r="E1963" s="2" t="n">
        <v>3</v>
      </c>
      <c r="F1963" s="2" t="n">
        <v>60</v>
      </c>
      <c r="G1963" s="2" t="n">
        <v>460</v>
      </c>
      <c r="H1963" t="inlineStr">
        <is>
          <t>460</t>
        </is>
      </c>
      <c r="I1963" s="2" t="n">
        <v>460</v>
      </c>
      <c r="J1963" s="2" t="n">
        <v>460</v>
      </c>
      <c r="L1963" s="3" t="n"/>
      <c r="M1963" s="3" t="n"/>
      <c r="N1963" s="3" t="n">
        <v>52.1</v>
      </c>
      <c r="O1963" s="3" t="n"/>
      <c r="P1963" s="3">
        <f>IF(L1963&lt;&gt;"",L1963/1.4,"")</f>
        <v/>
      </c>
      <c r="Q1963" s="3">
        <f>IF(L1963&lt;&gt;"",L1963/1.56,"")</f>
        <v/>
      </c>
      <c r="R1963" s="3">
        <f>IF(M1963&lt;&gt;"",M1963/1.4,"")</f>
        <v/>
      </c>
      <c r="S1963" s="3">
        <f>IF(M1963&lt;&gt;"",M1963/1.56,"")</f>
        <v/>
      </c>
      <c r="T1963" s="3">
        <f>IF(N1963&lt;&gt;"",N1963,IF(O1963&lt;&gt;"",O1963,IF(L1963&lt;&gt;"",L1963/1.56,IF(M1963&lt;&gt;"",M1963/1.56,""))))</f>
        <v/>
      </c>
      <c r="U1963" s="3" t="n">
        <v>235</v>
      </c>
      <c r="V1963" s="3" t="n"/>
      <c r="W1963" s="3" t="n"/>
      <c r="X1963" s="4" t="n"/>
      <c r="Y1963" s="5" t="n">
        <v>0.43</v>
      </c>
      <c r="Z1963" s="4">
        <f>IF(L1963&lt;&gt;"",SQRT(3)*G1963*L1963/1000,"")</f>
        <v/>
      </c>
      <c r="AA1963" t="inlineStr">
        <is>
          <t>Source=Copeland 2D/3D/4D/4R/6D/8D/9R compressors (pdf) p104</t>
        </is>
      </c>
      <c r="AB1963" t="inlineStr">
        <is>
          <t>Copeland_RLA_230_460_3ph_60Hz.xlsx</t>
        </is>
      </c>
      <c r="AC1963" t="inlineStr">
        <is>
          <t>Recip_2D-9R</t>
        </is>
      </c>
    </row>
    <row r="1964">
      <c r="A1964" t="inlineStr">
        <is>
          <t>COPELAND</t>
        </is>
      </c>
      <c r="B1964" t="inlineStr">
        <is>
          <t>6RA5-1000-TSK</t>
        </is>
      </c>
      <c r="D1964" t="inlineStr">
        <is>
          <t>Reciprocating Semi-hermetic</t>
        </is>
      </c>
      <c r="E1964" s="2" t="n">
        <v>3</v>
      </c>
      <c r="F1964" s="2" t="n">
        <v>60</v>
      </c>
      <c r="G1964" s="2" t="n">
        <v>230</v>
      </c>
      <c r="H1964" t="inlineStr">
        <is>
          <t>208/230</t>
        </is>
      </c>
      <c r="I1964" s="2" t="n">
        <v>208</v>
      </c>
      <c r="J1964" s="2" t="n">
        <v>230</v>
      </c>
      <c r="L1964" s="3" t="n"/>
      <c r="M1964" s="3" t="n"/>
      <c r="N1964" s="3" t="n">
        <v>43.6</v>
      </c>
      <c r="O1964" s="3" t="n"/>
      <c r="P1964" s="3">
        <f>IF(L1964&lt;&gt;"",L1964/1.4,"")</f>
        <v/>
      </c>
      <c r="Q1964" s="3">
        <f>IF(L1964&lt;&gt;"",L1964/1.56,"")</f>
        <v/>
      </c>
      <c r="R1964" s="3">
        <f>IF(M1964&lt;&gt;"",M1964/1.4,"")</f>
        <v/>
      </c>
      <c r="S1964" s="3">
        <f>IF(M1964&lt;&gt;"",M1964/1.56,"")</f>
        <v/>
      </c>
      <c r="T1964" s="3">
        <f>IF(N1964&lt;&gt;"",N1964,IF(O1964&lt;&gt;"",O1964,IF(L1964&lt;&gt;"",L1964/1.56,IF(M1964&lt;&gt;"",M1964/1.56,""))))</f>
        <v/>
      </c>
      <c r="U1964" s="3" t="n">
        <v>240</v>
      </c>
      <c r="V1964" s="3" t="n">
        <v>140</v>
      </c>
      <c r="W1964" s="3" t="n"/>
      <c r="X1964" s="4" t="n"/>
      <c r="Y1964" s="5" t="n">
        <v>0.259</v>
      </c>
      <c r="Z1964" s="4">
        <f>IF(L1964&lt;&gt;"",SQRT(3)*G1964*L1964/1000,"")</f>
        <v/>
      </c>
      <c r="AA1964" t="inlineStr">
        <is>
          <t>Source=Copeland 2D/3D/4D/4R/6D/8D/9R compressors (pdf) p104; PWS_RLA=21.8</t>
        </is>
      </c>
      <c r="AB1964" t="inlineStr">
        <is>
          <t>Copeland_RLA_230_460_3ph_60Hz.xlsx</t>
        </is>
      </c>
      <c r="AC1964" t="inlineStr">
        <is>
          <t>Recip_2D-9R</t>
        </is>
      </c>
    </row>
    <row r="1965">
      <c r="A1965" t="inlineStr">
        <is>
          <t>COPELAND</t>
        </is>
      </c>
      <c r="B1965" t="inlineStr">
        <is>
          <t>6RA5-1000-TSK</t>
        </is>
      </c>
      <c r="D1965" t="inlineStr">
        <is>
          <t>Reciprocating Semi-hermetic</t>
        </is>
      </c>
      <c r="E1965" s="2" t="n">
        <v>3</v>
      </c>
      <c r="F1965" s="2" t="n">
        <v>60</v>
      </c>
      <c r="G1965" s="2" t="n">
        <v>460</v>
      </c>
      <c r="H1965" t="inlineStr">
        <is>
          <t>460</t>
        </is>
      </c>
      <c r="I1965" s="2" t="n">
        <v>460</v>
      </c>
      <c r="J1965" s="2" t="n">
        <v>460</v>
      </c>
      <c r="L1965" s="3" t="n"/>
      <c r="M1965" s="3" t="n"/>
      <c r="N1965" s="3" t="n">
        <v>21.8</v>
      </c>
      <c r="O1965" s="3" t="n"/>
      <c r="P1965" s="3">
        <f>IF(L1965&lt;&gt;"",L1965/1.4,"")</f>
        <v/>
      </c>
      <c r="Q1965" s="3">
        <f>IF(L1965&lt;&gt;"",L1965/1.56,"")</f>
        <v/>
      </c>
      <c r="R1965" s="3">
        <f>IF(M1965&lt;&gt;"",M1965/1.4,"")</f>
        <v/>
      </c>
      <c r="S1965" s="3">
        <f>IF(M1965&lt;&gt;"",M1965/1.56,"")</f>
        <v/>
      </c>
      <c r="T1965" s="3">
        <f>IF(N1965&lt;&gt;"",N1965,IF(O1965&lt;&gt;"",O1965,IF(L1965&lt;&gt;"",L1965/1.56,IF(M1965&lt;&gt;"",M1965/1.56,""))))</f>
        <v/>
      </c>
      <c r="U1965" s="3" t="n">
        <v>120</v>
      </c>
      <c r="V1965" s="3" t="n"/>
      <c r="W1965" s="3" t="n"/>
      <c r="X1965" s="4" t="n"/>
      <c r="Y1965" s="5" t="n">
        <v>1.036</v>
      </c>
      <c r="Z1965" s="4">
        <f>IF(L1965&lt;&gt;"",SQRT(3)*G1965*L1965/1000,"")</f>
        <v/>
      </c>
      <c r="AA1965" t="inlineStr">
        <is>
          <t>Source=Copeland 2D/3D/4D/4R/6D/8D/9R compressors (pdf) p104</t>
        </is>
      </c>
      <c r="AB1965" t="inlineStr">
        <is>
          <t>Copeland_RLA_230_460_3ph_60Hz.xlsx</t>
        </is>
      </c>
      <c r="AC1965" t="inlineStr">
        <is>
          <t>Recip_2D-9R</t>
        </is>
      </c>
    </row>
    <row r="1966">
      <c r="A1966" t="inlineStr">
        <is>
          <t>COPELAND</t>
        </is>
      </c>
      <c r="B1966" t="inlineStr">
        <is>
          <t>6RA5-2000-TSK</t>
        </is>
      </c>
      <c r="D1966" t="inlineStr">
        <is>
          <t>Reciprocating Semi-hermetic</t>
        </is>
      </c>
      <c r="E1966" s="2" t="n">
        <v>3</v>
      </c>
      <c r="F1966" s="2" t="n">
        <v>60</v>
      </c>
      <c r="G1966" s="2" t="n">
        <v>230</v>
      </c>
      <c r="H1966" t="inlineStr">
        <is>
          <t>208/230</t>
        </is>
      </c>
      <c r="I1966" s="2" t="n">
        <v>208</v>
      </c>
      <c r="J1966" s="2" t="n">
        <v>230</v>
      </c>
      <c r="L1966" s="3" t="n"/>
      <c r="M1966" s="3" t="n"/>
      <c r="N1966" s="3" t="n">
        <v>67.40000000000001</v>
      </c>
      <c r="O1966" s="3" t="n"/>
      <c r="P1966" s="3">
        <f>IF(L1966&lt;&gt;"",L1966/1.4,"")</f>
        <v/>
      </c>
      <c r="Q1966" s="3">
        <f>IF(L1966&lt;&gt;"",L1966/1.56,"")</f>
        <v/>
      </c>
      <c r="R1966" s="3">
        <f>IF(M1966&lt;&gt;"",M1966/1.4,"")</f>
        <v/>
      </c>
      <c r="S1966" s="3">
        <f>IF(M1966&lt;&gt;"",M1966/1.56,"")</f>
        <v/>
      </c>
      <c r="T1966" s="3">
        <f>IF(N1966&lt;&gt;"",N1966,IF(O1966&lt;&gt;"",O1966,IF(L1966&lt;&gt;"",L1966/1.56,IF(M1966&lt;&gt;"",M1966/1.56,""))))</f>
        <v/>
      </c>
      <c r="U1966" s="3" t="n">
        <v>308</v>
      </c>
      <c r="V1966" s="3" t="n">
        <v>188</v>
      </c>
      <c r="W1966" s="3" t="n"/>
      <c r="X1966" s="4" t="n"/>
      <c r="Y1966" s="5" t="n">
        <v>0.173</v>
      </c>
      <c r="Z1966" s="4">
        <f>IF(L1966&lt;&gt;"",SQRT(3)*G1966*L1966/1000,"")</f>
        <v/>
      </c>
      <c r="AA1966" t="inlineStr">
        <is>
          <t>Source=Copeland 2D/3D/4D/4R/6D/8D/9R compressors (pdf) p105; PWS_RLA=33.7</t>
        </is>
      </c>
      <c r="AB1966" t="inlineStr">
        <is>
          <t>Copeland_RLA_230_460_3ph_60Hz.xlsx</t>
        </is>
      </c>
      <c r="AC1966" t="inlineStr">
        <is>
          <t>Recip_2D-9R</t>
        </is>
      </c>
    </row>
    <row r="1967">
      <c r="A1967" t="inlineStr">
        <is>
          <t>COPELAND</t>
        </is>
      </c>
      <c r="B1967" t="inlineStr">
        <is>
          <t>6RA5-2000-TSK</t>
        </is>
      </c>
      <c r="D1967" t="inlineStr">
        <is>
          <t>Reciprocating Semi-hermetic</t>
        </is>
      </c>
      <c r="E1967" s="2" t="n">
        <v>3</v>
      </c>
      <c r="F1967" s="2" t="n">
        <v>60</v>
      </c>
      <c r="G1967" s="2" t="n">
        <v>460</v>
      </c>
      <c r="H1967" t="inlineStr">
        <is>
          <t>460</t>
        </is>
      </c>
      <c r="I1967" s="2" t="n">
        <v>460</v>
      </c>
      <c r="J1967" s="2" t="n">
        <v>460</v>
      </c>
      <c r="L1967" s="3" t="n"/>
      <c r="M1967" s="3" t="n"/>
      <c r="N1967" s="3" t="n">
        <v>33.7</v>
      </c>
      <c r="O1967" s="3" t="n"/>
      <c r="P1967" s="3">
        <f>IF(L1967&lt;&gt;"",L1967/1.4,"")</f>
        <v/>
      </c>
      <c r="Q1967" s="3">
        <f>IF(L1967&lt;&gt;"",L1967/1.56,"")</f>
        <v/>
      </c>
      <c r="R1967" s="3">
        <f>IF(M1967&lt;&gt;"",M1967/1.4,"")</f>
        <v/>
      </c>
      <c r="S1967" s="3">
        <f>IF(M1967&lt;&gt;"",M1967/1.56,"")</f>
        <v/>
      </c>
      <c r="T1967" s="3">
        <f>IF(N1967&lt;&gt;"",N1967,IF(O1967&lt;&gt;"",O1967,IF(L1967&lt;&gt;"",L1967/1.56,IF(M1967&lt;&gt;"",M1967/1.56,""))))</f>
        <v/>
      </c>
      <c r="U1967" s="3" t="n">
        <v>154</v>
      </c>
      <c r="V1967" s="3" t="n"/>
      <c r="W1967" s="3" t="n"/>
      <c r="X1967" s="4" t="n"/>
      <c r="Y1967" s="5" t="n">
        <v>0.6899999999999999</v>
      </c>
      <c r="Z1967" s="4">
        <f>IF(L1967&lt;&gt;"",SQRT(3)*G1967*L1967/1000,"")</f>
        <v/>
      </c>
      <c r="AA1967" t="inlineStr">
        <is>
          <t>Source=Copeland 2D/3D/4D/4R/6D/8D/9R compressors (pdf) p105</t>
        </is>
      </c>
      <c r="AB1967" t="inlineStr">
        <is>
          <t>Copeland_RLA_230_460_3ph_60Hz.xlsx</t>
        </is>
      </c>
      <c r="AC1967" t="inlineStr">
        <is>
          <t>Recip_2D-9R</t>
        </is>
      </c>
    </row>
    <row r="1968">
      <c r="A1968" t="inlineStr">
        <is>
          <t>COPELAND</t>
        </is>
      </c>
      <c r="B1968" t="inlineStr">
        <is>
          <t>6RB2-1000-TSK</t>
        </is>
      </c>
      <c r="D1968" t="inlineStr">
        <is>
          <t>Reciprocating Semi-hermetic</t>
        </is>
      </c>
      <c r="E1968" s="2" t="n">
        <v>3</v>
      </c>
      <c r="F1968" s="2" t="n">
        <v>60</v>
      </c>
      <c r="G1968" s="2" t="n">
        <v>230</v>
      </c>
      <c r="H1968" t="inlineStr">
        <is>
          <t>208/230</t>
        </is>
      </c>
      <c r="I1968" s="2" t="n">
        <v>208</v>
      </c>
      <c r="J1968" s="2" t="n">
        <v>230</v>
      </c>
      <c r="L1968" s="3" t="n"/>
      <c r="M1968" s="3" t="n"/>
      <c r="N1968" s="3" t="n">
        <v>43.3</v>
      </c>
      <c r="O1968" s="3" t="n"/>
      <c r="P1968" s="3">
        <f>IF(L1968&lt;&gt;"",L1968/1.4,"")</f>
        <v/>
      </c>
      <c r="Q1968" s="3">
        <f>IF(L1968&lt;&gt;"",L1968/1.56,"")</f>
        <v/>
      </c>
      <c r="R1968" s="3">
        <f>IF(M1968&lt;&gt;"",M1968/1.4,"")</f>
        <v/>
      </c>
      <c r="S1968" s="3">
        <f>IF(M1968&lt;&gt;"",M1968/1.56,"")</f>
        <v/>
      </c>
      <c r="T1968" s="3">
        <f>IF(N1968&lt;&gt;"",N1968,IF(O1968&lt;&gt;"",O1968,IF(L1968&lt;&gt;"",L1968/1.56,IF(M1968&lt;&gt;"",M1968/1.56,""))))</f>
        <v/>
      </c>
      <c r="U1968" s="3" t="n">
        <v>240</v>
      </c>
      <c r="V1968" s="3" t="n">
        <v>140</v>
      </c>
      <c r="W1968" s="3" t="n"/>
      <c r="X1968" s="4" t="n"/>
      <c r="Y1968" s="5" t="n">
        <v>0.259</v>
      </c>
      <c r="Z1968" s="4">
        <f>IF(L1968&lt;&gt;"",SQRT(3)*G1968*L1968/1000,"")</f>
        <v/>
      </c>
      <c r="AA1968" t="inlineStr">
        <is>
          <t>Source=Copeland 2D/3D/4D/4R/6D/8D/9R compressors (pdf) p105; PWS_RLA=21.7</t>
        </is>
      </c>
      <c r="AB1968" t="inlineStr">
        <is>
          <t>Copeland_RLA_230_460_3ph_60Hz.xlsx</t>
        </is>
      </c>
      <c r="AC1968" t="inlineStr">
        <is>
          <t>Recip_2D-9R</t>
        </is>
      </c>
    </row>
    <row r="1969">
      <c r="A1969" t="inlineStr">
        <is>
          <t>COPELAND</t>
        </is>
      </c>
      <c r="B1969" t="inlineStr">
        <is>
          <t>6RB2-1000-TSK</t>
        </is>
      </c>
      <c r="D1969" t="inlineStr">
        <is>
          <t>Reciprocating Semi-hermetic</t>
        </is>
      </c>
      <c r="E1969" s="2" t="n">
        <v>3</v>
      </c>
      <c r="F1969" s="2" t="n">
        <v>60</v>
      </c>
      <c r="G1969" s="2" t="n">
        <v>460</v>
      </c>
      <c r="H1969" t="inlineStr">
        <is>
          <t>460</t>
        </is>
      </c>
      <c r="I1969" s="2" t="n">
        <v>460</v>
      </c>
      <c r="J1969" s="2" t="n">
        <v>460</v>
      </c>
      <c r="L1969" s="3" t="n"/>
      <c r="M1969" s="3" t="n"/>
      <c r="N1969" s="3" t="n">
        <v>21.6</v>
      </c>
      <c r="O1969" s="3" t="n"/>
      <c r="P1969" s="3">
        <f>IF(L1969&lt;&gt;"",L1969/1.4,"")</f>
        <v/>
      </c>
      <c r="Q1969" s="3">
        <f>IF(L1969&lt;&gt;"",L1969/1.56,"")</f>
        <v/>
      </c>
      <c r="R1969" s="3">
        <f>IF(M1969&lt;&gt;"",M1969/1.4,"")</f>
        <v/>
      </c>
      <c r="S1969" s="3">
        <f>IF(M1969&lt;&gt;"",M1969/1.56,"")</f>
        <v/>
      </c>
      <c r="T1969" s="3">
        <f>IF(N1969&lt;&gt;"",N1969,IF(O1969&lt;&gt;"",O1969,IF(L1969&lt;&gt;"",L1969/1.56,IF(M1969&lt;&gt;"",M1969/1.56,""))))</f>
        <v/>
      </c>
      <c r="U1969" s="3" t="n">
        <v>120</v>
      </c>
      <c r="V1969" s="3" t="n"/>
      <c r="W1969" s="3" t="n"/>
      <c r="X1969" s="4" t="n"/>
      <c r="Y1969" s="5" t="n">
        <v>1.036</v>
      </c>
      <c r="Z1969" s="4">
        <f>IF(L1969&lt;&gt;"",SQRT(3)*G1969*L1969/1000,"")</f>
        <v/>
      </c>
      <c r="AA1969" t="inlineStr">
        <is>
          <t>Source=Copeland 2D/3D/4D/4R/6D/8D/9R compressors (pdf) p105</t>
        </is>
      </c>
      <c r="AB1969" t="inlineStr">
        <is>
          <t>Copeland_RLA_230_460_3ph_60Hz.xlsx</t>
        </is>
      </c>
      <c r="AC1969" t="inlineStr">
        <is>
          <t>Recip_2D-9R</t>
        </is>
      </c>
    </row>
    <row r="1970">
      <c r="A1970" t="inlineStr">
        <is>
          <t>COPELAND</t>
        </is>
      </c>
      <c r="B1970" t="inlineStr">
        <is>
          <t>6RB2-100A-TSK</t>
        </is>
      </c>
      <c r="D1970" t="inlineStr">
        <is>
          <t>Reciprocating Semi-hermetic</t>
        </is>
      </c>
      <c r="E1970" s="2" t="n">
        <v>3</v>
      </c>
      <c r="F1970" s="2" t="n">
        <v>60</v>
      </c>
      <c r="G1970" s="2" t="n">
        <v>230</v>
      </c>
      <c r="H1970" t="inlineStr">
        <is>
          <t>208/230</t>
        </is>
      </c>
      <c r="I1970" s="2" t="n">
        <v>208</v>
      </c>
      <c r="J1970" s="2" t="n">
        <v>230</v>
      </c>
      <c r="L1970" s="3" t="n"/>
      <c r="M1970" s="3" t="n"/>
      <c r="N1970" s="3" t="n">
        <v>43.3</v>
      </c>
      <c r="O1970" s="3" t="n"/>
      <c r="P1970" s="3">
        <f>IF(L1970&lt;&gt;"",L1970/1.4,"")</f>
        <v/>
      </c>
      <c r="Q1970" s="3">
        <f>IF(L1970&lt;&gt;"",L1970/1.56,"")</f>
        <v/>
      </c>
      <c r="R1970" s="3">
        <f>IF(M1970&lt;&gt;"",M1970/1.4,"")</f>
        <v/>
      </c>
      <c r="S1970" s="3">
        <f>IF(M1970&lt;&gt;"",M1970/1.56,"")</f>
        <v/>
      </c>
      <c r="T1970" s="3">
        <f>IF(N1970&lt;&gt;"",N1970,IF(O1970&lt;&gt;"",O1970,IF(L1970&lt;&gt;"",L1970/1.56,IF(M1970&lt;&gt;"",M1970/1.56,""))))</f>
        <v/>
      </c>
      <c r="U1970" s="3" t="n">
        <v>240</v>
      </c>
      <c r="V1970" s="3" t="n">
        <v>140</v>
      </c>
      <c r="W1970" s="3" t="n"/>
      <c r="X1970" s="4" t="n"/>
      <c r="Y1970" s="5" t="n">
        <v>0.259</v>
      </c>
      <c r="Z1970" s="4">
        <f>IF(L1970&lt;&gt;"",SQRT(3)*G1970*L1970/1000,"")</f>
        <v/>
      </c>
      <c r="AA1970" t="inlineStr">
        <is>
          <t>Source=Copeland 2D/3D/4D/4R/6D/8D/9R compressors (pdf) p105; PWS_RLA=21.7</t>
        </is>
      </c>
      <c r="AB1970" t="inlineStr">
        <is>
          <t>Copeland_RLA_230_460_3ph_60Hz.xlsx</t>
        </is>
      </c>
      <c r="AC1970" t="inlineStr">
        <is>
          <t>Recip_2D-9R</t>
        </is>
      </c>
    </row>
    <row r="1971">
      <c r="A1971" t="inlineStr">
        <is>
          <t>COPELAND</t>
        </is>
      </c>
      <c r="B1971" t="inlineStr">
        <is>
          <t>6RB2-100A-TSK</t>
        </is>
      </c>
      <c r="D1971" t="inlineStr">
        <is>
          <t>Reciprocating Semi-hermetic</t>
        </is>
      </c>
      <c r="E1971" s="2" t="n">
        <v>3</v>
      </c>
      <c r="F1971" s="2" t="n">
        <v>60</v>
      </c>
      <c r="G1971" s="2" t="n">
        <v>460</v>
      </c>
      <c r="H1971" t="inlineStr">
        <is>
          <t>460</t>
        </is>
      </c>
      <c r="I1971" s="2" t="n">
        <v>460</v>
      </c>
      <c r="J1971" s="2" t="n">
        <v>460</v>
      </c>
      <c r="L1971" s="3" t="n"/>
      <c r="M1971" s="3" t="n"/>
      <c r="N1971" s="3" t="n">
        <v>21.6</v>
      </c>
      <c r="O1971" s="3" t="n"/>
      <c r="P1971" s="3">
        <f>IF(L1971&lt;&gt;"",L1971/1.4,"")</f>
        <v/>
      </c>
      <c r="Q1971" s="3">
        <f>IF(L1971&lt;&gt;"",L1971/1.56,"")</f>
        <v/>
      </c>
      <c r="R1971" s="3">
        <f>IF(M1971&lt;&gt;"",M1971/1.4,"")</f>
        <v/>
      </c>
      <c r="S1971" s="3">
        <f>IF(M1971&lt;&gt;"",M1971/1.56,"")</f>
        <v/>
      </c>
      <c r="T1971" s="3">
        <f>IF(N1971&lt;&gt;"",N1971,IF(O1971&lt;&gt;"",O1971,IF(L1971&lt;&gt;"",L1971/1.56,IF(M1971&lt;&gt;"",M1971/1.56,""))))</f>
        <v/>
      </c>
      <c r="U1971" s="3" t="n">
        <v>120</v>
      </c>
      <c r="V1971" s="3" t="n"/>
      <c r="W1971" s="3" t="n"/>
      <c r="X1971" s="4" t="n"/>
      <c r="Y1971" s="5" t="n">
        <v>1.036</v>
      </c>
      <c r="Z1971" s="4">
        <f>IF(L1971&lt;&gt;"",SQRT(3)*G1971*L1971/1000,"")</f>
        <v/>
      </c>
      <c r="AA1971" t="inlineStr">
        <is>
          <t>Source=Copeland 2D/3D/4D/4R/6D/8D/9R compressors (pdf) p105</t>
        </is>
      </c>
      <c r="AB1971" t="inlineStr">
        <is>
          <t>Copeland_RLA_230_460_3ph_60Hz.xlsx</t>
        </is>
      </c>
      <c r="AC1971" t="inlineStr">
        <is>
          <t>Recip_2D-9R</t>
        </is>
      </c>
    </row>
    <row r="1972">
      <c r="A1972" t="inlineStr">
        <is>
          <t>COPELAND</t>
        </is>
      </c>
      <c r="B1972" t="inlineStr">
        <is>
          <t>6RB2-2000-FSD</t>
        </is>
      </c>
      <c r="D1972" t="inlineStr">
        <is>
          <t>Reciprocating Semi-hermetic</t>
        </is>
      </c>
      <c r="E1972" s="2" t="n">
        <v>3</v>
      </c>
      <c r="F1972" s="2" t="n">
        <v>60</v>
      </c>
      <c r="G1972" s="2" t="n">
        <v>460</v>
      </c>
      <c r="H1972" t="inlineStr">
        <is>
          <t>460</t>
        </is>
      </c>
      <c r="I1972" s="2" t="n">
        <v>460</v>
      </c>
      <c r="J1972" s="2" t="n">
        <v>460</v>
      </c>
      <c r="L1972" s="3" t="n"/>
      <c r="M1972" s="3" t="n"/>
      <c r="N1972" s="3" t="n">
        <v>28.9</v>
      </c>
      <c r="O1972" s="3" t="n"/>
      <c r="P1972" s="3">
        <f>IF(L1972&lt;&gt;"",L1972/1.4,"")</f>
        <v/>
      </c>
      <c r="Q1972" s="3">
        <f>IF(L1972&lt;&gt;"",L1972/1.56,"")</f>
        <v/>
      </c>
      <c r="R1972" s="3">
        <f>IF(M1972&lt;&gt;"",M1972/1.4,"")</f>
        <v/>
      </c>
      <c r="S1972" s="3">
        <f>IF(M1972&lt;&gt;"",M1972/1.56,"")</f>
        <v/>
      </c>
      <c r="T1972" s="3">
        <f>IF(N1972&lt;&gt;"",N1972,IF(O1972&lt;&gt;"",O1972,IF(L1972&lt;&gt;"",L1972/1.56,IF(M1972&lt;&gt;"",M1972/1.56,""))))</f>
        <v/>
      </c>
      <c r="U1972" s="3" t="n">
        <v>135</v>
      </c>
      <c r="V1972" s="3" t="n">
        <v>82</v>
      </c>
      <c r="W1972" s="3" t="n"/>
      <c r="X1972" s="4" t="n"/>
      <c r="Y1972" s="5" t="n">
        <v>0.757</v>
      </c>
      <c r="Z1972" s="4">
        <f>IF(L1972&lt;&gt;"",SQRT(3)*G1972*L1972/1000,"")</f>
        <v/>
      </c>
      <c r="AA1972" t="inlineStr">
        <is>
          <t>Source=Copeland 2D/3D/4D/4R/6D/8D/9R compressors (pdf) p105; PWS_RLA=14.5</t>
        </is>
      </c>
      <c r="AB1972" t="inlineStr">
        <is>
          <t>Copeland_RLA_230_460_3ph_60Hz.xlsx</t>
        </is>
      </c>
      <c r="AC1972" t="inlineStr">
        <is>
          <t>Recip_2D-9R</t>
        </is>
      </c>
    </row>
    <row r="1973">
      <c r="A1973" t="inlineStr">
        <is>
          <t>COPELAND</t>
        </is>
      </c>
      <c r="B1973" t="inlineStr">
        <is>
          <t>6RB2-2000-TSK</t>
        </is>
      </c>
      <c r="D1973" t="inlineStr">
        <is>
          <t>Reciprocating Semi-hermetic</t>
        </is>
      </c>
      <c r="E1973" s="2" t="n">
        <v>3</v>
      </c>
      <c r="F1973" s="2" t="n">
        <v>60</v>
      </c>
      <c r="G1973" s="2" t="n">
        <v>230</v>
      </c>
      <c r="H1973" t="inlineStr">
        <is>
          <t>208/230</t>
        </is>
      </c>
      <c r="I1973" s="2" t="n">
        <v>208</v>
      </c>
      <c r="J1973" s="2" t="n">
        <v>230</v>
      </c>
      <c r="L1973" s="3" t="n"/>
      <c r="M1973" s="3" t="n"/>
      <c r="N1973" s="3" t="n">
        <v>61.4</v>
      </c>
      <c r="O1973" s="3" t="n"/>
      <c r="P1973" s="3">
        <f>IF(L1973&lt;&gt;"",L1973/1.4,"")</f>
        <v/>
      </c>
      <c r="Q1973" s="3">
        <f>IF(L1973&lt;&gt;"",L1973/1.56,"")</f>
        <v/>
      </c>
      <c r="R1973" s="3">
        <f>IF(M1973&lt;&gt;"",M1973/1.4,"")</f>
        <v/>
      </c>
      <c r="S1973" s="3">
        <f>IF(M1973&lt;&gt;"",M1973/1.56,"")</f>
        <v/>
      </c>
      <c r="T1973" s="3">
        <f>IF(N1973&lt;&gt;"",N1973,IF(O1973&lt;&gt;"",O1973,IF(L1973&lt;&gt;"",L1973/1.56,IF(M1973&lt;&gt;"",M1973/1.56,""))))</f>
        <v/>
      </c>
      <c r="U1973" s="3" t="n">
        <v>308</v>
      </c>
      <c r="V1973" s="3" t="n">
        <v>188</v>
      </c>
      <c r="W1973" s="3" t="n"/>
      <c r="X1973" s="4" t="n"/>
      <c r="Y1973" s="5" t="n">
        <v>0.173</v>
      </c>
      <c r="Z1973" s="4">
        <f>IF(L1973&lt;&gt;"",SQRT(3)*G1973*L1973/1000,"")</f>
        <v/>
      </c>
      <c r="AA1973" t="inlineStr">
        <is>
          <t>Source=Copeland 2D/3D/4D/4R/6D/8D/9R compressors (pdf) p105; PWS_RLA=30.7</t>
        </is>
      </c>
      <c r="AB1973" t="inlineStr">
        <is>
          <t>Copeland_RLA_230_460_3ph_60Hz.xlsx</t>
        </is>
      </c>
      <c r="AC1973" t="inlineStr">
        <is>
          <t>Recip_2D-9R</t>
        </is>
      </c>
    </row>
    <row r="1974">
      <c r="A1974" t="inlineStr">
        <is>
          <t>COPELAND</t>
        </is>
      </c>
      <c r="B1974" t="inlineStr">
        <is>
          <t>6RB2-2000-TSK</t>
        </is>
      </c>
      <c r="D1974" t="inlineStr">
        <is>
          <t>Reciprocating Semi-hermetic</t>
        </is>
      </c>
      <c r="E1974" s="2" t="n">
        <v>3</v>
      </c>
      <c r="F1974" s="2" t="n">
        <v>60</v>
      </c>
      <c r="G1974" s="2" t="n">
        <v>460</v>
      </c>
      <c r="H1974" t="inlineStr">
        <is>
          <t>460</t>
        </is>
      </c>
      <c r="I1974" s="2" t="n">
        <v>460</v>
      </c>
      <c r="J1974" s="2" t="n">
        <v>460</v>
      </c>
      <c r="L1974" s="3" t="n"/>
      <c r="M1974" s="3" t="n"/>
      <c r="N1974" s="3" t="n">
        <v>30.7</v>
      </c>
      <c r="O1974" s="3" t="n"/>
      <c r="P1974" s="3">
        <f>IF(L1974&lt;&gt;"",L1974/1.4,"")</f>
        <v/>
      </c>
      <c r="Q1974" s="3">
        <f>IF(L1974&lt;&gt;"",L1974/1.56,"")</f>
        <v/>
      </c>
      <c r="R1974" s="3">
        <f>IF(M1974&lt;&gt;"",M1974/1.4,"")</f>
        <v/>
      </c>
      <c r="S1974" s="3">
        <f>IF(M1974&lt;&gt;"",M1974/1.56,"")</f>
        <v/>
      </c>
      <c r="T1974" s="3">
        <f>IF(N1974&lt;&gt;"",N1974,IF(O1974&lt;&gt;"",O1974,IF(L1974&lt;&gt;"",L1974/1.56,IF(M1974&lt;&gt;"",M1974/1.56,""))))</f>
        <v/>
      </c>
      <c r="U1974" s="3" t="n">
        <v>154</v>
      </c>
      <c r="V1974" s="3" t="n"/>
      <c r="W1974" s="3" t="n"/>
      <c r="X1974" s="4" t="n"/>
      <c r="Y1974" s="5" t="n">
        <v>0.6899999999999999</v>
      </c>
      <c r="Z1974" s="4">
        <f>IF(L1974&lt;&gt;"",SQRT(3)*G1974*L1974/1000,"")</f>
        <v/>
      </c>
      <c r="AA1974" t="inlineStr">
        <is>
          <t>Source=Copeland 2D/3D/4D/4R/6D/8D/9R compressors (pdf) p105</t>
        </is>
      </c>
      <c r="AB1974" t="inlineStr">
        <is>
          <t>Copeland_RLA_230_460_3ph_60Hz.xlsx</t>
        </is>
      </c>
      <c r="AC1974" t="inlineStr">
        <is>
          <t>Recip_2D-9R</t>
        </is>
      </c>
    </row>
    <row r="1975">
      <c r="A1975" t="inlineStr">
        <is>
          <t>COPELAND</t>
        </is>
      </c>
      <c r="B1975" t="inlineStr">
        <is>
          <t>6RB2-200A-TSK</t>
        </is>
      </c>
      <c r="D1975" t="inlineStr">
        <is>
          <t>Reciprocating Semi-hermetic</t>
        </is>
      </c>
      <c r="E1975" s="2" t="n">
        <v>3</v>
      </c>
      <c r="F1975" s="2" t="n">
        <v>60</v>
      </c>
      <c r="G1975" s="2" t="n">
        <v>230</v>
      </c>
      <c r="H1975" t="inlineStr">
        <is>
          <t>208/230</t>
        </is>
      </c>
      <c r="I1975" s="2" t="n">
        <v>208</v>
      </c>
      <c r="J1975" s="2" t="n">
        <v>230</v>
      </c>
      <c r="L1975" s="3" t="n"/>
      <c r="M1975" s="3" t="n"/>
      <c r="N1975" s="3" t="n">
        <v>61.4</v>
      </c>
      <c r="O1975" s="3" t="n"/>
      <c r="P1975" s="3">
        <f>IF(L1975&lt;&gt;"",L1975/1.4,"")</f>
        <v/>
      </c>
      <c r="Q1975" s="3">
        <f>IF(L1975&lt;&gt;"",L1975/1.56,"")</f>
        <v/>
      </c>
      <c r="R1975" s="3">
        <f>IF(M1975&lt;&gt;"",M1975/1.4,"")</f>
        <v/>
      </c>
      <c r="S1975" s="3">
        <f>IF(M1975&lt;&gt;"",M1975/1.56,"")</f>
        <v/>
      </c>
      <c r="T1975" s="3">
        <f>IF(N1975&lt;&gt;"",N1975,IF(O1975&lt;&gt;"",O1975,IF(L1975&lt;&gt;"",L1975/1.56,IF(M1975&lt;&gt;"",M1975/1.56,""))))</f>
        <v/>
      </c>
      <c r="U1975" s="3" t="n">
        <v>308</v>
      </c>
      <c r="V1975" s="3" t="n">
        <v>188</v>
      </c>
      <c r="W1975" s="3" t="n"/>
      <c r="X1975" s="4" t="n"/>
      <c r="Y1975" s="5" t="n">
        <v>0.173</v>
      </c>
      <c r="Z1975" s="4">
        <f>IF(L1975&lt;&gt;"",SQRT(3)*G1975*L1975/1000,"")</f>
        <v/>
      </c>
      <c r="AA1975" t="inlineStr">
        <is>
          <t>Source=Copeland 2D/3D/4D/4R/6D/8D/9R compressors (pdf) p105; PWS_RLA=30.7</t>
        </is>
      </c>
      <c r="AB1975" t="inlineStr">
        <is>
          <t>Copeland_RLA_230_460_3ph_60Hz.xlsx</t>
        </is>
      </c>
      <c r="AC1975" t="inlineStr">
        <is>
          <t>Recip_2D-9R</t>
        </is>
      </c>
    </row>
    <row r="1976">
      <c r="A1976" t="inlineStr">
        <is>
          <t>COPELAND</t>
        </is>
      </c>
      <c r="B1976" t="inlineStr">
        <is>
          <t>6RB2-200A-TSK</t>
        </is>
      </c>
      <c r="D1976" t="inlineStr">
        <is>
          <t>Reciprocating Semi-hermetic</t>
        </is>
      </c>
      <c r="E1976" s="2" t="n">
        <v>3</v>
      </c>
      <c r="F1976" s="2" t="n">
        <v>60</v>
      </c>
      <c r="G1976" s="2" t="n">
        <v>460</v>
      </c>
      <c r="H1976" t="inlineStr">
        <is>
          <t>460</t>
        </is>
      </c>
      <c r="I1976" s="2" t="n">
        <v>460</v>
      </c>
      <c r="J1976" s="2" t="n">
        <v>460</v>
      </c>
      <c r="L1976" s="3" t="n"/>
      <c r="M1976" s="3" t="n"/>
      <c r="N1976" s="3" t="n">
        <v>30.7</v>
      </c>
      <c r="O1976" s="3" t="n"/>
      <c r="P1976" s="3">
        <f>IF(L1976&lt;&gt;"",L1976/1.4,"")</f>
        <v/>
      </c>
      <c r="Q1976" s="3">
        <f>IF(L1976&lt;&gt;"",L1976/1.56,"")</f>
        <v/>
      </c>
      <c r="R1976" s="3">
        <f>IF(M1976&lt;&gt;"",M1976/1.4,"")</f>
        <v/>
      </c>
      <c r="S1976" s="3">
        <f>IF(M1976&lt;&gt;"",M1976/1.56,"")</f>
        <v/>
      </c>
      <c r="T1976" s="3">
        <f>IF(N1976&lt;&gt;"",N1976,IF(O1976&lt;&gt;"",O1976,IF(L1976&lt;&gt;"",L1976/1.56,IF(M1976&lt;&gt;"",M1976/1.56,""))))</f>
        <v/>
      </c>
      <c r="U1976" s="3" t="n">
        <v>154</v>
      </c>
      <c r="V1976" s="3" t="n"/>
      <c r="W1976" s="3" t="n"/>
      <c r="X1976" s="4" t="n"/>
      <c r="Y1976" s="5" t="n">
        <v>0.6899999999999999</v>
      </c>
      <c r="Z1976" s="4">
        <f>IF(L1976&lt;&gt;"",SQRT(3)*G1976*L1976/1000,"")</f>
        <v/>
      </c>
      <c r="AA1976" t="inlineStr">
        <is>
          <t>Source=Copeland 2D/3D/4D/4R/6D/8D/9R compressors (pdf) p105</t>
        </is>
      </c>
      <c r="AB1976" t="inlineStr">
        <is>
          <t>Copeland_RLA_230_460_3ph_60Hz.xlsx</t>
        </is>
      </c>
      <c r="AC1976" t="inlineStr">
        <is>
          <t>Recip_2D-9R</t>
        </is>
      </c>
    </row>
    <row r="1977">
      <c r="A1977" t="inlineStr">
        <is>
          <t>COPELAND</t>
        </is>
      </c>
      <c r="B1977" t="inlineStr">
        <is>
          <t>6RB5-2000-TSK</t>
        </is>
      </c>
      <c r="D1977" t="inlineStr">
        <is>
          <t>Reciprocating Semi-hermetic</t>
        </is>
      </c>
      <c r="E1977" s="2" t="n">
        <v>3</v>
      </c>
      <c r="F1977" s="2" t="n">
        <v>60</v>
      </c>
      <c r="G1977" s="2" t="n">
        <v>230</v>
      </c>
      <c r="H1977" t="inlineStr">
        <is>
          <t>208/230</t>
        </is>
      </c>
      <c r="I1977" s="2" t="n">
        <v>208</v>
      </c>
      <c r="J1977" s="2" t="n">
        <v>230</v>
      </c>
      <c r="L1977" s="3" t="n"/>
      <c r="M1977" s="3" t="n"/>
      <c r="N1977" s="3" t="n">
        <v>61.4</v>
      </c>
      <c r="O1977" s="3" t="n"/>
      <c r="P1977" s="3">
        <f>IF(L1977&lt;&gt;"",L1977/1.4,"")</f>
        <v/>
      </c>
      <c r="Q1977" s="3">
        <f>IF(L1977&lt;&gt;"",L1977/1.56,"")</f>
        <v/>
      </c>
      <c r="R1977" s="3">
        <f>IF(M1977&lt;&gt;"",M1977/1.4,"")</f>
        <v/>
      </c>
      <c r="S1977" s="3">
        <f>IF(M1977&lt;&gt;"",M1977/1.56,"")</f>
        <v/>
      </c>
      <c r="T1977" s="3">
        <f>IF(N1977&lt;&gt;"",N1977,IF(O1977&lt;&gt;"",O1977,IF(L1977&lt;&gt;"",L1977/1.56,IF(M1977&lt;&gt;"",M1977/1.56,""))))</f>
        <v/>
      </c>
      <c r="U1977" s="3" t="n">
        <v>308</v>
      </c>
      <c r="V1977" s="3" t="n">
        <v>188</v>
      </c>
      <c r="W1977" s="3" t="n"/>
      <c r="X1977" s="4" t="n"/>
      <c r="Y1977" s="5" t="n">
        <v>0.173</v>
      </c>
      <c r="Z1977" s="4">
        <f>IF(L1977&lt;&gt;"",SQRT(3)*G1977*L1977/1000,"")</f>
        <v/>
      </c>
      <c r="AA1977" t="inlineStr">
        <is>
          <t>Source=Copeland 2D/3D/4D/4R/6D/8D/9R compressors (pdf) p105; PWS_RLA=30.7</t>
        </is>
      </c>
      <c r="AB1977" t="inlineStr">
        <is>
          <t>Copeland_RLA_230_460_3ph_60Hz.xlsx</t>
        </is>
      </c>
      <c r="AC1977" t="inlineStr">
        <is>
          <t>Recip_2D-9R</t>
        </is>
      </c>
    </row>
    <row r="1978">
      <c r="A1978" t="inlineStr">
        <is>
          <t>COPELAND</t>
        </is>
      </c>
      <c r="B1978" t="inlineStr">
        <is>
          <t>6RB5-2000-TSK</t>
        </is>
      </c>
      <c r="D1978" t="inlineStr">
        <is>
          <t>Reciprocating Semi-hermetic</t>
        </is>
      </c>
      <c r="E1978" s="2" t="n">
        <v>3</v>
      </c>
      <c r="F1978" s="2" t="n">
        <v>60</v>
      </c>
      <c r="G1978" s="2" t="n">
        <v>460</v>
      </c>
      <c r="H1978" t="inlineStr">
        <is>
          <t>460</t>
        </is>
      </c>
      <c r="I1978" s="2" t="n">
        <v>460</v>
      </c>
      <c r="J1978" s="2" t="n">
        <v>460</v>
      </c>
      <c r="L1978" s="3" t="n"/>
      <c r="M1978" s="3" t="n"/>
      <c r="N1978" s="3" t="n">
        <v>30.7</v>
      </c>
      <c r="O1978" s="3" t="n"/>
      <c r="P1978" s="3">
        <f>IF(L1978&lt;&gt;"",L1978/1.4,"")</f>
        <v/>
      </c>
      <c r="Q1978" s="3">
        <f>IF(L1978&lt;&gt;"",L1978/1.56,"")</f>
        <v/>
      </c>
      <c r="R1978" s="3">
        <f>IF(M1978&lt;&gt;"",M1978/1.4,"")</f>
        <v/>
      </c>
      <c r="S1978" s="3">
        <f>IF(M1978&lt;&gt;"",M1978/1.56,"")</f>
        <v/>
      </c>
      <c r="T1978" s="3">
        <f>IF(N1978&lt;&gt;"",N1978,IF(O1978&lt;&gt;"",O1978,IF(L1978&lt;&gt;"",L1978/1.56,IF(M1978&lt;&gt;"",M1978/1.56,""))))</f>
        <v/>
      </c>
      <c r="U1978" s="3" t="n">
        <v>154</v>
      </c>
      <c r="V1978" s="3" t="n"/>
      <c r="W1978" s="3" t="n"/>
      <c r="X1978" s="4" t="n"/>
      <c r="Y1978" s="5" t="n">
        <v>0.6899999999999999</v>
      </c>
      <c r="Z1978" s="4">
        <f>IF(L1978&lt;&gt;"",SQRT(3)*G1978*L1978/1000,"")</f>
        <v/>
      </c>
      <c r="AA1978" t="inlineStr">
        <is>
          <t>Source=Copeland 2D/3D/4D/4R/6D/8D/9R compressors (pdf) p105</t>
        </is>
      </c>
      <c r="AB1978" t="inlineStr">
        <is>
          <t>Copeland_RLA_230_460_3ph_60Hz.xlsx</t>
        </is>
      </c>
      <c r="AC1978" t="inlineStr">
        <is>
          <t>Recip_2D-9R</t>
        </is>
      </c>
    </row>
    <row r="1979">
      <c r="A1979" t="inlineStr">
        <is>
          <t>COPELAND</t>
        </is>
      </c>
      <c r="B1979" t="inlineStr">
        <is>
          <t>6RE2-2000-FSD</t>
        </is>
      </c>
      <c r="D1979" t="inlineStr">
        <is>
          <t>Reciprocating Semi-hermetic</t>
        </is>
      </c>
      <c r="E1979" s="2" t="n">
        <v>3</v>
      </c>
      <c r="F1979" s="2" t="n">
        <v>60</v>
      </c>
      <c r="G1979" s="2" t="n">
        <v>460</v>
      </c>
      <c r="H1979" t="inlineStr">
        <is>
          <t>460</t>
        </is>
      </c>
      <c r="I1979" s="2" t="n">
        <v>460</v>
      </c>
      <c r="J1979" s="2" t="n">
        <v>460</v>
      </c>
      <c r="L1979" s="3" t="n"/>
      <c r="M1979" s="3" t="n"/>
      <c r="N1979" s="3" t="n">
        <v>38.9</v>
      </c>
      <c r="O1979" s="3" t="n"/>
      <c r="P1979" s="3">
        <f>IF(L1979&lt;&gt;"",L1979/1.4,"")</f>
        <v/>
      </c>
      <c r="Q1979" s="3">
        <f>IF(L1979&lt;&gt;"",L1979/1.56,"")</f>
        <v/>
      </c>
      <c r="R1979" s="3">
        <f>IF(M1979&lt;&gt;"",M1979/1.4,"")</f>
        <v/>
      </c>
      <c r="S1979" s="3">
        <f>IF(M1979&lt;&gt;"",M1979/1.56,"")</f>
        <v/>
      </c>
      <c r="T1979" s="3">
        <f>IF(N1979&lt;&gt;"",N1979,IF(O1979&lt;&gt;"",O1979,IF(L1979&lt;&gt;"",L1979/1.56,IF(M1979&lt;&gt;"",M1979/1.56,""))))</f>
        <v/>
      </c>
      <c r="U1979" s="3" t="n">
        <v>135</v>
      </c>
      <c r="V1979" s="3" t="n">
        <v>82</v>
      </c>
      <c r="W1979" s="3" t="n"/>
      <c r="X1979" s="4" t="n"/>
      <c r="Y1979" s="5" t="n">
        <v>0.757</v>
      </c>
      <c r="Z1979" s="4">
        <f>IF(L1979&lt;&gt;"",SQRT(3)*G1979*L1979/1000,"")</f>
        <v/>
      </c>
      <c r="AA1979" t="inlineStr">
        <is>
          <t>Source=Copeland 2D/3D/4D/4R/6D/8D/9R compressors (pdf) p105; PWS_RLA=19.4</t>
        </is>
      </c>
      <c r="AB1979" t="inlineStr">
        <is>
          <t>Copeland_RLA_230_460_3ph_60Hz.xlsx</t>
        </is>
      </c>
      <c r="AC1979" t="inlineStr">
        <is>
          <t>Recip_2D-9R</t>
        </is>
      </c>
    </row>
    <row r="1980">
      <c r="A1980" t="inlineStr">
        <is>
          <t>COPELAND</t>
        </is>
      </c>
      <c r="B1980" t="inlineStr">
        <is>
          <t>6RE2-2000-TSK</t>
        </is>
      </c>
      <c r="D1980" t="inlineStr">
        <is>
          <t>Reciprocating Semi-hermetic</t>
        </is>
      </c>
      <c r="E1980" s="2" t="n">
        <v>3</v>
      </c>
      <c r="F1980" s="2" t="n">
        <v>60</v>
      </c>
      <c r="G1980" s="2" t="n">
        <v>230</v>
      </c>
      <c r="H1980" t="inlineStr">
        <is>
          <t>208/230</t>
        </is>
      </c>
      <c r="I1980" s="2" t="n">
        <v>208</v>
      </c>
      <c r="J1980" s="2" t="n">
        <v>230</v>
      </c>
      <c r="L1980" s="3" t="n"/>
      <c r="M1980" s="3" t="n"/>
      <c r="N1980" s="3" t="n">
        <v>65.40000000000001</v>
      </c>
      <c r="O1980" s="3" t="n"/>
      <c r="P1980" s="3">
        <f>IF(L1980&lt;&gt;"",L1980/1.4,"")</f>
        <v/>
      </c>
      <c r="Q1980" s="3">
        <f>IF(L1980&lt;&gt;"",L1980/1.56,"")</f>
        <v/>
      </c>
      <c r="R1980" s="3">
        <f>IF(M1980&lt;&gt;"",M1980/1.4,"")</f>
        <v/>
      </c>
      <c r="S1980" s="3">
        <f>IF(M1980&lt;&gt;"",M1980/1.56,"")</f>
        <v/>
      </c>
      <c r="T1980" s="3">
        <f>IF(N1980&lt;&gt;"",N1980,IF(O1980&lt;&gt;"",O1980,IF(L1980&lt;&gt;"",L1980/1.56,IF(M1980&lt;&gt;"",M1980/1.56,""))))</f>
        <v/>
      </c>
      <c r="U1980" s="3" t="n">
        <v>308</v>
      </c>
      <c r="V1980" s="3" t="n">
        <v>188</v>
      </c>
      <c r="W1980" s="3" t="n"/>
      <c r="X1980" s="4" t="n"/>
      <c r="Y1980" s="5" t="n">
        <v>0.173</v>
      </c>
      <c r="Z1980" s="4">
        <f>IF(L1980&lt;&gt;"",SQRT(3)*G1980*L1980/1000,"")</f>
        <v/>
      </c>
      <c r="AA1980" t="inlineStr">
        <is>
          <t>Source=Copeland 2D/3D/4D/4R/6D/8D/9R compressors (pdf) p105; PWS_RLA=33.7</t>
        </is>
      </c>
      <c r="AB1980" t="inlineStr">
        <is>
          <t>Copeland_RLA_230_460_3ph_60Hz.xlsx</t>
        </is>
      </c>
      <c r="AC1980" t="inlineStr">
        <is>
          <t>Recip_2D-9R</t>
        </is>
      </c>
    </row>
    <row r="1981">
      <c r="A1981" t="inlineStr">
        <is>
          <t>COPELAND</t>
        </is>
      </c>
      <c r="B1981" t="inlineStr">
        <is>
          <t>6RE2-2000-TSK</t>
        </is>
      </c>
      <c r="D1981" t="inlineStr">
        <is>
          <t>Reciprocating Semi-hermetic</t>
        </is>
      </c>
      <c r="E1981" s="2" t="n">
        <v>3</v>
      </c>
      <c r="F1981" s="2" t="n">
        <v>60</v>
      </c>
      <c r="G1981" s="2" t="n">
        <v>460</v>
      </c>
      <c r="H1981" t="inlineStr">
        <is>
          <t>460</t>
        </is>
      </c>
      <c r="I1981" s="2" t="n">
        <v>460</v>
      </c>
      <c r="J1981" s="2" t="n">
        <v>460</v>
      </c>
      <c r="L1981" s="3" t="n"/>
      <c r="M1981" s="3" t="n"/>
      <c r="N1981" s="3" t="n">
        <v>32.5</v>
      </c>
      <c r="O1981" s="3" t="n"/>
      <c r="P1981" s="3">
        <f>IF(L1981&lt;&gt;"",L1981/1.4,"")</f>
        <v/>
      </c>
      <c r="Q1981" s="3">
        <f>IF(L1981&lt;&gt;"",L1981/1.56,"")</f>
        <v/>
      </c>
      <c r="R1981" s="3">
        <f>IF(M1981&lt;&gt;"",M1981/1.4,"")</f>
        <v/>
      </c>
      <c r="S1981" s="3">
        <f>IF(M1981&lt;&gt;"",M1981/1.56,"")</f>
        <v/>
      </c>
      <c r="T1981" s="3">
        <f>IF(N1981&lt;&gt;"",N1981,IF(O1981&lt;&gt;"",O1981,IF(L1981&lt;&gt;"",L1981/1.56,IF(M1981&lt;&gt;"",M1981/1.56,""))))</f>
        <v/>
      </c>
      <c r="U1981" s="3" t="n">
        <v>154</v>
      </c>
      <c r="V1981" s="3" t="n"/>
      <c r="W1981" s="3" t="n"/>
      <c r="X1981" s="4" t="n"/>
      <c r="Y1981" s="5" t="n">
        <v>0.6899999999999999</v>
      </c>
      <c r="Z1981" s="4">
        <f>IF(L1981&lt;&gt;"",SQRT(3)*G1981*L1981/1000,"")</f>
        <v/>
      </c>
      <c r="AA1981" t="inlineStr">
        <is>
          <t>Source=Copeland 2D/3D/4D/4R/6D/8D/9R compressors (pdf) p105</t>
        </is>
      </c>
      <c r="AB1981" t="inlineStr">
        <is>
          <t>Copeland_RLA_230_460_3ph_60Hz.xlsx</t>
        </is>
      </c>
      <c r="AC1981" t="inlineStr">
        <is>
          <t>Recip_2D-9R</t>
        </is>
      </c>
    </row>
    <row r="1982">
      <c r="A1982" t="inlineStr">
        <is>
          <t>COPELAND</t>
        </is>
      </c>
      <c r="B1982" t="inlineStr">
        <is>
          <t>6RE2-200A-TSK</t>
        </is>
      </c>
      <c r="D1982" t="inlineStr">
        <is>
          <t>Reciprocating Semi-hermetic</t>
        </is>
      </c>
      <c r="E1982" s="2" t="n">
        <v>3</v>
      </c>
      <c r="F1982" s="2" t="n">
        <v>60</v>
      </c>
      <c r="G1982" s="2" t="n">
        <v>230</v>
      </c>
      <c r="H1982" t="inlineStr">
        <is>
          <t>208/230</t>
        </is>
      </c>
      <c r="I1982" s="2" t="n">
        <v>208</v>
      </c>
      <c r="J1982" s="2" t="n">
        <v>230</v>
      </c>
      <c r="L1982" s="3" t="n"/>
      <c r="M1982" s="3" t="n"/>
      <c r="N1982" s="3" t="n">
        <v>65.40000000000001</v>
      </c>
      <c r="O1982" s="3" t="n"/>
      <c r="P1982" s="3">
        <f>IF(L1982&lt;&gt;"",L1982/1.4,"")</f>
        <v/>
      </c>
      <c r="Q1982" s="3">
        <f>IF(L1982&lt;&gt;"",L1982/1.56,"")</f>
        <v/>
      </c>
      <c r="R1982" s="3">
        <f>IF(M1982&lt;&gt;"",M1982/1.4,"")</f>
        <v/>
      </c>
      <c r="S1982" s="3">
        <f>IF(M1982&lt;&gt;"",M1982/1.56,"")</f>
        <v/>
      </c>
      <c r="T1982" s="3">
        <f>IF(N1982&lt;&gt;"",N1982,IF(O1982&lt;&gt;"",O1982,IF(L1982&lt;&gt;"",L1982/1.56,IF(M1982&lt;&gt;"",M1982/1.56,""))))</f>
        <v/>
      </c>
      <c r="U1982" s="3" t="n">
        <v>308</v>
      </c>
      <c r="V1982" s="3" t="n">
        <v>188</v>
      </c>
      <c r="W1982" s="3" t="n"/>
      <c r="X1982" s="4" t="n"/>
      <c r="Y1982" s="5" t="n">
        <v>0.173</v>
      </c>
      <c r="Z1982" s="4">
        <f>IF(L1982&lt;&gt;"",SQRT(3)*G1982*L1982/1000,"")</f>
        <v/>
      </c>
      <c r="AA1982" t="inlineStr">
        <is>
          <t>Source=Copeland 2D/3D/4D/4R/6D/8D/9R compressors (pdf) p105; PWS_RLA=33.7</t>
        </is>
      </c>
      <c r="AB1982" t="inlineStr">
        <is>
          <t>Copeland_RLA_230_460_3ph_60Hz.xlsx</t>
        </is>
      </c>
      <c r="AC1982" t="inlineStr">
        <is>
          <t>Recip_2D-9R</t>
        </is>
      </c>
    </row>
    <row r="1983">
      <c r="A1983" t="inlineStr">
        <is>
          <t>COPELAND</t>
        </is>
      </c>
      <c r="B1983" t="inlineStr">
        <is>
          <t>6RE2-200A-TSK</t>
        </is>
      </c>
      <c r="D1983" t="inlineStr">
        <is>
          <t>Reciprocating Semi-hermetic</t>
        </is>
      </c>
      <c r="E1983" s="2" t="n">
        <v>3</v>
      </c>
      <c r="F1983" s="2" t="n">
        <v>60</v>
      </c>
      <c r="G1983" s="2" t="n">
        <v>460</v>
      </c>
      <c r="H1983" t="inlineStr">
        <is>
          <t>460</t>
        </is>
      </c>
      <c r="I1983" s="2" t="n">
        <v>460</v>
      </c>
      <c r="J1983" s="2" t="n">
        <v>460</v>
      </c>
      <c r="L1983" s="3" t="n"/>
      <c r="M1983" s="3" t="n"/>
      <c r="N1983" s="3" t="n">
        <v>32.5</v>
      </c>
      <c r="O1983" s="3" t="n"/>
      <c r="P1983" s="3">
        <f>IF(L1983&lt;&gt;"",L1983/1.4,"")</f>
        <v/>
      </c>
      <c r="Q1983" s="3">
        <f>IF(L1983&lt;&gt;"",L1983/1.56,"")</f>
        <v/>
      </c>
      <c r="R1983" s="3">
        <f>IF(M1983&lt;&gt;"",M1983/1.4,"")</f>
        <v/>
      </c>
      <c r="S1983" s="3">
        <f>IF(M1983&lt;&gt;"",M1983/1.56,"")</f>
        <v/>
      </c>
      <c r="T1983" s="3">
        <f>IF(N1983&lt;&gt;"",N1983,IF(O1983&lt;&gt;"",O1983,IF(L1983&lt;&gt;"",L1983/1.56,IF(M1983&lt;&gt;"",M1983/1.56,""))))</f>
        <v/>
      </c>
      <c r="U1983" s="3" t="n">
        <v>154</v>
      </c>
      <c r="V1983" s="3" t="n"/>
      <c r="W1983" s="3" t="n"/>
      <c r="X1983" s="4" t="n"/>
      <c r="Y1983" s="5" t="n">
        <v>0.6899999999999999</v>
      </c>
      <c r="Z1983" s="4">
        <f>IF(L1983&lt;&gt;"",SQRT(3)*G1983*L1983/1000,"")</f>
        <v/>
      </c>
      <c r="AA1983" t="inlineStr">
        <is>
          <t>Source=Copeland 2D/3D/4D/4R/6D/8D/9R compressors (pdf) p105</t>
        </is>
      </c>
      <c r="AB1983" t="inlineStr">
        <is>
          <t>Copeland_RLA_230_460_3ph_60Hz.xlsx</t>
        </is>
      </c>
      <c r="AC1983" t="inlineStr">
        <is>
          <t>Recip_2D-9R</t>
        </is>
      </c>
    </row>
    <row r="1984">
      <c r="A1984" t="inlineStr">
        <is>
          <t>COPELAND</t>
        </is>
      </c>
      <c r="B1984" t="inlineStr">
        <is>
          <t>6RE2-3000-FSD</t>
        </is>
      </c>
      <c r="D1984" t="inlineStr">
        <is>
          <t>Reciprocating Semi-hermetic</t>
        </is>
      </c>
      <c r="E1984" s="2" t="n">
        <v>3</v>
      </c>
      <c r="F1984" s="2" t="n">
        <v>60</v>
      </c>
      <c r="G1984" s="2" t="n">
        <v>460</v>
      </c>
      <c r="H1984" t="inlineStr">
        <is>
          <t>460</t>
        </is>
      </c>
      <c r="I1984" s="2" t="n">
        <v>460</v>
      </c>
      <c r="J1984" s="2" t="n">
        <v>460</v>
      </c>
      <c r="L1984" s="3" t="n"/>
      <c r="M1984" s="3" t="n"/>
      <c r="N1984" s="3" t="n">
        <v>50</v>
      </c>
      <c r="O1984" s="3" t="n"/>
      <c r="P1984" s="3">
        <f>IF(L1984&lt;&gt;"",L1984/1.4,"")</f>
        <v/>
      </c>
      <c r="Q1984" s="3">
        <f>IF(L1984&lt;&gt;"",L1984/1.56,"")</f>
        <v/>
      </c>
      <c r="R1984" s="3">
        <f>IF(M1984&lt;&gt;"",M1984/1.4,"")</f>
        <v/>
      </c>
      <c r="S1984" s="3">
        <f>IF(M1984&lt;&gt;"",M1984/1.56,"")</f>
        <v/>
      </c>
      <c r="T1984" s="3">
        <f>IF(N1984&lt;&gt;"",N1984,IF(O1984&lt;&gt;"",O1984,IF(L1984&lt;&gt;"",L1984/1.56,IF(M1984&lt;&gt;"",M1984/1.56,""))))</f>
        <v/>
      </c>
      <c r="U1984" s="3" t="n">
        <v>200</v>
      </c>
      <c r="V1984" s="3" t="n">
        <v>121</v>
      </c>
      <c r="W1984" s="3" t="n"/>
      <c r="X1984" s="4" t="n"/>
      <c r="Y1984" s="5" t="n">
        <v>0.475</v>
      </c>
      <c r="Z1984" s="4">
        <f>IF(L1984&lt;&gt;"",SQRT(3)*G1984*L1984/1000,"")</f>
        <v/>
      </c>
      <c r="AA1984" t="inlineStr">
        <is>
          <t>Source=Copeland 2D/3D/4D/4R/6D/8D/9R compressors (pdf) p105; PWS_RLA=25.3</t>
        </is>
      </c>
      <c r="AB1984" t="inlineStr">
        <is>
          <t>Copeland_RLA_230_460_3ph_60Hz.xlsx</t>
        </is>
      </c>
      <c r="AC1984" t="inlineStr">
        <is>
          <t>Recip_2D-9R</t>
        </is>
      </c>
    </row>
    <row r="1985">
      <c r="A1985" t="inlineStr">
        <is>
          <t>COPELAND</t>
        </is>
      </c>
      <c r="B1985" t="inlineStr">
        <is>
          <t>6RE2-3000-TSK</t>
        </is>
      </c>
      <c r="D1985" t="inlineStr">
        <is>
          <t>Reciprocating Semi-hermetic</t>
        </is>
      </c>
      <c r="E1985" s="2" t="n">
        <v>3</v>
      </c>
      <c r="F1985" s="2" t="n">
        <v>60</v>
      </c>
      <c r="G1985" s="2" t="n">
        <v>230</v>
      </c>
      <c r="H1985" t="inlineStr">
        <is>
          <t>208/230</t>
        </is>
      </c>
      <c r="I1985" s="2" t="n">
        <v>208</v>
      </c>
      <c r="J1985" s="2" t="n">
        <v>230</v>
      </c>
      <c r="L1985" s="3" t="n"/>
      <c r="M1985" s="3" t="n"/>
      <c r="N1985" s="3" t="n">
        <v>104.3</v>
      </c>
      <c r="O1985" s="3" t="n"/>
      <c r="P1985" s="3">
        <f>IF(L1985&lt;&gt;"",L1985/1.4,"")</f>
        <v/>
      </c>
      <c r="Q1985" s="3">
        <f>IF(L1985&lt;&gt;"",L1985/1.56,"")</f>
        <v/>
      </c>
      <c r="R1985" s="3">
        <f>IF(M1985&lt;&gt;"",M1985/1.4,"")</f>
        <v/>
      </c>
      <c r="S1985" s="3">
        <f>IF(M1985&lt;&gt;"",M1985/1.56,"")</f>
        <v/>
      </c>
      <c r="T1985" s="3">
        <f>IF(N1985&lt;&gt;"",N1985,IF(O1985&lt;&gt;"",O1985,IF(L1985&lt;&gt;"",L1985/1.56,IF(M1985&lt;&gt;"",M1985/1.56,""))))</f>
        <v/>
      </c>
      <c r="U1985" s="3" t="n">
        <v>470</v>
      </c>
      <c r="V1985" s="3" t="n">
        <v>292</v>
      </c>
      <c r="W1985" s="3" t="n"/>
      <c r="X1985" s="4" t="n"/>
      <c r="Y1985" s="5" t="n">
        <v>0.108</v>
      </c>
      <c r="Z1985" s="4">
        <f>IF(L1985&lt;&gt;"",SQRT(3)*G1985*L1985/1000,"")</f>
        <v/>
      </c>
      <c r="AA1985" t="inlineStr">
        <is>
          <t>Source=Copeland 2D/3D/4D/4R/6D/8D/9R compressors (pdf) p106; PWS_RLA=52.5</t>
        </is>
      </c>
      <c r="AB1985" t="inlineStr">
        <is>
          <t>Copeland_RLA_230_460_3ph_60Hz.xlsx</t>
        </is>
      </c>
      <c r="AC1985" t="inlineStr">
        <is>
          <t>Recip_2D-9R</t>
        </is>
      </c>
    </row>
    <row r="1986">
      <c r="A1986" t="inlineStr">
        <is>
          <t>COPELAND</t>
        </is>
      </c>
      <c r="B1986" t="inlineStr">
        <is>
          <t>6RE2-3000-TSK</t>
        </is>
      </c>
      <c r="D1986" t="inlineStr">
        <is>
          <t>Reciprocating Semi-hermetic</t>
        </is>
      </c>
      <c r="E1986" s="2" t="n">
        <v>3</v>
      </c>
      <c r="F1986" s="2" t="n">
        <v>60</v>
      </c>
      <c r="G1986" s="2" t="n">
        <v>460</v>
      </c>
      <c r="H1986" t="inlineStr">
        <is>
          <t>460</t>
        </is>
      </c>
      <c r="I1986" s="2" t="n">
        <v>460</v>
      </c>
      <c r="J1986" s="2" t="n">
        <v>460</v>
      </c>
      <c r="L1986" s="3" t="n"/>
      <c r="M1986" s="3" t="n"/>
      <c r="N1986" s="3" t="n">
        <v>52.1</v>
      </c>
      <c r="O1986" s="3" t="n"/>
      <c r="P1986" s="3">
        <f>IF(L1986&lt;&gt;"",L1986/1.4,"")</f>
        <v/>
      </c>
      <c r="Q1986" s="3">
        <f>IF(L1986&lt;&gt;"",L1986/1.56,"")</f>
        <v/>
      </c>
      <c r="R1986" s="3">
        <f>IF(M1986&lt;&gt;"",M1986/1.4,"")</f>
        <v/>
      </c>
      <c r="S1986" s="3">
        <f>IF(M1986&lt;&gt;"",M1986/1.56,"")</f>
        <v/>
      </c>
      <c r="T1986" s="3">
        <f>IF(N1986&lt;&gt;"",N1986,IF(O1986&lt;&gt;"",O1986,IF(L1986&lt;&gt;"",L1986/1.56,IF(M1986&lt;&gt;"",M1986/1.56,""))))</f>
        <v/>
      </c>
      <c r="U1986" s="3" t="n">
        <v>235</v>
      </c>
      <c r="V1986" s="3" t="n"/>
      <c r="W1986" s="3" t="n"/>
      <c r="X1986" s="4" t="n"/>
      <c r="Y1986" s="5" t="n">
        <v>0.43</v>
      </c>
      <c r="Z1986" s="4">
        <f>IF(L1986&lt;&gt;"",SQRT(3)*G1986*L1986/1000,"")</f>
        <v/>
      </c>
      <c r="AA1986" t="inlineStr">
        <is>
          <t>Source=Copeland 2D/3D/4D/4R/6D/8D/9R compressors (pdf) p106</t>
        </is>
      </c>
      <c r="AB1986" t="inlineStr">
        <is>
          <t>Copeland_RLA_230_460_3ph_60Hz.xlsx</t>
        </is>
      </c>
      <c r="AC1986" t="inlineStr">
        <is>
          <t>Recip_2D-9R</t>
        </is>
      </c>
    </row>
    <row r="1987">
      <c r="A1987" t="inlineStr">
        <is>
          <t>COPELAND</t>
        </is>
      </c>
      <c r="B1987" t="inlineStr">
        <is>
          <t>6RE2-300A-TSK</t>
        </is>
      </c>
      <c r="D1987" t="inlineStr">
        <is>
          <t>Reciprocating Semi-hermetic</t>
        </is>
      </c>
      <c r="E1987" s="2" t="n">
        <v>3</v>
      </c>
      <c r="F1987" s="2" t="n">
        <v>60</v>
      </c>
      <c r="G1987" s="2" t="n">
        <v>230</v>
      </c>
      <c r="H1987" t="inlineStr">
        <is>
          <t>208/230</t>
        </is>
      </c>
      <c r="I1987" s="2" t="n">
        <v>208</v>
      </c>
      <c r="J1987" s="2" t="n">
        <v>230</v>
      </c>
      <c r="L1987" s="3" t="n"/>
      <c r="M1987" s="3" t="n"/>
      <c r="N1987" s="3" t="n">
        <v>104.3</v>
      </c>
      <c r="O1987" s="3" t="n"/>
      <c r="P1987" s="3">
        <f>IF(L1987&lt;&gt;"",L1987/1.4,"")</f>
        <v/>
      </c>
      <c r="Q1987" s="3">
        <f>IF(L1987&lt;&gt;"",L1987/1.56,"")</f>
        <v/>
      </c>
      <c r="R1987" s="3">
        <f>IF(M1987&lt;&gt;"",M1987/1.4,"")</f>
        <v/>
      </c>
      <c r="S1987" s="3">
        <f>IF(M1987&lt;&gt;"",M1987/1.56,"")</f>
        <v/>
      </c>
      <c r="T1987" s="3">
        <f>IF(N1987&lt;&gt;"",N1987,IF(O1987&lt;&gt;"",O1987,IF(L1987&lt;&gt;"",L1987/1.56,IF(M1987&lt;&gt;"",M1987/1.56,""))))</f>
        <v/>
      </c>
      <c r="U1987" s="3" t="n">
        <v>470</v>
      </c>
      <c r="V1987" s="3" t="n">
        <v>292</v>
      </c>
      <c r="W1987" s="3" t="n"/>
      <c r="X1987" s="4" t="n"/>
      <c r="Y1987" s="5" t="n">
        <v>0.108</v>
      </c>
      <c r="Z1987" s="4">
        <f>IF(L1987&lt;&gt;"",SQRT(3)*G1987*L1987/1000,"")</f>
        <v/>
      </c>
      <c r="AA1987" t="inlineStr">
        <is>
          <t>Source=Copeland 2D/3D/4D/4R/6D/8D/9R compressors (pdf) p106; PWS_RLA=52.5</t>
        </is>
      </c>
      <c r="AB1987" t="inlineStr">
        <is>
          <t>Copeland_RLA_230_460_3ph_60Hz.xlsx</t>
        </is>
      </c>
      <c r="AC1987" t="inlineStr">
        <is>
          <t>Recip_2D-9R</t>
        </is>
      </c>
    </row>
    <row r="1988">
      <c r="A1988" t="inlineStr">
        <is>
          <t>COPELAND</t>
        </is>
      </c>
      <c r="B1988" t="inlineStr">
        <is>
          <t>6RE2-300A-TSK</t>
        </is>
      </c>
      <c r="D1988" t="inlineStr">
        <is>
          <t>Reciprocating Semi-hermetic</t>
        </is>
      </c>
      <c r="E1988" s="2" t="n">
        <v>3</v>
      </c>
      <c r="F1988" s="2" t="n">
        <v>60</v>
      </c>
      <c r="G1988" s="2" t="n">
        <v>460</v>
      </c>
      <c r="H1988" t="inlineStr">
        <is>
          <t>460</t>
        </is>
      </c>
      <c r="I1988" s="2" t="n">
        <v>460</v>
      </c>
      <c r="J1988" s="2" t="n">
        <v>460</v>
      </c>
      <c r="L1988" s="3" t="n"/>
      <c r="M1988" s="3" t="n"/>
      <c r="N1988" s="3" t="n">
        <v>52.1</v>
      </c>
      <c r="O1988" s="3" t="n"/>
      <c r="P1988" s="3">
        <f>IF(L1988&lt;&gt;"",L1988/1.4,"")</f>
        <v/>
      </c>
      <c r="Q1988" s="3">
        <f>IF(L1988&lt;&gt;"",L1988/1.56,"")</f>
        <v/>
      </c>
      <c r="R1988" s="3">
        <f>IF(M1988&lt;&gt;"",M1988/1.4,"")</f>
        <v/>
      </c>
      <c r="S1988" s="3">
        <f>IF(M1988&lt;&gt;"",M1988/1.56,"")</f>
        <v/>
      </c>
      <c r="T1988" s="3">
        <f>IF(N1988&lt;&gt;"",N1988,IF(O1988&lt;&gt;"",O1988,IF(L1988&lt;&gt;"",L1988/1.56,IF(M1988&lt;&gt;"",M1988/1.56,""))))</f>
        <v/>
      </c>
      <c r="U1988" s="3" t="n">
        <v>235</v>
      </c>
      <c r="V1988" s="3" t="n"/>
      <c r="W1988" s="3" t="n"/>
      <c r="X1988" s="4" t="n"/>
      <c r="Y1988" s="5" t="n">
        <v>0.43</v>
      </c>
      <c r="Z1988" s="4">
        <f>IF(L1988&lt;&gt;"",SQRT(3)*G1988*L1988/1000,"")</f>
        <v/>
      </c>
      <c r="AA1988" t="inlineStr">
        <is>
          <t>Source=Copeland 2D/3D/4D/4R/6D/8D/9R compressors (pdf) p106</t>
        </is>
      </c>
      <c r="AB1988" t="inlineStr">
        <is>
          <t>Copeland_RLA_230_460_3ph_60Hz.xlsx</t>
        </is>
      </c>
      <c r="AC1988" t="inlineStr">
        <is>
          <t>Recip_2D-9R</t>
        </is>
      </c>
    </row>
    <row r="1989">
      <c r="A1989" t="inlineStr">
        <is>
          <t>COPELAND</t>
        </is>
      </c>
      <c r="B1989" t="inlineStr">
        <is>
          <t>6RF5-2000-FSD</t>
        </is>
      </c>
      <c r="D1989" t="inlineStr">
        <is>
          <t>Reciprocating Semi-hermetic</t>
        </is>
      </c>
      <c r="E1989" s="2" t="n">
        <v>3</v>
      </c>
      <c r="F1989" s="2" t="n">
        <v>60</v>
      </c>
      <c r="G1989" s="2" t="n">
        <v>460</v>
      </c>
      <c r="H1989" t="inlineStr">
        <is>
          <t>460</t>
        </is>
      </c>
      <c r="I1989" s="2" t="n">
        <v>460</v>
      </c>
      <c r="J1989" s="2" t="n">
        <v>460</v>
      </c>
      <c r="L1989" s="3" t="n"/>
      <c r="M1989" s="3" t="n"/>
      <c r="N1989" s="3" t="n">
        <v>38.9</v>
      </c>
      <c r="O1989" s="3" t="n"/>
      <c r="P1989" s="3">
        <f>IF(L1989&lt;&gt;"",L1989/1.4,"")</f>
        <v/>
      </c>
      <c r="Q1989" s="3">
        <f>IF(L1989&lt;&gt;"",L1989/1.56,"")</f>
        <v/>
      </c>
      <c r="R1989" s="3">
        <f>IF(M1989&lt;&gt;"",M1989/1.4,"")</f>
        <v/>
      </c>
      <c r="S1989" s="3">
        <f>IF(M1989&lt;&gt;"",M1989/1.56,"")</f>
        <v/>
      </c>
      <c r="T1989" s="3">
        <f>IF(N1989&lt;&gt;"",N1989,IF(O1989&lt;&gt;"",O1989,IF(L1989&lt;&gt;"",L1989/1.56,IF(M1989&lt;&gt;"",M1989/1.56,""))))</f>
        <v/>
      </c>
      <c r="U1989" s="3" t="n">
        <v>135</v>
      </c>
      <c r="V1989" s="3" t="n">
        <v>82</v>
      </c>
      <c r="W1989" s="3" t="n"/>
      <c r="X1989" s="4" t="n"/>
      <c r="Y1989" s="5" t="n">
        <v>0.757</v>
      </c>
      <c r="Z1989" s="4">
        <f>IF(L1989&lt;&gt;"",SQRT(3)*G1989*L1989/1000,"")</f>
        <v/>
      </c>
      <c r="AA1989" t="inlineStr">
        <is>
          <t>Source=Copeland 2D/3D/4D/4R/6D/8D/9R compressors (pdf) p106; PWS_RLA=19.4</t>
        </is>
      </c>
      <c r="AB1989" t="inlineStr">
        <is>
          <t>Copeland_RLA_230_460_3ph_60Hz.xlsx</t>
        </is>
      </c>
      <c r="AC1989" t="inlineStr">
        <is>
          <t>Recip_2D-9R</t>
        </is>
      </c>
    </row>
    <row r="1990">
      <c r="A1990" t="inlineStr">
        <is>
          <t>COPELAND</t>
        </is>
      </c>
      <c r="B1990" t="inlineStr">
        <is>
          <t>6RH1-2000-TSK</t>
        </is>
      </c>
      <c r="D1990" t="inlineStr">
        <is>
          <t>Reciprocating Semi-hermetic</t>
        </is>
      </c>
      <c r="E1990" s="2" t="n">
        <v>3</v>
      </c>
      <c r="F1990" s="2" t="n">
        <v>60</v>
      </c>
      <c r="G1990" s="2" t="n">
        <v>230</v>
      </c>
      <c r="H1990" t="inlineStr">
        <is>
          <t>208/230</t>
        </is>
      </c>
      <c r="I1990" s="2" t="n">
        <v>208</v>
      </c>
      <c r="J1990" s="2" t="n">
        <v>230</v>
      </c>
      <c r="L1990" s="3" t="n"/>
      <c r="M1990" s="3" t="n"/>
      <c r="N1990" s="3" t="n">
        <v>72</v>
      </c>
      <c r="O1990" s="3" t="n"/>
      <c r="P1990" s="3">
        <f>IF(L1990&lt;&gt;"",L1990/1.4,"")</f>
        <v/>
      </c>
      <c r="Q1990" s="3">
        <f>IF(L1990&lt;&gt;"",L1990/1.56,"")</f>
        <v/>
      </c>
      <c r="R1990" s="3">
        <f>IF(M1990&lt;&gt;"",M1990/1.4,"")</f>
        <v/>
      </c>
      <c r="S1990" s="3">
        <f>IF(M1990&lt;&gt;"",M1990/1.56,"")</f>
        <v/>
      </c>
      <c r="T1990" s="3">
        <f>IF(N1990&lt;&gt;"",N1990,IF(O1990&lt;&gt;"",O1990,IF(L1990&lt;&gt;"",L1990/1.56,IF(M1990&lt;&gt;"",M1990/1.56,""))))</f>
        <v/>
      </c>
      <c r="U1990" s="3" t="n">
        <v>308</v>
      </c>
      <c r="V1990" s="3" t="n">
        <v>188</v>
      </c>
      <c r="W1990" s="3" t="n"/>
      <c r="X1990" s="4" t="n"/>
      <c r="Y1990" s="5" t="n">
        <v>0.174</v>
      </c>
      <c r="Z1990" s="4">
        <f>IF(L1990&lt;&gt;"",SQRT(3)*G1990*L1990/1000,"")</f>
        <v/>
      </c>
      <c r="AA1990" t="inlineStr">
        <is>
          <t>Source=Copeland 2D/3D/4D/4R/6D/8D/9R compressors (pdf) p106; PWS_RLA=36.0</t>
        </is>
      </c>
      <c r="AB1990" t="inlineStr">
        <is>
          <t>Copeland_RLA_230_460_3ph_60Hz.xlsx</t>
        </is>
      </c>
      <c r="AC1990" t="inlineStr">
        <is>
          <t>Recip_2D-9R</t>
        </is>
      </c>
    </row>
    <row r="1991">
      <c r="A1991" t="inlineStr">
        <is>
          <t>COPELAND</t>
        </is>
      </c>
      <c r="B1991" t="inlineStr">
        <is>
          <t>6RH1-2000-TSK</t>
        </is>
      </c>
      <c r="D1991" t="inlineStr">
        <is>
          <t>Reciprocating Semi-hermetic</t>
        </is>
      </c>
      <c r="E1991" s="2" t="n">
        <v>3</v>
      </c>
      <c r="F1991" s="2" t="n">
        <v>60</v>
      </c>
      <c r="G1991" s="2" t="n">
        <v>460</v>
      </c>
      <c r="H1991" t="inlineStr">
        <is>
          <t>460</t>
        </is>
      </c>
      <c r="I1991" s="2" t="n">
        <v>460</v>
      </c>
      <c r="J1991" s="2" t="n">
        <v>460</v>
      </c>
      <c r="L1991" s="3" t="n"/>
      <c r="M1991" s="3" t="n"/>
      <c r="N1991" s="3" t="n">
        <v>36</v>
      </c>
      <c r="O1991" s="3" t="n"/>
      <c r="P1991" s="3">
        <f>IF(L1991&lt;&gt;"",L1991/1.4,"")</f>
        <v/>
      </c>
      <c r="Q1991" s="3">
        <f>IF(L1991&lt;&gt;"",L1991/1.56,"")</f>
        <v/>
      </c>
      <c r="R1991" s="3">
        <f>IF(M1991&lt;&gt;"",M1991/1.4,"")</f>
        <v/>
      </c>
      <c r="S1991" s="3">
        <f>IF(M1991&lt;&gt;"",M1991/1.56,"")</f>
        <v/>
      </c>
      <c r="T1991" s="3">
        <f>IF(N1991&lt;&gt;"",N1991,IF(O1991&lt;&gt;"",O1991,IF(L1991&lt;&gt;"",L1991/1.56,IF(M1991&lt;&gt;"",M1991/1.56,""))))</f>
        <v/>
      </c>
      <c r="U1991" s="3" t="n">
        <v>154</v>
      </c>
      <c r="V1991" s="3" t="n"/>
      <c r="W1991" s="3" t="n"/>
      <c r="X1991" s="4" t="n"/>
      <c r="Y1991" s="5" t="n">
        <v>0.696</v>
      </c>
      <c r="Z1991" s="4">
        <f>IF(L1991&lt;&gt;"",SQRT(3)*G1991*L1991/1000,"")</f>
        <v/>
      </c>
      <c r="AA1991" t="inlineStr">
        <is>
          <t>Source=Copeland 2D/3D/4D/4R/6D/8D/9R compressors (pdf) p106</t>
        </is>
      </c>
      <c r="AB1991" t="inlineStr">
        <is>
          <t>Copeland_RLA_230_460_3ph_60Hz.xlsx</t>
        </is>
      </c>
      <c r="AC1991" t="inlineStr">
        <is>
          <t>Recip_2D-9R</t>
        </is>
      </c>
    </row>
    <row r="1992">
      <c r="A1992" t="inlineStr">
        <is>
          <t>COPELAND</t>
        </is>
      </c>
      <c r="B1992" t="inlineStr">
        <is>
          <t>6RH1-200A-TSK</t>
        </is>
      </c>
      <c r="D1992" t="inlineStr">
        <is>
          <t>Reciprocating Semi-hermetic</t>
        </is>
      </c>
      <c r="E1992" s="2" t="n">
        <v>3</v>
      </c>
      <c r="F1992" s="2" t="n">
        <v>60</v>
      </c>
      <c r="G1992" s="2" t="n">
        <v>230</v>
      </c>
      <c r="H1992" t="inlineStr">
        <is>
          <t>208/230</t>
        </is>
      </c>
      <c r="I1992" s="2" t="n">
        <v>208</v>
      </c>
      <c r="J1992" s="2" t="n">
        <v>230</v>
      </c>
      <c r="L1992" s="3" t="n"/>
      <c r="M1992" s="3" t="n"/>
      <c r="N1992" s="3" t="n">
        <v>72</v>
      </c>
      <c r="O1992" s="3" t="n"/>
      <c r="P1992" s="3">
        <f>IF(L1992&lt;&gt;"",L1992/1.4,"")</f>
        <v/>
      </c>
      <c r="Q1992" s="3">
        <f>IF(L1992&lt;&gt;"",L1992/1.56,"")</f>
        <v/>
      </c>
      <c r="R1992" s="3">
        <f>IF(M1992&lt;&gt;"",M1992/1.4,"")</f>
        <v/>
      </c>
      <c r="S1992" s="3">
        <f>IF(M1992&lt;&gt;"",M1992/1.56,"")</f>
        <v/>
      </c>
      <c r="T1992" s="3">
        <f>IF(N1992&lt;&gt;"",N1992,IF(O1992&lt;&gt;"",O1992,IF(L1992&lt;&gt;"",L1992/1.56,IF(M1992&lt;&gt;"",M1992/1.56,""))))</f>
        <v/>
      </c>
      <c r="U1992" s="3" t="n">
        <v>308</v>
      </c>
      <c r="V1992" s="3" t="n">
        <v>188</v>
      </c>
      <c r="W1992" s="3" t="n"/>
      <c r="X1992" s="4" t="n"/>
      <c r="Y1992" s="5" t="n">
        <v>0.174</v>
      </c>
      <c r="Z1992" s="4">
        <f>IF(L1992&lt;&gt;"",SQRT(3)*G1992*L1992/1000,"")</f>
        <v/>
      </c>
      <c r="AA1992" t="inlineStr">
        <is>
          <t>Source=Copeland 2D/3D/4D/4R/6D/8D/9R compressors (pdf) p106; PWS_RLA=36.0</t>
        </is>
      </c>
      <c r="AB1992" t="inlineStr">
        <is>
          <t>Copeland_RLA_230_460_3ph_60Hz.xlsx</t>
        </is>
      </c>
      <c r="AC1992" t="inlineStr">
        <is>
          <t>Recip_2D-9R</t>
        </is>
      </c>
    </row>
    <row r="1993">
      <c r="A1993" t="inlineStr">
        <is>
          <t>COPELAND</t>
        </is>
      </c>
      <c r="B1993" t="inlineStr">
        <is>
          <t>6RH1-200A-TSK</t>
        </is>
      </c>
      <c r="D1993" t="inlineStr">
        <is>
          <t>Reciprocating Semi-hermetic</t>
        </is>
      </c>
      <c r="E1993" s="2" t="n">
        <v>3</v>
      </c>
      <c r="F1993" s="2" t="n">
        <v>60</v>
      </c>
      <c r="G1993" s="2" t="n">
        <v>460</v>
      </c>
      <c r="H1993" t="inlineStr">
        <is>
          <t>460</t>
        </is>
      </c>
      <c r="I1993" s="2" t="n">
        <v>460</v>
      </c>
      <c r="J1993" s="2" t="n">
        <v>460</v>
      </c>
      <c r="L1993" s="3" t="n"/>
      <c r="M1993" s="3" t="n"/>
      <c r="N1993" s="3" t="n">
        <v>36</v>
      </c>
      <c r="O1993" s="3" t="n"/>
      <c r="P1993" s="3">
        <f>IF(L1993&lt;&gt;"",L1993/1.4,"")</f>
        <v/>
      </c>
      <c r="Q1993" s="3">
        <f>IF(L1993&lt;&gt;"",L1993/1.56,"")</f>
        <v/>
      </c>
      <c r="R1993" s="3">
        <f>IF(M1993&lt;&gt;"",M1993/1.4,"")</f>
        <v/>
      </c>
      <c r="S1993" s="3">
        <f>IF(M1993&lt;&gt;"",M1993/1.56,"")</f>
        <v/>
      </c>
      <c r="T1993" s="3">
        <f>IF(N1993&lt;&gt;"",N1993,IF(O1993&lt;&gt;"",O1993,IF(L1993&lt;&gt;"",L1993/1.56,IF(M1993&lt;&gt;"",M1993/1.56,""))))</f>
        <v/>
      </c>
      <c r="U1993" s="3" t="n">
        <v>154</v>
      </c>
      <c r="V1993" s="3" t="n"/>
      <c r="W1993" s="3" t="n"/>
      <c r="X1993" s="4" t="n"/>
      <c r="Y1993" s="5" t="n">
        <v>0.696</v>
      </c>
      <c r="Z1993" s="4">
        <f>IF(L1993&lt;&gt;"",SQRT(3)*G1993*L1993/1000,"")</f>
        <v/>
      </c>
      <c r="AA1993" t="inlineStr">
        <is>
          <t>Source=Copeland 2D/3D/4D/4R/6D/8D/9R compressors (pdf) p106</t>
        </is>
      </c>
      <c r="AB1993" t="inlineStr">
        <is>
          <t>Copeland_RLA_230_460_3ph_60Hz.xlsx</t>
        </is>
      </c>
      <c r="AC1993" t="inlineStr">
        <is>
          <t>Recip_2D-9R</t>
        </is>
      </c>
    </row>
    <row r="1994">
      <c r="A1994" t="inlineStr">
        <is>
          <t>COPELAND</t>
        </is>
      </c>
      <c r="B1994" t="inlineStr">
        <is>
          <t>6RH1-3500-FSD</t>
        </is>
      </c>
      <c r="D1994" t="inlineStr">
        <is>
          <t>Reciprocating Semi-hermetic</t>
        </is>
      </c>
      <c r="E1994" s="2" t="n">
        <v>3</v>
      </c>
      <c r="F1994" s="2" t="n">
        <v>60</v>
      </c>
      <c r="G1994" s="2" t="n">
        <v>460</v>
      </c>
      <c r="H1994" t="inlineStr">
        <is>
          <t>460</t>
        </is>
      </c>
      <c r="I1994" s="2" t="n">
        <v>460</v>
      </c>
      <c r="J1994" s="2" t="n">
        <v>460</v>
      </c>
      <c r="L1994" s="3" t="n"/>
      <c r="M1994" s="3" t="n"/>
      <c r="N1994" s="3" t="n">
        <v>67.5</v>
      </c>
      <c r="O1994" s="3" t="n"/>
      <c r="P1994" s="3">
        <f>IF(L1994&lt;&gt;"",L1994/1.4,"")</f>
        <v/>
      </c>
      <c r="Q1994" s="3">
        <f>IF(L1994&lt;&gt;"",L1994/1.56,"")</f>
        <v/>
      </c>
      <c r="R1994" s="3">
        <f>IF(M1994&lt;&gt;"",M1994/1.4,"")</f>
        <v/>
      </c>
      <c r="S1994" s="3">
        <f>IF(M1994&lt;&gt;"",M1994/1.56,"")</f>
        <v/>
      </c>
      <c r="T1994" s="3">
        <f>IF(N1994&lt;&gt;"",N1994,IF(O1994&lt;&gt;"",O1994,IF(L1994&lt;&gt;"",L1994/1.56,IF(M1994&lt;&gt;"",M1994/1.56,""))))</f>
        <v/>
      </c>
      <c r="U1994" s="3" t="n">
        <v>225</v>
      </c>
      <c r="V1994" s="3" t="n">
        <v>150</v>
      </c>
      <c r="W1994" s="3" t="n"/>
      <c r="X1994" s="4" t="n"/>
      <c r="Y1994" s="5" t="n">
        <v>0.4</v>
      </c>
      <c r="Z1994" s="4">
        <f>IF(L1994&lt;&gt;"",SQRT(3)*G1994*L1994/1000,"")</f>
        <v/>
      </c>
      <c r="AA1994" t="inlineStr">
        <is>
          <t>Source=Copeland 2D/3D/4D/4R/6D/8D/9R compressors (pdf) p106; PWS_RLA=33.8</t>
        </is>
      </c>
      <c r="AB1994" t="inlineStr">
        <is>
          <t>Copeland_RLA_230_460_3ph_60Hz.xlsx</t>
        </is>
      </c>
      <c r="AC1994" t="inlineStr">
        <is>
          <t>Recip_2D-9R</t>
        </is>
      </c>
    </row>
    <row r="1995">
      <c r="A1995" t="inlineStr">
        <is>
          <t>COPELAND</t>
        </is>
      </c>
      <c r="B1995" t="inlineStr">
        <is>
          <t>6RH1-3500-TSK</t>
        </is>
      </c>
      <c r="D1995" t="inlineStr">
        <is>
          <t>Reciprocating Semi-hermetic</t>
        </is>
      </c>
      <c r="E1995" s="2" t="n">
        <v>3</v>
      </c>
      <c r="F1995" s="2" t="n">
        <v>60</v>
      </c>
      <c r="G1995" s="2" t="n">
        <v>230</v>
      </c>
      <c r="H1995" t="inlineStr">
        <is>
          <t>208/230</t>
        </is>
      </c>
      <c r="I1995" s="2" t="n">
        <v>208</v>
      </c>
      <c r="J1995" s="2" t="n">
        <v>230</v>
      </c>
      <c r="L1995" s="3" t="n"/>
      <c r="M1995" s="3" t="n"/>
      <c r="N1995" s="3" t="n">
        <v>134.3</v>
      </c>
      <c r="O1995" s="3" t="n"/>
      <c r="P1995" s="3">
        <f>IF(L1995&lt;&gt;"",L1995/1.4,"")</f>
        <v/>
      </c>
      <c r="Q1995" s="3">
        <f>IF(L1995&lt;&gt;"",L1995/1.56,"")</f>
        <v/>
      </c>
      <c r="R1995" s="3">
        <f>IF(M1995&lt;&gt;"",M1995/1.4,"")</f>
        <v/>
      </c>
      <c r="S1995" s="3">
        <f>IF(M1995&lt;&gt;"",M1995/1.56,"")</f>
        <v/>
      </c>
      <c r="T1995" s="3">
        <f>IF(N1995&lt;&gt;"",N1995,IF(O1995&lt;&gt;"",O1995,IF(L1995&lt;&gt;"",L1995/1.56,IF(M1995&lt;&gt;"",M1995/1.56,""))))</f>
        <v/>
      </c>
      <c r="U1995" s="3" t="n">
        <v>565</v>
      </c>
      <c r="V1995" s="3" t="n">
        <v>340</v>
      </c>
      <c r="W1995" s="3" t="n"/>
      <c r="X1995" s="4" t="n"/>
      <c r="Y1995" s="5" t="n">
        <v>0.08699999999999999</v>
      </c>
      <c r="Z1995" s="4">
        <f>IF(L1995&lt;&gt;"",SQRT(3)*G1995*L1995/1000,"")</f>
        <v/>
      </c>
      <c r="AA1995" t="inlineStr">
        <is>
          <t>Source=Copeland 2D/3D/4D/4R/6D/8D/9R compressors (pdf) p106; PWS_RLA=67.5</t>
        </is>
      </c>
      <c r="AB1995" t="inlineStr">
        <is>
          <t>Copeland_RLA_230_460_3ph_60Hz.xlsx</t>
        </is>
      </c>
      <c r="AC1995" t="inlineStr">
        <is>
          <t>Recip_2D-9R</t>
        </is>
      </c>
    </row>
    <row r="1996">
      <c r="A1996" t="inlineStr">
        <is>
          <t>COPELAND</t>
        </is>
      </c>
      <c r="B1996" t="inlineStr">
        <is>
          <t>6RH1-3500-TSK</t>
        </is>
      </c>
      <c r="D1996" t="inlineStr">
        <is>
          <t>Reciprocating Semi-hermetic</t>
        </is>
      </c>
      <c r="E1996" s="2" t="n">
        <v>3</v>
      </c>
      <c r="F1996" s="2" t="n">
        <v>60</v>
      </c>
      <c r="G1996" s="2" t="n">
        <v>460</v>
      </c>
      <c r="H1996" t="inlineStr">
        <is>
          <t>460</t>
        </is>
      </c>
      <c r="I1996" s="2" t="n">
        <v>460</v>
      </c>
      <c r="J1996" s="2" t="n">
        <v>460</v>
      </c>
      <c r="L1996" s="3" t="n"/>
      <c r="M1996" s="3" t="n"/>
      <c r="N1996" s="3" t="n">
        <v>67.09999999999999</v>
      </c>
      <c r="O1996" s="3" t="n"/>
      <c r="P1996" s="3">
        <f>IF(L1996&lt;&gt;"",L1996/1.4,"")</f>
        <v/>
      </c>
      <c r="Q1996" s="3">
        <f>IF(L1996&lt;&gt;"",L1996/1.56,"")</f>
        <v/>
      </c>
      <c r="R1996" s="3">
        <f>IF(M1996&lt;&gt;"",M1996/1.4,"")</f>
        <v/>
      </c>
      <c r="S1996" s="3">
        <f>IF(M1996&lt;&gt;"",M1996/1.56,"")</f>
        <v/>
      </c>
      <c r="T1996" s="3">
        <f>IF(N1996&lt;&gt;"",N1996,IF(O1996&lt;&gt;"",O1996,IF(L1996&lt;&gt;"",L1996/1.56,IF(M1996&lt;&gt;"",M1996/1.56,""))))</f>
        <v/>
      </c>
      <c r="U1996" s="3" t="n">
        <v>283</v>
      </c>
      <c r="V1996" s="3" t="n"/>
      <c r="W1996" s="3" t="n"/>
      <c r="X1996" s="4" t="n"/>
      <c r="Y1996" s="5" t="n">
        <v>0.348</v>
      </c>
      <c r="Z1996" s="4">
        <f>IF(L1996&lt;&gt;"",SQRT(3)*G1996*L1996/1000,"")</f>
        <v/>
      </c>
      <c r="AA1996" t="inlineStr">
        <is>
          <t>Source=Copeland 2D/3D/4D/4R/6D/8D/9R compressors (pdf) p106</t>
        </is>
      </c>
      <c r="AB1996" t="inlineStr">
        <is>
          <t>Copeland_RLA_230_460_3ph_60Hz.xlsx</t>
        </is>
      </c>
      <c r="AC1996" t="inlineStr">
        <is>
          <t>Recip_2D-9R</t>
        </is>
      </c>
    </row>
    <row r="1997">
      <c r="A1997" t="inlineStr">
        <is>
          <t>COPELAND</t>
        </is>
      </c>
      <c r="B1997" t="inlineStr">
        <is>
          <t>6RH1-350A-FSD</t>
        </is>
      </c>
      <c r="D1997" t="inlineStr">
        <is>
          <t>Reciprocating Semi-hermetic</t>
        </is>
      </c>
      <c r="E1997" s="2" t="n">
        <v>3</v>
      </c>
      <c r="F1997" s="2" t="n">
        <v>60</v>
      </c>
      <c r="G1997" s="2" t="n">
        <v>460</v>
      </c>
      <c r="H1997" t="inlineStr">
        <is>
          <t>460</t>
        </is>
      </c>
      <c r="I1997" s="2" t="n">
        <v>460</v>
      </c>
      <c r="J1997" s="2" t="n">
        <v>460</v>
      </c>
      <c r="L1997" s="3" t="n"/>
      <c r="M1997" s="3" t="n"/>
      <c r="N1997" s="3" t="n">
        <v>67.5</v>
      </c>
      <c r="O1997" s="3" t="n"/>
      <c r="P1997" s="3">
        <f>IF(L1997&lt;&gt;"",L1997/1.4,"")</f>
        <v/>
      </c>
      <c r="Q1997" s="3">
        <f>IF(L1997&lt;&gt;"",L1997/1.56,"")</f>
        <v/>
      </c>
      <c r="R1997" s="3">
        <f>IF(M1997&lt;&gt;"",M1997/1.4,"")</f>
        <v/>
      </c>
      <c r="S1997" s="3">
        <f>IF(M1997&lt;&gt;"",M1997/1.56,"")</f>
        <v/>
      </c>
      <c r="T1997" s="3">
        <f>IF(N1997&lt;&gt;"",N1997,IF(O1997&lt;&gt;"",O1997,IF(L1997&lt;&gt;"",L1997/1.56,IF(M1997&lt;&gt;"",M1997/1.56,""))))</f>
        <v/>
      </c>
      <c r="U1997" s="3" t="n">
        <v>225</v>
      </c>
      <c r="V1997" s="3" t="n">
        <v>150</v>
      </c>
      <c r="W1997" s="3" t="n"/>
      <c r="X1997" s="4" t="n"/>
      <c r="Y1997" s="5" t="n">
        <v>0.4</v>
      </c>
      <c r="Z1997" s="4">
        <f>IF(L1997&lt;&gt;"",SQRT(3)*G1997*L1997/1000,"")</f>
        <v/>
      </c>
      <c r="AA1997" t="inlineStr">
        <is>
          <t>Source=Copeland 2D/3D/4D/4R/6D/8D/9R compressors (pdf) p106; PWS_RLA=33.8</t>
        </is>
      </c>
      <c r="AB1997" t="inlineStr">
        <is>
          <t>Copeland_RLA_230_460_3ph_60Hz.xlsx</t>
        </is>
      </c>
      <c r="AC1997" t="inlineStr">
        <is>
          <t>Recip_2D-9R</t>
        </is>
      </c>
    </row>
    <row r="1998">
      <c r="A1998" t="inlineStr">
        <is>
          <t>COPELAND</t>
        </is>
      </c>
      <c r="B1998" t="inlineStr">
        <is>
          <t>6RH1-350A-TSK</t>
        </is>
      </c>
      <c r="D1998" t="inlineStr">
        <is>
          <t>Reciprocating Semi-hermetic</t>
        </is>
      </c>
      <c r="E1998" s="2" t="n">
        <v>3</v>
      </c>
      <c r="F1998" s="2" t="n">
        <v>60</v>
      </c>
      <c r="G1998" s="2" t="n">
        <v>230</v>
      </c>
      <c r="H1998" t="inlineStr">
        <is>
          <t>208/230</t>
        </is>
      </c>
      <c r="I1998" s="2" t="n">
        <v>208</v>
      </c>
      <c r="J1998" s="2" t="n">
        <v>230</v>
      </c>
      <c r="L1998" s="3" t="n"/>
      <c r="M1998" s="3" t="n"/>
      <c r="N1998" s="3" t="n">
        <v>134.3</v>
      </c>
      <c r="O1998" s="3" t="n"/>
      <c r="P1998" s="3">
        <f>IF(L1998&lt;&gt;"",L1998/1.4,"")</f>
        <v/>
      </c>
      <c r="Q1998" s="3">
        <f>IF(L1998&lt;&gt;"",L1998/1.56,"")</f>
        <v/>
      </c>
      <c r="R1998" s="3">
        <f>IF(M1998&lt;&gt;"",M1998/1.4,"")</f>
        <v/>
      </c>
      <c r="S1998" s="3">
        <f>IF(M1998&lt;&gt;"",M1998/1.56,"")</f>
        <v/>
      </c>
      <c r="T1998" s="3">
        <f>IF(N1998&lt;&gt;"",N1998,IF(O1998&lt;&gt;"",O1998,IF(L1998&lt;&gt;"",L1998/1.56,IF(M1998&lt;&gt;"",M1998/1.56,""))))</f>
        <v/>
      </c>
      <c r="U1998" s="3" t="n">
        <v>565</v>
      </c>
      <c r="V1998" s="3" t="n">
        <v>340</v>
      </c>
      <c r="W1998" s="3" t="n"/>
      <c r="X1998" s="4" t="n"/>
      <c r="Y1998" s="5" t="n">
        <v>0.08699999999999999</v>
      </c>
      <c r="Z1998" s="4">
        <f>IF(L1998&lt;&gt;"",SQRT(3)*G1998*L1998/1000,"")</f>
        <v/>
      </c>
      <c r="AA1998" t="inlineStr">
        <is>
          <t>Source=Copeland 2D/3D/4D/4R/6D/8D/9R compressors (pdf) p106; PWS_RLA=67.5</t>
        </is>
      </c>
      <c r="AB1998" t="inlineStr">
        <is>
          <t>Copeland_RLA_230_460_3ph_60Hz.xlsx</t>
        </is>
      </c>
      <c r="AC1998" t="inlineStr">
        <is>
          <t>Recip_2D-9R</t>
        </is>
      </c>
    </row>
    <row r="1999">
      <c r="A1999" t="inlineStr">
        <is>
          <t>COPELAND</t>
        </is>
      </c>
      <c r="B1999" t="inlineStr">
        <is>
          <t>6RH1-350A-TSK</t>
        </is>
      </c>
      <c r="D1999" t="inlineStr">
        <is>
          <t>Reciprocating Semi-hermetic</t>
        </is>
      </c>
      <c r="E1999" s="2" t="n">
        <v>3</v>
      </c>
      <c r="F1999" s="2" t="n">
        <v>60</v>
      </c>
      <c r="G1999" s="2" t="n">
        <v>460</v>
      </c>
      <c r="H1999" t="inlineStr">
        <is>
          <t>460</t>
        </is>
      </c>
      <c r="I1999" s="2" t="n">
        <v>460</v>
      </c>
      <c r="J1999" s="2" t="n">
        <v>460</v>
      </c>
      <c r="L1999" s="3" t="n"/>
      <c r="M1999" s="3" t="n"/>
      <c r="N1999" s="3" t="n">
        <v>67.09999999999999</v>
      </c>
      <c r="O1999" s="3" t="n"/>
      <c r="P1999" s="3">
        <f>IF(L1999&lt;&gt;"",L1999/1.4,"")</f>
        <v/>
      </c>
      <c r="Q1999" s="3">
        <f>IF(L1999&lt;&gt;"",L1999/1.56,"")</f>
        <v/>
      </c>
      <c r="R1999" s="3">
        <f>IF(M1999&lt;&gt;"",M1999/1.4,"")</f>
        <v/>
      </c>
      <c r="S1999" s="3">
        <f>IF(M1999&lt;&gt;"",M1999/1.56,"")</f>
        <v/>
      </c>
      <c r="T1999" s="3">
        <f>IF(N1999&lt;&gt;"",N1999,IF(O1999&lt;&gt;"",O1999,IF(L1999&lt;&gt;"",L1999/1.56,IF(M1999&lt;&gt;"",M1999/1.56,""))))</f>
        <v/>
      </c>
      <c r="U1999" s="3" t="n">
        <v>283</v>
      </c>
      <c r="V1999" s="3" t="n"/>
      <c r="W1999" s="3" t="n"/>
      <c r="X1999" s="4" t="n"/>
      <c r="Y1999" s="5" t="n">
        <v>0.348</v>
      </c>
      <c r="Z1999" s="4">
        <f>IF(L1999&lt;&gt;"",SQRT(3)*G1999*L1999/1000,"")</f>
        <v/>
      </c>
      <c r="AA1999" t="inlineStr">
        <is>
          <t>Source=Copeland 2D/3D/4D/4R/6D/8D/9R compressors (pdf) p106</t>
        </is>
      </c>
      <c r="AB1999" t="inlineStr">
        <is>
          <t>Copeland_RLA_230_460_3ph_60Hz.xlsx</t>
        </is>
      </c>
      <c r="AC1999" t="inlineStr">
        <is>
          <t>Recip_2D-9R</t>
        </is>
      </c>
    </row>
    <row r="2000">
      <c r="A2000" t="inlineStr">
        <is>
          <t>COPELAND</t>
        </is>
      </c>
      <c r="B2000" t="inlineStr">
        <is>
          <t>6RH5-2000-TSK</t>
        </is>
      </c>
      <c r="D2000" t="inlineStr">
        <is>
          <t>Reciprocating Semi-hermetic</t>
        </is>
      </c>
      <c r="E2000" s="2" t="n">
        <v>3</v>
      </c>
      <c r="F2000" s="2" t="n">
        <v>60</v>
      </c>
      <c r="G2000" s="2" t="n">
        <v>230</v>
      </c>
      <c r="H2000" t="inlineStr">
        <is>
          <t>208/230</t>
        </is>
      </c>
      <c r="I2000" s="2" t="n">
        <v>208</v>
      </c>
      <c r="J2000" s="2" t="n">
        <v>230</v>
      </c>
      <c r="L2000" s="3" t="n"/>
      <c r="M2000" s="3" t="n"/>
      <c r="N2000" s="3" t="n">
        <v>72</v>
      </c>
      <c r="O2000" s="3" t="n"/>
      <c r="P2000" s="3">
        <f>IF(L2000&lt;&gt;"",L2000/1.4,"")</f>
        <v/>
      </c>
      <c r="Q2000" s="3">
        <f>IF(L2000&lt;&gt;"",L2000/1.56,"")</f>
        <v/>
      </c>
      <c r="R2000" s="3">
        <f>IF(M2000&lt;&gt;"",M2000/1.4,"")</f>
        <v/>
      </c>
      <c r="S2000" s="3">
        <f>IF(M2000&lt;&gt;"",M2000/1.56,"")</f>
        <v/>
      </c>
      <c r="T2000" s="3">
        <f>IF(N2000&lt;&gt;"",N2000,IF(O2000&lt;&gt;"",O2000,IF(L2000&lt;&gt;"",L2000/1.56,IF(M2000&lt;&gt;"",M2000/1.56,""))))</f>
        <v/>
      </c>
      <c r="U2000" s="3" t="n">
        <v>308</v>
      </c>
      <c r="V2000" s="3" t="n">
        <v>188</v>
      </c>
      <c r="W2000" s="3" t="n"/>
      <c r="X2000" s="4" t="n"/>
      <c r="Y2000" s="5" t="n">
        <v>0.174</v>
      </c>
      <c r="Z2000" s="4">
        <f>IF(L2000&lt;&gt;"",SQRT(3)*G2000*L2000/1000,"")</f>
        <v/>
      </c>
      <c r="AA2000" t="inlineStr">
        <is>
          <t>Source=Copeland 2D/3D/4D/4R/6D/8D/9R compressors (pdf) p106; PWS_RLA=36.0</t>
        </is>
      </c>
      <c r="AB2000" t="inlineStr">
        <is>
          <t>Copeland_RLA_230_460_3ph_60Hz.xlsx</t>
        </is>
      </c>
      <c r="AC2000" t="inlineStr">
        <is>
          <t>Recip_2D-9R</t>
        </is>
      </c>
    </row>
    <row r="2001">
      <c r="A2001" t="inlineStr">
        <is>
          <t>COPELAND</t>
        </is>
      </c>
      <c r="B2001" t="inlineStr">
        <is>
          <t>6RH5-2000-TSK</t>
        </is>
      </c>
      <c r="D2001" t="inlineStr">
        <is>
          <t>Reciprocating Semi-hermetic</t>
        </is>
      </c>
      <c r="E2001" s="2" t="n">
        <v>3</v>
      </c>
      <c r="F2001" s="2" t="n">
        <v>60</v>
      </c>
      <c r="G2001" s="2" t="n">
        <v>460</v>
      </c>
      <c r="H2001" t="inlineStr">
        <is>
          <t>460</t>
        </is>
      </c>
      <c r="I2001" s="2" t="n">
        <v>460</v>
      </c>
      <c r="J2001" s="2" t="n">
        <v>460</v>
      </c>
      <c r="L2001" s="3" t="n"/>
      <c r="M2001" s="3" t="n"/>
      <c r="N2001" s="3" t="n">
        <v>36</v>
      </c>
      <c r="O2001" s="3" t="n"/>
      <c r="P2001" s="3">
        <f>IF(L2001&lt;&gt;"",L2001/1.4,"")</f>
        <v/>
      </c>
      <c r="Q2001" s="3">
        <f>IF(L2001&lt;&gt;"",L2001/1.56,"")</f>
        <v/>
      </c>
      <c r="R2001" s="3">
        <f>IF(M2001&lt;&gt;"",M2001/1.4,"")</f>
        <v/>
      </c>
      <c r="S2001" s="3">
        <f>IF(M2001&lt;&gt;"",M2001/1.56,"")</f>
        <v/>
      </c>
      <c r="T2001" s="3">
        <f>IF(N2001&lt;&gt;"",N2001,IF(O2001&lt;&gt;"",O2001,IF(L2001&lt;&gt;"",L2001/1.56,IF(M2001&lt;&gt;"",M2001/1.56,""))))</f>
        <v/>
      </c>
      <c r="U2001" s="3" t="n">
        <v>154</v>
      </c>
      <c r="V2001" s="3" t="n"/>
      <c r="W2001" s="3" t="n"/>
      <c r="X2001" s="4" t="n"/>
      <c r="Y2001" s="5" t="n">
        <v>0.696</v>
      </c>
      <c r="Z2001" s="4">
        <f>IF(L2001&lt;&gt;"",SQRT(3)*G2001*L2001/1000,"")</f>
        <v/>
      </c>
      <c r="AA2001" t="inlineStr">
        <is>
          <t>Source=Copeland 2D/3D/4D/4R/6D/8D/9R compressors (pdf) p106</t>
        </is>
      </c>
      <c r="AB2001" t="inlineStr">
        <is>
          <t>Copeland_RLA_230_460_3ph_60Hz.xlsx</t>
        </is>
      </c>
      <c r="AC2001" t="inlineStr">
        <is>
          <t>Recip_2D-9R</t>
        </is>
      </c>
    </row>
    <row r="2002">
      <c r="A2002" t="inlineStr">
        <is>
          <t>COPELAND</t>
        </is>
      </c>
      <c r="B2002" t="inlineStr">
        <is>
          <t>6RH5-3500-FSD</t>
        </is>
      </c>
      <c r="D2002" t="inlineStr">
        <is>
          <t>Reciprocating Semi-hermetic</t>
        </is>
      </c>
      <c r="E2002" s="2" t="n">
        <v>3</v>
      </c>
      <c r="F2002" s="2" t="n">
        <v>60</v>
      </c>
      <c r="G2002" s="2" t="n">
        <v>460</v>
      </c>
      <c r="H2002" t="inlineStr">
        <is>
          <t>460</t>
        </is>
      </c>
      <c r="I2002" s="2" t="n">
        <v>460</v>
      </c>
      <c r="J2002" s="2" t="n">
        <v>460</v>
      </c>
      <c r="L2002" s="3" t="n"/>
      <c r="M2002" s="3" t="n"/>
      <c r="N2002" s="3" t="n">
        <v>67.5</v>
      </c>
      <c r="O2002" s="3" t="n"/>
      <c r="P2002" s="3">
        <f>IF(L2002&lt;&gt;"",L2002/1.4,"")</f>
        <v/>
      </c>
      <c r="Q2002" s="3">
        <f>IF(L2002&lt;&gt;"",L2002/1.56,"")</f>
        <v/>
      </c>
      <c r="R2002" s="3">
        <f>IF(M2002&lt;&gt;"",M2002/1.4,"")</f>
        <v/>
      </c>
      <c r="S2002" s="3">
        <f>IF(M2002&lt;&gt;"",M2002/1.56,"")</f>
        <v/>
      </c>
      <c r="T2002" s="3">
        <f>IF(N2002&lt;&gt;"",N2002,IF(O2002&lt;&gt;"",O2002,IF(L2002&lt;&gt;"",L2002/1.56,IF(M2002&lt;&gt;"",M2002/1.56,""))))</f>
        <v/>
      </c>
      <c r="U2002" s="3" t="n">
        <v>225</v>
      </c>
      <c r="V2002" s="3" t="n">
        <v>150</v>
      </c>
      <c r="W2002" s="3" t="n"/>
      <c r="X2002" s="4" t="n"/>
      <c r="Y2002" s="5" t="n">
        <v>0.4</v>
      </c>
      <c r="Z2002" s="4">
        <f>IF(L2002&lt;&gt;"",SQRT(3)*G2002*L2002/1000,"")</f>
        <v/>
      </c>
      <c r="AA2002" t="inlineStr">
        <is>
          <t>Source=Copeland 2D/3D/4D/4R/6D/8D/9R compressors (pdf) p106; PWS_RLA=33.8</t>
        </is>
      </c>
      <c r="AB2002" t="inlineStr">
        <is>
          <t>Copeland_RLA_230_460_3ph_60Hz.xlsx</t>
        </is>
      </c>
      <c r="AC2002" t="inlineStr">
        <is>
          <t>Recip_2D-9R</t>
        </is>
      </c>
    </row>
    <row r="2003">
      <c r="A2003" t="inlineStr">
        <is>
          <t>COPELAND</t>
        </is>
      </c>
      <c r="B2003" t="inlineStr">
        <is>
          <t>6RJ1-3000-FSD</t>
        </is>
      </c>
      <c r="D2003" t="inlineStr">
        <is>
          <t>Reciprocating Semi-hermetic</t>
        </is>
      </c>
      <c r="E2003" s="2" t="n">
        <v>3</v>
      </c>
      <c r="F2003" s="2" t="n">
        <v>60</v>
      </c>
      <c r="G2003" s="2" t="n">
        <v>460</v>
      </c>
      <c r="H2003" t="inlineStr">
        <is>
          <t>460</t>
        </is>
      </c>
      <c r="I2003" s="2" t="n">
        <v>460</v>
      </c>
      <c r="J2003" s="2" t="n">
        <v>460</v>
      </c>
      <c r="L2003" s="3" t="n"/>
      <c r="M2003" s="3" t="n"/>
      <c r="N2003" s="3" t="n">
        <v>57.5</v>
      </c>
      <c r="O2003" s="3" t="n"/>
      <c r="P2003" s="3">
        <f>IF(L2003&lt;&gt;"",L2003/1.4,"")</f>
        <v/>
      </c>
      <c r="Q2003" s="3">
        <f>IF(L2003&lt;&gt;"",L2003/1.56,"")</f>
        <v/>
      </c>
      <c r="R2003" s="3">
        <f>IF(M2003&lt;&gt;"",M2003/1.4,"")</f>
        <v/>
      </c>
      <c r="S2003" s="3">
        <f>IF(M2003&lt;&gt;"",M2003/1.56,"")</f>
        <v/>
      </c>
      <c r="T2003" s="3">
        <f>IF(N2003&lt;&gt;"",N2003,IF(O2003&lt;&gt;"",O2003,IF(L2003&lt;&gt;"",L2003/1.56,IF(M2003&lt;&gt;"",M2003/1.56,""))))</f>
        <v/>
      </c>
      <c r="U2003" s="3" t="n">
        <v>200</v>
      </c>
      <c r="V2003" s="3" t="n">
        <v>121</v>
      </c>
      <c r="W2003" s="3" t="n"/>
      <c r="X2003" s="4" t="n"/>
      <c r="Y2003" s="5" t="n">
        <v>0.475</v>
      </c>
      <c r="Z2003" s="4">
        <f>IF(L2003&lt;&gt;"",SQRT(3)*G2003*L2003/1000,"")</f>
        <v/>
      </c>
      <c r="AA2003" t="inlineStr">
        <is>
          <t>Source=Copeland 2D/3D/4D/4R/6D/8D/9R compressors (pdf) p107; PWS_RLA=28.8</t>
        </is>
      </c>
      <c r="AB2003" t="inlineStr">
        <is>
          <t>Copeland_RLA_230_460_3ph_60Hz.xlsx</t>
        </is>
      </c>
      <c r="AC2003" t="inlineStr">
        <is>
          <t>Recip_2D-9R</t>
        </is>
      </c>
    </row>
    <row r="2004">
      <c r="A2004" t="inlineStr">
        <is>
          <t>COPELAND</t>
        </is>
      </c>
      <c r="B2004" t="inlineStr">
        <is>
          <t>6RJ1-4000-FSD</t>
        </is>
      </c>
      <c r="D2004" t="inlineStr">
        <is>
          <t>Reciprocating Semi-hermetic</t>
        </is>
      </c>
      <c r="E2004" s="2" t="n">
        <v>3</v>
      </c>
      <c r="F2004" s="2" t="n">
        <v>60</v>
      </c>
      <c r="G2004" s="2" t="n">
        <v>460</v>
      </c>
      <c r="H2004" t="inlineStr">
        <is>
          <t>460</t>
        </is>
      </c>
      <c r="I2004" s="2" t="n">
        <v>460</v>
      </c>
      <c r="J2004" s="2" t="n">
        <v>460</v>
      </c>
      <c r="L2004" s="3" t="n"/>
      <c r="M2004" s="3" t="n"/>
      <c r="N2004" s="3" t="n">
        <v>64.3</v>
      </c>
      <c r="O2004" s="3" t="n"/>
      <c r="P2004" s="3">
        <f>IF(L2004&lt;&gt;"",L2004/1.4,"")</f>
        <v/>
      </c>
      <c r="Q2004" s="3">
        <f>IF(L2004&lt;&gt;"",L2004/1.56,"")</f>
        <v/>
      </c>
      <c r="R2004" s="3">
        <f>IF(M2004&lt;&gt;"",M2004/1.4,"")</f>
        <v/>
      </c>
      <c r="S2004" s="3">
        <f>IF(M2004&lt;&gt;"",M2004/1.56,"")</f>
        <v/>
      </c>
      <c r="T2004" s="3">
        <f>IF(N2004&lt;&gt;"",N2004,IF(O2004&lt;&gt;"",O2004,IF(L2004&lt;&gt;"",L2004/1.56,IF(M2004&lt;&gt;"",M2004/1.56,""))))</f>
        <v/>
      </c>
      <c r="U2004" s="3" t="n">
        <v>239</v>
      </c>
      <c r="V2004" s="3" t="n">
        <v>147</v>
      </c>
      <c r="W2004" s="3" t="n"/>
      <c r="X2004" s="4" t="n"/>
      <c r="Y2004" s="5" t="n">
        <v>3.75</v>
      </c>
      <c r="Z2004" s="4">
        <f>IF(L2004&lt;&gt;"",SQRT(3)*G2004*L2004/1000,"")</f>
        <v/>
      </c>
      <c r="AA2004" t="inlineStr">
        <is>
          <t>Source=Copeland 2D/3D/4D/4R/6D/8D/9R compressors (pdf) p107; PWS_RLA=32.2</t>
        </is>
      </c>
      <c r="AB2004" t="inlineStr">
        <is>
          <t>Copeland_RLA_230_460_3ph_60Hz.xlsx</t>
        </is>
      </c>
      <c r="AC2004" t="inlineStr">
        <is>
          <t>Recip_2D-9R</t>
        </is>
      </c>
    </row>
    <row r="2005">
      <c r="A2005" t="inlineStr">
        <is>
          <t>COPELAND</t>
        </is>
      </c>
      <c r="B2005" t="inlineStr">
        <is>
          <t>6RJ1-4000-TSN</t>
        </is>
      </c>
      <c r="D2005" t="inlineStr">
        <is>
          <t>Reciprocating Semi-hermetic</t>
        </is>
      </c>
      <c r="E2005" s="2" t="n">
        <v>3</v>
      </c>
      <c r="F2005" s="2" t="n">
        <v>60</v>
      </c>
      <c r="G2005" s="2" t="n">
        <v>230</v>
      </c>
      <c r="H2005" t="inlineStr">
        <is>
          <t>230</t>
        </is>
      </c>
      <c r="I2005" s="2" t="n">
        <v>230</v>
      </c>
      <c r="J2005" s="2" t="n">
        <v>230</v>
      </c>
      <c r="L2005" s="3" t="n"/>
      <c r="M2005" s="3" t="n"/>
      <c r="N2005" s="3" t="n">
        <v>141.4</v>
      </c>
      <c r="O2005" s="3" t="n"/>
      <c r="P2005" s="3">
        <f>IF(L2005&lt;&gt;"",L2005/1.4,"")</f>
        <v/>
      </c>
      <c r="Q2005" s="3">
        <f>IF(L2005&lt;&gt;"",L2005/1.56,"")</f>
        <v/>
      </c>
      <c r="R2005" s="3">
        <f>IF(M2005&lt;&gt;"",M2005/1.4,"")</f>
        <v/>
      </c>
      <c r="S2005" s="3">
        <f>IF(M2005&lt;&gt;"",M2005/1.56,"")</f>
        <v/>
      </c>
      <c r="T2005" s="3">
        <f>IF(N2005&lt;&gt;"",N2005,IF(O2005&lt;&gt;"",O2005,IF(L2005&lt;&gt;"",L2005/1.56,IF(M2005&lt;&gt;"",M2005/1.56,""))))</f>
        <v/>
      </c>
      <c r="U2005" s="3" t="n">
        <v>594</v>
      </c>
      <c r="V2005" s="3" t="n">
        <v>340</v>
      </c>
      <c r="W2005" s="3" t="n"/>
      <c r="X2005" s="4" t="n"/>
      <c r="Y2005" s="5" t="n">
        <v>0.08500000000000001</v>
      </c>
      <c r="Z2005" s="4">
        <f>IF(L2005&lt;&gt;"",SQRT(3)*G2005*L2005/1000,"")</f>
        <v/>
      </c>
      <c r="AA2005" t="inlineStr">
        <is>
          <t>Source=Copeland 2D/3D/4D/4R/6D/8D/9R compressors (pdf) p107; PWS_RLA=71.0</t>
        </is>
      </c>
      <c r="AB2005" t="inlineStr">
        <is>
          <t>Copeland_RLA_230_460_3ph_60Hz.xlsx</t>
        </is>
      </c>
      <c r="AC2005" t="inlineStr">
        <is>
          <t>Recip_2D-9R</t>
        </is>
      </c>
    </row>
    <row r="2006">
      <c r="A2006" t="inlineStr">
        <is>
          <t>COPELAND</t>
        </is>
      </c>
      <c r="B2006" t="inlineStr">
        <is>
          <t>6RJ1-4000-TSN</t>
        </is>
      </c>
      <c r="D2006" t="inlineStr">
        <is>
          <t>Reciprocating Semi-hermetic</t>
        </is>
      </c>
      <c r="E2006" s="2" t="n">
        <v>3</v>
      </c>
      <c r="F2006" s="2" t="n">
        <v>60</v>
      </c>
      <c r="G2006" s="2" t="n">
        <v>460</v>
      </c>
      <c r="H2006" t="inlineStr">
        <is>
          <t>460</t>
        </is>
      </c>
      <c r="I2006" s="2" t="n">
        <v>460</v>
      </c>
      <c r="J2006" s="2" t="n">
        <v>460</v>
      </c>
      <c r="L2006" s="3" t="n"/>
      <c r="M2006" s="3" t="n"/>
      <c r="N2006" s="3" t="n">
        <v>70.7</v>
      </c>
      <c r="O2006" s="3" t="n"/>
      <c r="P2006" s="3">
        <f>IF(L2006&lt;&gt;"",L2006/1.4,"")</f>
        <v/>
      </c>
      <c r="Q2006" s="3">
        <f>IF(L2006&lt;&gt;"",L2006/1.56,"")</f>
        <v/>
      </c>
      <c r="R2006" s="3">
        <f>IF(M2006&lt;&gt;"",M2006/1.4,"")</f>
        <v/>
      </c>
      <c r="S2006" s="3">
        <f>IF(M2006&lt;&gt;"",M2006/1.56,"")</f>
        <v/>
      </c>
      <c r="T2006" s="3">
        <f>IF(N2006&lt;&gt;"",N2006,IF(O2006&lt;&gt;"",O2006,IF(L2006&lt;&gt;"",L2006/1.56,IF(M2006&lt;&gt;"",M2006/1.56,""))))</f>
        <v/>
      </c>
      <c r="U2006" s="3" t="n">
        <v>297</v>
      </c>
      <c r="V2006" s="3" t="n"/>
      <c r="W2006" s="3" t="n"/>
      <c r="X2006" s="4" t="n"/>
      <c r="Y2006" s="5" t="n">
        <v>0.34</v>
      </c>
      <c r="Z2006" s="4">
        <f>IF(L2006&lt;&gt;"",SQRT(3)*G2006*L2006/1000,"")</f>
        <v/>
      </c>
      <c r="AA2006" t="inlineStr">
        <is>
          <t>Source=Copeland 2D/3D/4D/4R/6D/8D/9R compressors (pdf) p107</t>
        </is>
      </c>
      <c r="AB2006" t="inlineStr">
        <is>
          <t>Copeland_RLA_230_460_3ph_60Hz.xlsx</t>
        </is>
      </c>
      <c r="AC2006" t="inlineStr">
        <is>
          <t>Recip_2D-9R</t>
        </is>
      </c>
    </row>
    <row r="2007">
      <c r="A2007" t="inlineStr">
        <is>
          <t>COPELAND</t>
        </is>
      </c>
      <c r="B2007" t="inlineStr">
        <is>
          <t>6RJ1-400A-FSD</t>
        </is>
      </c>
      <c r="D2007" t="inlineStr">
        <is>
          <t>Reciprocating Semi-hermetic</t>
        </is>
      </c>
      <c r="E2007" s="2" t="n">
        <v>3</v>
      </c>
      <c r="F2007" s="2" t="n">
        <v>60</v>
      </c>
      <c r="G2007" s="2" t="n">
        <v>460</v>
      </c>
      <c r="H2007" t="inlineStr">
        <is>
          <t>460</t>
        </is>
      </c>
      <c r="I2007" s="2" t="n">
        <v>460</v>
      </c>
      <c r="J2007" s="2" t="n">
        <v>460</v>
      </c>
      <c r="L2007" s="3" t="n"/>
      <c r="M2007" s="3" t="n"/>
      <c r="N2007" s="3" t="n">
        <v>64.3</v>
      </c>
      <c r="O2007" s="3" t="n"/>
      <c r="P2007" s="3">
        <f>IF(L2007&lt;&gt;"",L2007/1.4,"")</f>
        <v/>
      </c>
      <c r="Q2007" s="3">
        <f>IF(L2007&lt;&gt;"",L2007/1.56,"")</f>
        <v/>
      </c>
      <c r="R2007" s="3">
        <f>IF(M2007&lt;&gt;"",M2007/1.4,"")</f>
        <v/>
      </c>
      <c r="S2007" s="3">
        <f>IF(M2007&lt;&gt;"",M2007/1.56,"")</f>
        <v/>
      </c>
      <c r="T2007" s="3">
        <f>IF(N2007&lt;&gt;"",N2007,IF(O2007&lt;&gt;"",O2007,IF(L2007&lt;&gt;"",L2007/1.56,IF(M2007&lt;&gt;"",M2007/1.56,""))))</f>
        <v/>
      </c>
      <c r="U2007" s="3" t="n">
        <v>239</v>
      </c>
      <c r="V2007" s="3" t="n">
        <v>147</v>
      </c>
      <c r="W2007" s="3" t="n"/>
      <c r="X2007" s="4" t="n"/>
      <c r="Y2007" s="5" t="n">
        <v>3.75</v>
      </c>
      <c r="Z2007" s="4">
        <f>IF(L2007&lt;&gt;"",SQRT(3)*G2007*L2007/1000,"")</f>
        <v/>
      </c>
      <c r="AA2007" t="inlineStr">
        <is>
          <t>Source=Copeland 2D/3D/4D/4R/6D/8D/9R compressors (pdf) p107; PWS_RLA=32.2</t>
        </is>
      </c>
      <c r="AB2007" t="inlineStr">
        <is>
          <t>Copeland_RLA_230_460_3ph_60Hz.xlsx</t>
        </is>
      </c>
      <c r="AC2007" t="inlineStr">
        <is>
          <t>Recip_2D-9R</t>
        </is>
      </c>
    </row>
    <row r="2008">
      <c r="A2008" t="inlineStr">
        <is>
          <t>COPELAND</t>
        </is>
      </c>
      <c r="B2008" t="inlineStr">
        <is>
          <t>6RJ1-400A-TSN</t>
        </is>
      </c>
      <c r="D2008" t="inlineStr">
        <is>
          <t>Reciprocating Semi-hermetic</t>
        </is>
      </c>
      <c r="E2008" s="2" t="n">
        <v>3</v>
      </c>
      <c r="F2008" s="2" t="n">
        <v>60</v>
      </c>
      <c r="G2008" s="2" t="n">
        <v>230</v>
      </c>
      <c r="H2008" t="inlineStr">
        <is>
          <t>230</t>
        </is>
      </c>
      <c r="I2008" s="2" t="n">
        <v>230</v>
      </c>
      <c r="J2008" s="2" t="n">
        <v>230</v>
      </c>
      <c r="L2008" s="3" t="n"/>
      <c r="M2008" s="3" t="n"/>
      <c r="N2008" s="3" t="n">
        <v>141.4</v>
      </c>
      <c r="O2008" s="3" t="n"/>
      <c r="P2008" s="3">
        <f>IF(L2008&lt;&gt;"",L2008/1.4,"")</f>
        <v/>
      </c>
      <c r="Q2008" s="3">
        <f>IF(L2008&lt;&gt;"",L2008/1.56,"")</f>
        <v/>
      </c>
      <c r="R2008" s="3">
        <f>IF(M2008&lt;&gt;"",M2008/1.4,"")</f>
        <v/>
      </c>
      <c r="S2008" s="3">
        <f>IF(M2008&lt;&gt;"",M2008/1.56,"")</f>
        <v/>
      </c>
      <c r="T2008" s="3">
        <f>IF(N2008&lt;&gt;"",N2008,IF(O2008&lt;&gt;"",O2008,IF(L2008&lt;&gt;"",L2008/1.56,IF(M2008&lt;&gt;"",M2008/1.56,""))))</f>
        <v/>
      </c>
      <c r="U2008" s="3" t="n">
        <v>594</v>
      </c>
      <c r="V2008" s="3" t="n">
        <v>340</v>
      </c>
      <c r="W2008" s="3" t="n"/>
      <c r="X2008" s="4" t="n"/>
      <c r="Y2008" s="5" t="n">
        <v>0.08500000000000001</v>
      </c>
      <c r="Z2008" s="4">
        <f>IF(L2008&lt;&gt;"",SQRT(3)*G2008*L2008/1000,"")</f>
        <v/>
      </c>
      <c r="AA2008" t="inlineStr">
        <is>
          <t>Source=Copeland 2D/3D/4D/4R/6D/8D/9R compressors (pdf) p107; PWS_RLA=71.0</t>
        </is>
      </c>
      <c r="AB2008" t="inlineStr">
        <is>
          <t>Copeland_RLA_230_460_3ph_60Hz.xlsx</t>
        </is>
      </c>
      <c r="AC2008" t="inlineStr">
        <is>
          <t>Recip_2D-9R</t>
        </is>
      </c>
    </row>
    <row r="2009">
      <c r="A2009" t="inlineStr">
        <is>
          <t>COPELAND</t>
        </is>
      </c>
      <c r="B2009" t="inlineStr">
        <is>
          <t>6RJ1-400A-TSN</t>
        </is>
      </c>
      <c r="D2009" t="inlineStr">
        <is>
          <t>Reciprocating Semi-hermetic</t>
        </is>
      </c>
      <c r="E2009" s="2" t="n">
        <v>3</v>
      </c>
      <c r="F2009" s="2" t="n">
        <v>60</v>
      </c>
      <c r="G2009" s="2" t="n">
        <v>460</v>
      </c>
      <c r="H2009" t="inlineStr">
        <is>
          <t>460</t>
        </is>
      </c>
      <c r="I2009" s="2" t="n">
        <v>460</v>
      </c>
      <c r="J2009" s="2" t="n">
        <v>460</v>
      </c>
      <c r="L2009" s="3" t="n"/>
      <c r="M2009" s="3" t="n"/>
      <c r="N2009" s="3" t="n">
        <v>70.7</v>
      </c>
      <c r="O2009" s="3" t="n"/>
      <c r="P2009" s="3">
        <f>IF(L2009&lt;&gt;"",L2009/1.4,"")</f>
        <v/>
      </c>
      <c r="Q2009" s="3">
        <f>IF(L2009&lt;&gt;"",L2009/1.56,"")</f>
        <v/>
      </c>
      <c r="R2009" s="3">
        <f>IF(M2009&lt;&gt;"",M2009/1.4,"")</f>
        <v/>
      </c>
      <c r="S2009" s="3">
        <f>IF(M2009&lt;&gt;"",M2009/1.56,"")</f>
        <v/>
      </c>
      <c r="T2009" s="3">
        <f>IF(N2009&lt;&gt;"",N2009,IF(O2009&lt;&gt;"",O2009,IF(L2009&lt;&gt;"",L2009/1.56,IF(M2009&lt;&gt;"",M2009/1.56,""))))</f>
        <v/>
      </c>
      <c r="U2009" s="3" t="n">
        <v>297</v>
      </c>
      <c r="V2009" s="3" t="n"/>
      <c r="W2009" s="3" t="n"/>
      <c r="X2009" s="4" t="n"/>
      <c r="Y2009" s="5" t="n">
        <v>0.34</v>
      </c>
      <c r="Z2009" s="4">
        <f>IF(L2009&lt;&gt;"",SQRT(3)*G2009*L2009/1000,"")</f>
        <v/>
      </c>
      <c r="AA2009" t="inlineStr">
        <is>
          <t>Source=Copeland 2D/3D/4D/4R/6D/8D/9R compressors (pdf) p107</t>
        </is>
      </c>
      <c r="AB2009" t="inlineStr">
        <is>
          <t>Copeland_RLA_230_460_3ph_60Hz.xlsx</t>
        </is>
      </c>
      <c r="AC2009" t="inlineStr">
        <is>
          <t>Recip_2D-9R</t>
        </is>
      </c>
    </row>
    <row r="2010">
      <c r="A2010" t="inlineStr">
        <is>
          <t>COPELAND</t>
        </is>
      </c>
      <c r="B2010" t="inlineStr">
        <is>
          <t>6RK2-2000-TSK</t>
        </is>
      </c>
      <c r="D2010" t="inlineStr">
        <is>
          <t>Reciprocating Semi-hermetic</t>
        </is>
      </c>
      <c r="E2010" s="2" t="n">
        <v>3</v>
      </c>
      <c r="F2010" s="2" t="n">
        <v>60</v>
      </c>
      <c r="G2010" s="2" t="n">
        <v>230</v>
      </c>
      <c r="H2010" t="inlineStr">
        <is>
          <t>208/230</t>
        </is>
      </c>
      <c r="I2010" s="2" t="n">
        <v>208</v>
      </c>
      <c r="J2010" s="2" t="n">
        <v>230</v>
      </c>
      <c r="L2010" s="3" t="n"/>
      <c r="M2010" s="3" t="n"/>
      <c r="N2010" s="3" t="n">
        <v>72</v>
      </c>
      <c r="O2010" s="3" t="n"/>
      <c r="P2010" s="3">
        <f>IF(L2010&lt;&gt;"",L2010/1.4,"")</f>
        <v/>
      </c>
      <c r="Q2010" s="3">
        <f>IF(L2010&lt;&gt;"",L2010/1.56,"")</f>
        <v/>
      </c>
      <c r="R2010" s="3">
        <f>IF(M2010&lt;&gt;"",M2010/1.4,"")</f>
        <v/>
      </c>
      <c r="S2010" s="3">
        <f>IF(M2010&lt;&gt;"",M2010/1.56,"")</f>
        <v/>
      </c>
      <c r="T2010" s="3">
        <f>IF(N2010&lt;&gt;"",N2010,IF(O2010&lt;&gt;"",O2010,IF(L2010&lt;&gt;"",L2010/1.56,IF(M2010&lt;&gt;"",M2010/1.56,""))))</f>
        <v/>
      </c>
      <c r="U2010" s="3" t="n">
        <v>308</v>
      </c>
      <c r="V2010" s="3" t="n">
        <v>188</v>
      </c>
      <c r="W2010" s="3" t="n"/>
      <c r="X2010" s="4" t="n"/>
      <c r="Y2010" s="5" t="n">
        <v>0.174</v>
      </c>
      <c r="Z2010" s="4">
        <f>IF(L2010&lt;&gt;"",SQRT(3)*G2010*L2010/1000,"")</f>
        <v/>
      </c>
      <c r="AA2010" t="inlineStr">
        <is>
          <t>Source=Copeland 2D/3D/4D/4R/6D/8D/9R compressors (pdf) p107; PWS_RLA=36.0</t>
        </is>
      </c>
      <c r="AB2010" t="inlineStr">
        <is>
          <t>Copeland_RLA_230_460_3ph_60Hz.xlsx</t>
        </is>
      </c>
      <c r="AC2010" t="inlineStr">
        <is>
          <t>Recip_2D-9R</t>
        </is>
      </c>
    </row>
    <row r="2011">
      <c r="A2011" t="inlineStr">
        <is>
          <t>COPELAND</t>
        </is>
      </c>
      <c r="B2011" t="inlineStr">
        <is>
          <t>6RK2-2000-TSK</t>
        </is>
      </c>
      <c r="D2011" t="inlineStr">
        <is>
          <t>Reciprocating Semi-hermetic</t>
        </is>
      </c>
      <c r="E2011" s="2" t="n">
        <v>3</v>
      </c>
      <c r="F2011" s="2" t="n">
        <v>60</v>
      </c>
      <c r="G2011" s="2" t="n">
        <v>460</v>
      </c>
      <c r="H2011" t="inlineStr">
        <is>
          <t>460</t>
        </is>
      </c>
      <c r="I2011" s="2" t="n">
        <v>460</v>
      </c>
      <c r="J2011" s="2" t="n">
        <v>460</v>
      </c>
      <c r="L2011" s="3" t="n"/>
      <c r="M2011" s="3" t="n"/>
      <c r="N2011" s="3" t="n">
        <v>36</v>
      </c>
      <c r="O2011" s="3" t="n"/>
      <c r="P2011" s="3">
        <f>IF(L2011&lt;&gt;"",L2011/1.4,"")</f>
        <v/>
      </c>
      <c r="Q2011" s="3">
        <f>IF(L2011&lt;&gt;"",L2011/1.56,"")</f>
        <v/>
      </c>
      <c r="R2011" s="3">
        <f>IF(M2011&lt;&gt;"",M2011/1.4,"")</f>
        <v/>
      </c>
      <c r="S2011" s="3">
        <f>IF(M2011&lt;&gt;"",M2011/1.56,"")</f>
        <v/>
      </c>
      <c r="T2011" s="3">
        <f>IF(N2011&lt;&gt;"",N2011,IF(O2011&lt;&gt;"",O2011,IF(L2011&lt;&gt;"",L2011/1.56,IF(M2011&lt;&gt;"",M2011/1.56,""))))</f>
        <v/>
      </c>
      <c r="U2011" s="3" t="n">
        <v>154</v>
      </c>
      <c r="V2011" s="3" t="n"/>
      <c r="W2011" s="3" t="n"/>
      <c r="X2011" s="4" t="n"/>
      <c r="Y2011" s="5" t="n">
        <v>0.696</v>
      </c>
      <c r="Z2011" s="4">
        <f>IF(L2011&lt;&gt;"",SQRT(3)*G2011*L2011/1000,"")</f>
        <v/>
      </c>
      <c r="AA2011" t="inlineStr">
        <is>
          <t>Source=Copeland 2D/3D/4D/4R/6D/8D/9R compressors (pdf) p107</t>
        </is>
      </c>
      <c r="AB2011" t="inlineStr">
        <is>
          <t>Copeland_RLA_230_460_3ph_60Hz.xlsx</t>
        </is>
      </c>
      <c r="AC2011" t="inlineStr">
        <is>
          <t>Recip_2D-9R</t>
        </is>
      </c>
    </row>
    <row r="2012">
      <c r="A2012" t="inlineStr">
        <is>
          <t>COPELAND</t>
        </is>
      </c>
      <c r="B2012" t="inlineStr">
        <is>
          <t>6RK2-3500-FSD</t>
        </is>
      </c>
      <c r="D2012" t="inlineStr">
        <is>
          <t>Reciprocating Semi-hermetic</t>
        </is>
      </c>
      <c r="E2012" s="2" t="n">
        <v>3</v>
      </c>
      <c r="F2012" s="2" t="n">
        <v>60</v>
      </c>
      <c r="G2012" s="2" t="n">
        <v>460</v>
      </c>
      <c r="H2012" t="inlineStr">
        <is>
          <t>460</t>
        </is>
      </c>
      <c r="I2012" s="2" t="n">
        <v>460</v>
      </c>
      <c r="J2012" s="2" t="n">
        <v>460</v>
      </c>
      <c r="L2012" s="3" t="n"/>
      <c r="M2012" s="3" t="n"/>
      <c r="N2012" s="3" t="n">
        <v>67.5</v>
      </c>
      <c r="O2012" s="3" t="n"/>
      <c r="P2012" s="3">
        <f>IF(L2012&lt;&gt;"",L2012/1.4,"")</f>
        <v/>
      </c>
      <c r="Q2012" s="3">
        <f>IF(L2012&lt;&gt;"",L2012/1.56,"")</f>
        <v/>
      </c>
      <c r="R2012" s="3">
        <f>IF(M2012&lt;&gt;"",M2012/1.4,"")</f>
        <v/>
      </c>
      <c r="S2012" s="3">
        <f>IF(M2012&lt;&gt;"",M2012/1.56,"")</f>
        <v/>
      </c>
      <c r="T2012" s="3">
        <f>IF(N2012&lt;&gt;"",N2012,IF(O2012&lt;&gt;"",O2012,IF(L2012&lt;&gt;"",L2012/1.56,IF(M2012&lt;&gt;"",M2012/1.56,""))))</f>
        <v/>
      </c>
      <c r="U2012" s="3" t="n">
        <v>225</v>
      </c>
      <c r="V2012" s="3" t="n">
        <v>150</v>
      </c>
      <c r="W2012" s="3" t="n"/>
      <c r="X2012" s="4" t="n"/>
      <c r="Y2012" s="5" t="n">
        <v>0.4</v>
      </c>
      <c r="Z2012" s="4">
        <f>IF(L2012&lt;&gt;"",SQRT(3)*G2012*L2012/1000,"")</f>
        <v/>
      </c>
      <c r="AA2012" t="inlineStr">
        <is>
          <t>Source=Copeland 2D/3D/4D/4R/6D/8D/9R compressors (pdf) p107; PWS_RLA=33.8</t>
        </is>
      </c>
      <c r="AB2012" t="inlineStr">
        <is>
          <t>Copeland_RLA_230_460_3ph_60Hz.xlsx</t>
        </is>
      </c>
      <c r="AC2012" t="inlineStr">
        <is>
          <t>Recip_2D-9R</t>
        </is>
      </c>
    </row>
    <row r="2013">
      <c r="A2013" t="inlineStr">
        <is>
          <t>COPELAND</t>
        </is>
      </c>
      <c r="B2013" t="inlineStr">
        <is>
          <t>6RK2-3500-TSK</t>
        </is>
      </c>
      <c r="D2013" t="inlineStr">
        <is>
          <t>Reciprocating Semi-hermetic</t>
        </is>
      </c>
      <c r="E2013" s="2" t="n">
        <v>3</v>
      </c>
      <c r="F2013" s="2" t="n">
        <v>60</v>
      </c>
      <c r="G2013" s="2" t="n">
        <v>230</v>
      </c>
      <c r="H2013" t="inlineStr">
        <is>
          <t>208/230</t>
        </is>
      </c>
      <c r="I2013" s="2" t="n">
        <v>208</v>
      </c>
      <c r="J2013" s="2" t="n">
        <v>230</v>
      </c>
      <c r="L2013" s="3" t="n"/>
      <c r="M2013" s="3" t="n"/>
      <c r="N2013" s="3" t="n">
        <v>134.3</v>
      </c>
      <c r="O2013" s="3" t="n"/>
      <c r="P2013" s="3">
        <f>IF(L2013&lt;&gt;"",L2013/1.4,"")</f>
        <v/>
      </c>
      <c r="Q2013" s="3">
        <f>IF(L2013&lt;&gt;"",L2013/1.56,"")</f>
        <v/>
      </c>
      <c r="R2013" s="3">
        <f>IF(M2013&lt;&gt;"",M2013/1.4,"")</f>
        <v/>
      </c>
      <c r="S2013" s="3">
        <f>IF(M2013&lt;&gt;"",M2013/1.56,"")</f>
        <v/>
      </c>
      <c r="T2013" s="3">
        <f>IF(N2013&lt;&gt;"",N2013,IF(O2013&lt;&gt;"",O2013,IF(L2013&lt;&gt;"",L2013/1.56,IF(M2013&lt;&gt;"",M2013/1.56,""))))</f>
        <v/>
      </c>
      <c r="U2013" s="3" t="n">
        <v>565</v>
      </c>
      <c r="V2013" s="3" t="n">
        <v>340</v>
      </c>
      <c r="W2013" s="3" t="n"/>
      <c r="X2013" s="4" t="n"/>
      <c r="Y2013" s="5" t="n">
        <v>0.08699999999999999</v>
      </c>
      <c r="Z2013" s="4">
        <f>IF(L2013&lt;&gt;"",SQRT(3)*G2013*L2013/1000,"")</f>
        <v/>
      </c>
      <c r="AA2013" t="inlineStr">
        <is>
          <t>Source=Copeland 2D/3D/4D/4R/6D/8D/9R compressors (pdf) p107; PWS_RLA=67.5</t>
        </is>
      </c>
      <c r="AB2013" t="inlineStr">
        <is>
          <t>Copeland_RLA_230_460_3ph_60Hz.xlsx</t>
        </is>
      </c>
      <c r="AC2013" t="inlineStr">
        <is>
          <t>Recip_2D-9R</t>
        </is>
      </c>
    </row>
    <row r="2014">
      <c r="A2014" t="inlineStr">
        <is>
          <t>COPELAND</t>
        </is>
      </c>
      <c r="B2014" t="inlineStr">
        <is>
          <t>6RK2-3500-TSK</t>
        </is>
      </c>
      <c r="D2014" t="inlineStr">
        <is>
          <t>Reciprocating Semi-hermetic</t>
        </is>
      </c>
      <c r="E2014" s="2" t="n">
        <v>3</v>
      </c>
      <c r="F2014" s="2" t="n">
        <v>60</v>
      </c>
      <c r="G2014" s="2" t="n">
        <v>460</v>
      </c>
      <c r="H2014" t="inlineStr">
        <is>
          <t>460</t>
        </is>
      </c>
      <c r="I2014" s="2" t="n">
        <v>460</v>
      </c>
      <c r="J2014" s="2" t="n">
        <v>460</v>
      </c>
      <c r="L2014" s="3" t="n"/>
      <c r="M2014" s="3" t="n"/>
      <c r="N2014" s="3" t="n">
        <v>67.09999999999999</v>
      </c>
      <c r="O2014" s="3" t="n"/>
      <c r="P2014" s="3">
        <f>IF(L2014&lt;&gt;"",L2014/1.4,"")</f>
        <v/>
      </c>
      <c r="Q2014" s="3">
        <f>IF(L2014&lt;&gt;"",L2014/1.56,"")</f>
        <v/>
      </c>
      <c r="R2014" s="3">
        <f>IF(M2014&lt;&gt;"",M2014/1.4,"")</f>
        <v/>
      </c>
      <c r="S2014" s="3">
        <f>IF(M2014&lt;&gt;"",M2014/1.56,"")</f>
        <v/>
      </c>
      <c r="T2014" s="3">
        <f>IF(N2014&lt;&gt;"",N2014,IF(O2014&lt;&gt;"",O2014,IF(L2014&lt;&gt;"",L2014/1.56,IF(M2014&lt;&gt;"",M2014/1.56,""))))</f>
        <v/>
      </c>
      <c r="U2014" s="3" t="n">
        <v>283</v>
      </c>
      <c r="V2014" s="3" t="n"/>
      <c r="W2014" s="3" t="n"/>
      <c r="X2014" s="4" t="n"/>
      <c r="Y2014" s="5" t="n">
        <v>0.348</v>
      </c>
      <c r="Z2014" s="4">
        <f>IF(L2014&lt;&gt;"",SQRT(3)*G2014*L2014/1000,"")</f>
        <v/>
      </c>
      <c r="AA2014" t="inlineStr">
        <is>
          <t>Source=Copeland 2D/3D/4D/4R/6D/8D/9R compressors (pdf) p107</t>
        </is>
      </c>
      <c r="AB2014" t="inlineStr">
        <is>
          <t>Copeland_RLA_230_460_3ph_60Hz.xlsx</t>
        </is>
      </c>
      <c r="AC2014" t="inlineStr">
        <is>
          <t>Recip_2D-9R</t>
        </is>
      </c>
    </row>
    <row r="2015">
      <c r="A2015" t="inlineStr">
        <is>
          <t>COPELAND</t>
        </is>
      </c>
      <c r="B2015" t="inlineStr">
        <is>
          <t>6RK2-350A-TSK</t>
        </is>
      </c>
      <c r="D2015" t="inlineStr">
        <is>
          <t>Reciprocating Semi-hermetic</t>
        </is>
      </c>
      <c r="E2015" s="2" t="n">
        <v>3</v>
      </c>
      <c r="F2015" s="2" t="n">
        <v>60</v>
      </c>
      <c r="G2015" s="2" t="n">
        <v>230</v>
      </c>
      <c r="H2015" t="inlineStr">
        <is>
          <t>208/230</t>
        </is>
      </c>
      <c r="I2015" s="2" t="n">
        <v>208</v>
      </c>
      <c r="J2015" s="2" t="n">
        <v>230</v>
      </c>
      <c r="L2015" s="3" t="n"/>
      <c r="M2015" s="3" t="n"/>
      <c r="N2015" s="3" t="n">
        <v>134.3</v>
      </c>
      <c r="O2015" s="3" t="n"/>
      <c r="P2015" s="3">
        <f>IF(L2015&lt;&gt;"",L2015/1.4,"")</f>
        <v/>
      </c>
      <c r="Q2015" s="3">
        <f>IF(L2015&lt;&gt;"",L2015/1.56,"")</f>
        <v/>
      </c>
      <c r="R2015" s="3">
        <f>IF(M2015&lt;&gt;"",M2015/1.4,"")</f>
        <v/>
      </c>
      <c r="S2015" s="3">
        <f>IF(M2015&lt;&gt;"",M2015/1.56,"")</f>
        <v/>
      </c>
      <c r="T2015" s="3">
        <f>IF(N2015&lt;&gt;"",N2015,IF(O2015&lt;&gt;"",O2015,IF(L2015&lt;&gt;"",L2015/1.56,IF(M2015&lt;&gt;"",M2015/1.56,""))))</f>
        <v/>
      </c>
      <c r="U2015" s="3" t="n">
        <v>565</v>
      </c>
      <c r="V2015" s="3" t="n">
        <v>340</v>
      </c>
      <c r="W2015" s="3" t="n"/>
      <c r="X2015" s="4" t="n"/>
      <c r="Y2015" s="5" t="n">
        <v>0.08699999999999999</v>
      </c>
      <c r="Z2015" s="4">
        <f>IF(L2015&lt;&gt;"",SQRT(3)*G2015*L2015/1000,"")</f>
        <v/>
      </c>
      <c r="AA2015" t="inlineStr">
        <is>
          <t>Source=Copeland 2D/3D/4D/4R/6D/8D/9R compressors (pdf) p107; PWS_RLA=67.5</t>
        </is>
      </c>
      <c r="AB2015" t="inlineStr">
        <is>
          <t>Copeland_RLA_230_460_3ph_60Hz.xlsx</t>
        </is>
      </c>
      <c r="AC2015" t="inlineStr">
        <is>
          <t>Recip_2D-9R</t>
        </is>
      </c>
    </row>
    <row r="2016">
      <c r="A2016" t="inlineStr">
        <is>
          <t>COPELAND</t>
        </is>
      </c>
      <c r="B2016" t="inlineStr">
        <is>
          <t>6RK2-350A-TSK</t>
        </is>
      </c>
      <c r="D2016" t="inlineStr">
        <is>
          <t>Reciprocating Semi-hermetic</t>
        </is>
      </c>
      <c r="E2016" s="2" t="n">
        <v>3</v>
      </c>
      <c r="F2016" s="2" t="n">
        <v>60</v>
      </c>
      <c r="G2016" s="2" t="n">
        <v>460</v>
      </c>
      <c r="H2016" t="inlineStr">
        <is>
          <t>460</t>
        </is>
      </c>
      <c r="I2016" s="2" t="n">
        <v>460</v>
      </c>
      <c r="J2016" s="2" t="n">
        <v>460</v>
      </c>
      <c r="L2016" s="3" t="n"/>
      <c r="M2016" s="3" t="n"/>
      <c r="N2016" s="3" t="n">
        <v>67.09999999999999</v>
      </c>
      <c r="O2016" s="3" t="n"/>
      <c r="P2016" s="3">
        <f>IF(L2016&lt;&gt;"",L2016/1.4,"")</f>
        <v/>
      </c>
      <c r="Q2016" s="3">
        <f>IF(L2016&lt;&gt;"",L2016/1.56,"")</f>
        <v/>
      </c>
      <c r="R2016" s="3">
        <f>IF(M2016&lt;&gt;"",M2016/1.4,"")</f>
        <v/>
      </c>
      <c r="S2016" s="3">
        <f>IF(M2016&lt;&gt;"",M2016/1.56,"")</f>
        <v/>
      </c>
      <c r="T2016" s="3">
        <f>IF(N2016&lt;&gt;"",N2016,IF(O2016&lt;&gt;"",O2016,IF(L2016&lt;&gt;"",L2016/1.56,IF(M2016&lt;&gt;"",M2016/1.56,""))))</f>
        <v/>
      </c>
      <c r="U2016" s="3" t="n">
        <v>283</v>
      </c>
      <c r="V2016" s="3" t="n"/>
      <c r="W2016" s="3" t="n"/>
      <c r="X2016" s="4" t="n"/>
      <c r="Y2016" s="5" t="n">
        <v>0.348</v>
      </c>
      <c r="Z2016" s="4">
        <f>IF(L2016&lt;&gt;"",SQRT(3)*G2016*L2016/1000,"")</f>
        <v/>
      </c>
      <c r="AA2016" t="inlineStr">
        <is>
          <t>Source=Copeland 2D/3D/4D/4R/6D/8D/9R compressors (pdf) p107</t>
        </is>
      </c>
      <c r="AB2016" t="inlineStr">
        <is>
          <t>Copeland_RLA_230_460_3ph_60Hz.xlsx</t>
        </is>
      </c>
      <c r="AC2016" t="inlineStr">
        <is>
          <t>Recip_2D-9R</t>
        </is>
      </c>
    </row>
    <row r="2017">
      <c r="A2017" t="inlineStr">
        <is>
          <t>COPELAND</t>
        </is>
      </c>
      <c r="B2017" t="inlineStr">
        <is>
          <t>6RK5-3500-FSD</t>
        </is>
      </c>
      <c r="D2017" t="inlineStr">
        <is>
          <t>Reciprocating Semi-hermetic</t>
        </is>
      </c>
      <c r="E2017" s="2" t="n">
        <v>3</v>
      </c>
      <c r="F2017" s="2" t="n">
        <v>60</v>
      </c>
      <c r="G2017" s="2" t="n">
        <v>460</v>
      </c>
      <c r="H2017" t="inlineStr">
        <is>
          <t>460</t>
        </is>
      </c>
      <c r="I2017" s="2" t="n">
        <v>460</v>
      </c>
      <c r="J2017" s="2" t="n">
        <v>460</v>
      </c>
      <c r="L2017" s="3" t="n"/>
      <c r="M2017" s="3" t="n"/>
      <c r="N2017" s="3" t="n">
        <v>67.5</v>
      </c>
      <c r="O2017" s="3" t="n"/>
      <c r="P2017" s="3">
        <f>IF(L2017&lt;&gt;"",L2017/1.4,"")</f>
        <v/>
      </c>
      <c r="Q2017" s="3">
        <f>IF(L2017&lt;&gt;"",L2017/1.56,"")</f>
        <v/>
      </c>
      <c r="R2017" s="3">
        <f>IF(M2017&lt;&gt;"",M2017/1.4,"")</f>
        <v/>
      </c>
      <c r="S2017" s="3">
        <f>IF(M2017&lt;&gt;"",M2017/1.56,"")</f>
        <v/>
      </c>
      <c r="T2017" s="3">
        <f>IF(N2017&lt;&gt;"",N2017,IF(O2017&lt;&gt;"",O2017,IF(L2017&lt;&gt;"",L2017/1.56,IF(M2017&lt;&gt;"",M2017/1.56,""))))</f>
        <v/>
      </c>
      <c r="U2017" s="3" t="n">
        <v>225</v>
      </c>
      <c r="V2017" s="3" t="n">
        <v>150</v>
      </c>
      <c r="W2017" s="3" t="n"/>
      <c r="X2017" s="4" t="n"/>
      <c r="Y2017" s="5" t="n">
        <v>0.4</v>
      </c>
      <c r="Z2017" s="4">
        <f>IF(L2017&lt;&gt;"",SQRT(3)*G2017*L2017/1000,"")</f>
        <v/>
      </c>
      <c r="AA2017" t="inlineStr">
        <is>
          <t>Source=Copeland 2D/3D/4D/4R/6D/8D/9R compressors (pdf) p107; PWS_RLA=33.8</t>
        </is>
      </c>
      <c r="AB2017" t="inlineStr">
        <is>
          <t>Copeland_RLA_230_460_3ph_60Hz.xlsx</t>
        </is>
      </c>
      <c r="AC2017" t="inlineStr">
        <is>
          <t>Recip_2D-9R</t>
        </is>
      </c>
    </row>
    <row r="2018">
      <c r="A2018" t="inlineStr">
        <is>
          <t>COPELAND</t>
        </is>
      </c>
      <c r="B2018" t="inlineStr">
        <is>
          <t>6RK5-3500-TSK</t>
        </is>
      </c>
      <c r="D2018" t="inlineStr">
        <is>
          <t>Reciprocating Semi-hermetic</t>
        </is>
      </c>
      <c r="E2018" s="2" t="n">
        <v>3</v>
      </c>
      <c r="F2018" s="2" t="n">
        <v>60</v>
      </c>
      <c r="G2018" s="2" t="n">
        <v>230</v>
      </c>
      <c r="H2018" t="inlineStr">
        <is>
          <t>208/230</t>
        </is>
      </c>
      <c r="I2018" s="2" t="n">
        <v>208</v>
      </c>
      <c r="J2018" s="2" t="n">
        <v>230</v>
      </c>
      <c r="L2018" s="3" t="n"/>
      <c r="M2018" s="3" t="n"/>
      <c r="N2018" s="3" t="n">
        <v>134.3</v>
      </c>
      <c r="O2018" s="3" t="n"/>
      <c r="P2018" s="3">
        <f>IF(L2018&lt;&gt;"",L2018/1.4,"")</f>
        <v/>
      </c>
      <c r="Q2018" s="3">
        <f>IF(L2018&lt;&gt;"",L2018/1.56,"")</f>
        <v/>
      </c>
      <c r="R2018" s="3">
        <f>IF(M2018&lt;&gt;"",M2018/1.4,"")</f>
        <v/>
      </c>
      <c r="S2018" s="3">
        <f>IF(M2018&lt;&gt;"",M2018/1.56,"")</f>
        <v/>
      </c>
      <c r="T2018" s="3">
        <f>IF(N2018&lt;&gt;"",N2018,IF(O2018&lt;&gt;"",O2018,IF(L2018&lt;&gt;"",L2018/1.56,IF(M2018&lt;&gt;"",M2018/1.56,""))))</f>
        <v/>
      </c>
      <c r="U2018" s="3" t="n">
        <v>565</v>
      </c>
      <c r="V2018" s="3" t="n">
        <v>340</v>
      </c>
      <c r="W2018" s="3" t="n"/>
      <c r="X2018" s="4" t="n"/>
      <c r="Y2018" s="5" t="n">
        <v>0.08699999999999999</v>
      </c>
      <c r="Z2018" s="4">
        <f>IF(L2018&lt;&gt;"",SQRT(3)*G2018*L2018/1000,"")</f>
        <v/>
      </c>
      <c r="AA2018" t="inlineStr">
        <is>
          <t>Source=Copeland 2D/3D/4D/4R/6D/8D/9R compressors (pdf) p108; PWS_RLA=67.5</t>
        </is>
      </c>
      <c r="AB2018" t="inlineStr">
        <is>
          <t>Copeland_RLA_230_460_3ph_60Hz.xlsx</t>
        </is>
      </c>
      <c r="AC2018" t="inlineStr">
        <is>
          <t>Recip_2D-9R</t>
        </is>
      </c>
    </row>
    <row r="2019">
      <c r="A2019" t="inlineStr">
        <is>
          <t>COPELAND</t>
        </is>
      </c>
      <c r="B2019" t="inlineStr">
        <is>
          <t>6RK5-3500-TSK</t>
        </is>
      </c>
      <c r="D2019" t="inlineStr">
        <is>
          <t>Reciprocating Semi-hermetic</t>
        </is>
      </c>
      <c r="E2019" s="2" t="n">
        <v>3</v>
      </c>
      <c r="F2019" s="2" t="n">
        <v>60</v>
      </c>
      <c r="G2019" s="2" t="n">
        <v>460</v>
      </c>
      <c r="H2019" t="inlineStr">
        <is>
          <t>460</t>
        </is>
      </c>
      <c r="I2019" s="2" t="n">
        <v>460</v>
      </c>
      <c r="J2019" s="2" t="n">
        <v>460</v>
      </c>
      <c r="L2019" s="3" t="n"/>
      <c r="M2019" s="3" t="n"/>
      <c r="N2019" s="3" t="n">
        <v>67.09999999999999</v>
      </c>
      <c r="O2019" s="3" t="n"/>
      <c r="P2019" s="3">
        <f>IF(L2019&lt;&gt;"",L2019/1.4,"")</f>
        <v/>
      </c>
      <c r="Q2019" s="3">
        <f>IF(L2019&lt;&gt;"",L2019/1.56,"")</f>
        <v/>
      </c>
      <c r="R2019" s="3">
        <f>IF(M2019&lt;&gt;"",M2019/1.4,"")</f>
        <v/>
      </c>
      <c r="S2019" s="3">
        <f>IF(M2019&lt;&gt;"",M2019/1.56,"")</f>
        <v/>
      </c>
      <c r="T2019" s="3">
        <f>IF(N2019&lt;&gt;"",N2019,IF(O2019&lt;&gt;"",O2019,IF(L2019&lt;&gt;"",L2019/1.56,IF(M2019&lt;&gt;"",M2019/1.56,""))))</f>
        <v/>
      </c>
      <c r="U2019" s="3" t="n">
        <v>283</v>
      </c>
      <c r="V2019" s="3" t="n"/>
      <c r="W2019" s="3" t="n"/>
      <c r="X2019" s="4" t="n"/>
      <c r="Y2019" s="5" t="n">
        <v>0.348</v>
      </c>
      <c r="Z2019" s="4">
        <f>IF(L2019&lt;&gt;"",SQRT(3)*G2019*L2019/1000,"")</f>
        <v/>
      </c>
      <c r="AA2019" t="inlineStr">
        <is>
          <t>Source=Copeland 2D/3D/4D/4R/6D/8D/9R compressors (pdf) p108</t>
        </is>
      </c>
      <c r="AB2019" t="inlineStr">
        <is>
          <t>Copeland_RLA_230_460_3ph_60Hz.xlsx</t>
        </is>
      </c>
      <c r="AC2019" t="inlineStr">
        <is>
          <t>Recip_2D-9R</t>
        </is>
      </c>
    </row>
    <row r="2020">
      <c r="A2020" t="inlineStr">
        <is>
          <t>COPELAND</t>
        </is>
      </c>
      <c r="B2020" t="inlineStr">
        <is>
          <t>6RL1-2500-TSK</t>
        </is>
      </c>
      <c r="D2020" t="inlineStr">
        <is>
          <t>Reciprocating Semi-hermetic</t>
        </is>
      </c>
      <c r="E2020" s="2" t="n">
        <v>3</v>
      </c>
      <c r="F2020" s="2" t="n">
        <v>60</v>
      </c>
      <c r="G2020" s="2" t="n">
        <v>230</v>
      </c>
      <c r="H2020" t="inlineStr">
        <is>
          <t>208/230</t>
        </is>
      </c>
      <c r="I2020" s="2" t="n">
        <v>208</v>
      </c>
      <c r="J2020" s="2" t="n">
        <v>230</v>
      </c>
      <c r="L2020" s="3" t="n"/>
      <c r="M2020" s="3" t="n"/>
      <c r="N2020" s="3" t="n">
        <v>96.90000000000001</v>
      </c>
      <c r="O2020" s="3" t="n"/>
      <c r="P2020" s="3">
        <f>IF(L2020&lt;&gt;"",L2020/1.4,"")</f>
        <v/>
      </c>
      <c r="Q2020" s="3">
        <f>IF(L2020&lt;&gt;"",L2020/1.56,"")</f>
        <v/>
      </c>
      <c r="R2020" s="3">
        <f>IF(M2020&lt;&gt;"",M2020/1.4,"")</f>
        <v/>
      </c>
      <c r="S2020" s="3">
        <f>IF(M2020&lt;&gt;"",M2020/1.56,"")</f>
        <v/>
      </c>
      <c r="T2020" s="3">
        <f>IF(N2020&lt;&gt;"",N2020,IF(O2020&lt;&gt;"",O2020,IF(L2020&lt;&gt;"",L2020/1.56,IF(M2020&lt;&gt;"",M2020/1.56,""))))</f>
        <v/>
      </c>
      <c r="U2020" s="3" t="n">
        <v>428</v>
      </c>
      <c r="V2020" s="3" t="n">
        <v>250</v>
      </c>
      <c r="W2020" s="3" t="n"/>
      <c r="X2020" s="4" t="n"/>
      <c r="Y2020" s="5" t="n">
        <v>0.132</v>
      </c>
      <c r="Z2020" s="4">
        <f>IF(L2020&lt;&gt;"",SQRT(3)*G2020*L2020/1000,"")</f>
        <v/>
      </c>
      <c r="AA2020" t="inlineStr">
        <is>
          <t>Source=Copeland 2D/3D/4D/4R/6D/8D/9R compressors (pdf) p108; PWS_RLA=48.5</t>
        </is>
      </c>
      <c r="AB2020" t="inlineStr">
        <is>
          <t>Copeland_RLA_230_460_3ph_60Hz.xlsx</t>
        </is>
      </c>
      <c r="AC2020" t="inlineStr">
        <is>
          <t>Recip_2D-9R</t>
        </is>
      </c>
    </row>
    <row r="2021">
      <c r="A2021" t="inlineStr">
        <is>
          <t>COPELAND</t>
        </is>
      </c>
      <c r="B2021" t="inlineStr">
        <is>
          <t>6RL1-2500-TSK</t>
        </is>
      </c>
      <c r="D2021" t="inlineStr">
        <is>
          <t>Reciprocating Semi-hermetic</t>
        </is>
      </c>
      <c r="E2021" s="2" t="n">
        <v>3</v>
      </c>
      <c r="F2021" s="2" t="n">
        <v>60</v>
      </c>
      <c r="G2021" s="2" t="n">
        <v>460</v>
      </c>
      <c r="H2021" t="inlineStr">
        <is>
          <t>460</t>
        </is>
      </c>
      <c r="I2021" s="2" t="n">
        <v>460</v>
      </c>
      <c r="J2021" s="2" t="n">
        <v>460</v>
      </c>
      <c r="L2021" s="3" t="n"/>
      <c r="M2021" s="3" t="n"/>
      <c r="N2021" s="3" t="n">
        <v>48.5</v>
      </c>
      <c r="O2021" s="3" t="n"/>
      <c r="P2021" s="3">
        <f>IF(L2021&lt;&gt;"",L2021/1.4,"")</f>
        <v/>
      </c>
      <c r="Q2021" s="3">
        <f>IF(L2021&lt;&gt;"",L2021/1.56,"")</f>
        <v/>
      </c>
      <c r="R2021" s="3">
        <f>IF(M2021&lt;&gt;"",M2021/1.4,"")</f>
        <v/>
      </c>
      <c r="S2021" s="3">
        <f>IF(M2021&lt;&gt;"",M2021/1.56,"")</f>
        <v/>
      </c>
      <c r="T2021" s="3">
        <f>IF(N2021&lt;&gt;"",N2021,IF(O2021&lt;&gt;"",O2021,IF(L2021&lt;&gt;"",L2021/1.56,IF(M2021&lt;&gt;"",M2021/1.56,""))))</f>
        <v/>
      </c>
      <c r="U2021" s="3" t="n">
        <v>214</v>
      </c>
      <c r="V2021" s="3" t="n"/>
      <c r="W2021" s="3" t="n"/>
      <c r="X2021" s="4" t="n"/>
      <c r="Y2021" s="5" t="n">
        <v>0.528</v>
      </c>
      <c r="Z2021" s="4">
        <f>IF(L2021&lt;&gt;"",SQRT(3)*G2021*L2021/1000,"")</f>
        <v/>
      </c>
      <c r="AA2021" t="inlineStr">
        <is>
          <t>Source=Copeland 2D/3D/4D/4R/6D/8D/9R compressors (pdf) p108</t>
        </is>
      </c>
      <c r="AB2021" t="inlineStr">
        <is>
          <t>Copeland_RLA_230_460_3ph_60Hz.xlsx</t>
        </is>
      </c>
      <c r="AC2021" t="inlineStr">
        <is>
          <t>Recip_2D-9R</t>
        </is>
      </c>
    </row>
    <row r="2022">
      <c r="A2022" t="inlineStr">
        <is>
          <t>COPELAND</t>
        </is>
      </c>
      <c r="B2022" t="inlineStr">
        <is>
          <t>6RL1-250A-TSK</t>
        </is>
      </c>
      <c r="D2022" t="inlineStr">
        <is>
          <t>Reciprocating Semi-hermetic</t>
        </is>
      </c>
      <c r="E2022" s="2" t="n">
        <v>3</v>
      </c>
      <c r="F2022" s="2" t="n">
        <v>60</v>
      </c>
      <c r="G2022" s="2" t="n">
        <v>230</v>
      </c>
      <c r="H2022" t="inlineStr">
        <is>
          <t>208/230</t>
        </is>
      </c>
      <c r="I2022" s="2" t="n">
        <v>208</v>
      </c>
      <c r="J2022" s="2" t="n">
        <v>230</v>
      </c>
      <c r="L2022" s="3" t="n"/>
      <c r="M2022" s="3" t="n"/>
      <c r="N2022" s="3" t="n">
        <v>96.90000000000001</v>
      </c>
      <c r="O2022" s="3" t="n"/>
      <c r="P2022" s="3">
        <f>IF(L2022&lt;&gt;"",L2022/1.4,"")</f>
        <v/>
      </c>
      <c r="Q2022" s="3">
        <f>IF(L2022&lt;&gt;"",L2022/1.56,"")</f>
        <v/>
      </c>
      <c r="R2022" s="3">
        <f>IF(M2022&lt;&gt;"",M2022/1.4,"")</f>
        <v/>
      </c>
      <c r="S2022" s="3">
        <f>IF(M2022&lt;&gt;"",M2022/1.56,"")</f>
        <v/>
      </c>
      <c r="T2022" s="3">
        <f>IF(N2022&lt;&gt;"",N2022,IF(O2022&lt;&gt;"",O2022,IF(L2022&lt;&gt;"",L2022/1.56,IF(M2022&lt;&gt;"",M2022/1.56,""))))</f>
        <v/>
      </c>
      <c r="U2022" s="3" t="n">
        <v>428</v>
      </c>
      <c r="V2022" s="3" t="n">
        <v>250</v>
      </c>
      <c r="W2022" s="3" t="n"/>
      <c r="X2022" s="4" t="n"/>
      <c r="Y2022" s="5" t="n">
        <v>0.132</v>
      </c>
      <c r="Z2022" s="4">
        <f>IF(L2022&lt;&gt;"",SQRT(3)*G2022*L2022/1000,"")</f>
        <v/>
      </c>
      <c r="AA2022" t="inlineStr">
        <is>
          <t>Source=Copeland 2D/3D/4D/4R/6D/8D/9R compressors (pdf) p108; PWS_RLA=48.5</t>
        </is>
      </c>
      <c r="AB2022" t="inlineStr">
        <is>
          <t>Copeland_RLA_230_460_3ph_60Hz.xlsx</t>
        </is>
      </c>
      <c r="AC2022" t="inlineStr">
        <is>
          <t>Recip_2D-9R</t>
        </is>
      </c>
    </row>
    <row r="2023">
      <c r="A2023" t="inlineStr">
        <is>
          <t>COPELAND</t>
        </is>
      </c>
      <c r="B2023" t="inlineStr">
        <is>
          <t>6RL1-250A-TSK</t>
        </is>
      </c>
      <c r="D2023" t="inlineStr">
        <is>
          <t>Reciprocating Semi-hermetic</t>
        </is>
      </c>
      <c r="E2023" s="2" t="n">
        <v>3</v>
      </c>
      <c r="F2023" s="2" t="n">
        <v>60</v>
      </c>
      <c r="G2023" s="2" t="n">
        <v>460</v>
      </c>
      <c r="H2023" t="inlineStr">
        <is>
          <t>460</t>
        </is>
      </c>
      <c r="I2023" s="2" t="n">
        <v>460</v>
      </c>
      <c r="J2023" s="2" t="n">
        <v>460</v>
      </c>
      <c r="L2023" s="3" t="n"/>
      <c r="M2023" s="3" t="n"/>
      <c r="N2023" s="3" t="n">
        <v>48.5</v>
      </c>
      <c r="O2023" s="3" t="n"/>
      <c r="P2023" s="3">
        <f>IF(L2023&lt;&gt;"",L2023/1.4,"")</f>
        <v/>
      </c>
      <c r="Q2023" s="3">
        <f>IF(L2023&lt;&gt;"",L2023/1.56,"")</f>
        <v/>
      </c>
      <c r="R2023" s="3">
        <f>IF(M2023&lt;&gt;"",M2023/1.4,"")</f>
        <v/>
      </c>
      <c r="S2023" s="3">
        <f>IF(M2023&lt;&gt;"",M2023/1.56,"")</f>
        <v/>
      </c>
      <c r="T2023" s="3">
        <f>IF(N2023&lt;&gt;"",N2023,IF(O2023&lt;&gt;"",O2023,IF(L2023&lt;&gt;"",L2023/1.56,IF(M2023&lt;&gt;"",M2023/1.56,""))))</f>
        <v/>
      </c>
      <c r="U2023" s="3" t="n">
        <v>214</v>
      </c>
      <c r="V2023" s="3" t="n"/>
      <c r="W2023" s="3" t="n"/>
      <c r="X2023" s="4" t="n"/>
      <c r="Y2023" s="5" t="n">
        <v>0.528</v>
      </c>
      <c r="Z2023" s="4">
        <f>IF(L2023&lt;&gt;"",SQRT(3)*G2023*L2023/1000,"")</f>
        <v/>
      </c>
      <c r="AA2023" t="inlineStr">
        <is>
          <t>Source=Copeland 2D/3D/4D/4R/6D/8D/9R compressors (pdf) p108</t>
        </is>
      </c>
      <c r="AB2023" t="inlineStr">
        <is>
          <t>Copeland_RLA_230_460_3ph_60Hz.xlsx</t>
        </is>
      </c>
      <c r="AC2023" t="inlineStr">
        <is>
          <t>Recip_2D-9R</t>
        </is>
      </c>
    </row>
    <row r="2024">
      <c r="A2024" t="inlineStr">
        <is>
          <t>COPELAND</t>
        </is>
      </c>
      <c r="B2024" t="inlineStr">
        <is>
          <t>6RL1-250L-TSK</t>
        </is>
      </c>
      <c r="D2024" t="inlineStr">
        <is>
          <t>Reciprocating Semi-hermetic</t>
        </is>
      </c>
      <c r="E2024" s="2" t="n">
        <v>3</v>
      </c>
      <c r="F2024" s="2" t="n">
        <v>60</v>
      </c>
      <c r="G2024" s="2" t="n">
        <v>230</v>
      </c>
      <c r="H2024" t="inlineStr">
        <is>
          <t>208/230</t>
        </is>
      </c>
      <c r="I2024" s="2" t="n">
        <v>208</v>
      </c>
      <c r="J2024" s="2" t="n">
        <v>230</v>
      </c>
      <c r="L2024" s="3" t="n"/>
      <c r="M2024" s="3" t="n"/>
      <c r="N2024" s="3" t="n">
        <v>96.90000000000001</v>
      </c>
      <c r="O2024" s="3" t="n"/>
      <c r="P2024" s="3">
        <f>IF(L2024&lt;&gt;"",L2024/1.4,"")</f>
        <v/>
      </c>
      <c r="Q2024" s="3">
        <f>IF(L2024&lt;&gt;"",L2024/1.56,"")</f>
        <v/>
      </c>
      <c r="R2024" s="3">
        <f>IF(M2024&lt;&gt;"",M2024/1.4,"")</f>
        <v/>
      </c>
      <c r="S2024" s="3">
        <f>IF(M2024&lt;&gt;"",M2024/1.56,"")</f>
        <v/>
      </c>
      <c r="T2024" s="3">
        <f>IF(N2024&lt;&gt;"",N2024,IF(O2024&lt;&gt;"",O2024,IF(L2024&lt;&gt;"",L2024/1.56,IF(M2024&lt;&gt;"",M2024/1.56,""))))</f>
        <v/>
      </c>
      <c r="U2024" s="3" t="n">
        <v>428</v>
      </c>
      <c r="V2024" s="3" t="n">
        <v>250</v>
      </c>
      <c r="W2024" s="3" t="n"/>
      <c r="X2024" s="4" t="n"/>
      <c r="Y2024" s="5" t="n">
        <v>0.132</v>
      </c>
      <c r="Z2024" s="4">
        <f>IF(L2024&lt;&gt;"",SQRT(3)*G2024*L2024/1000,"")</f>
        <v/>
      </c>
      <c r="AA2024" t="inlineStr">
        <is>
          <t>Source=Copeland 2D/3D/4D/4R/6D/8D/9R compressors (pdf) p108; PWS_RLA=48.5</t>
        </is>
      </c>
      <c r="AB2024" t="inlineStr">
        <is>
          <t>Copeland_RLA_230_460_3ph_60Hz.xlsx</t>
        </is>
      </c>
      <c r="AC2024" t="inlineStr">
        <is>
          <t>Recip_2D-9R</t>
        </is>
      </c>
    </row>
    <row r="2025">
      <c r="A2025" t="inlineStr">
        <is>
          <t>COPELAND</t>
        </is>
      </c>
      <c r="B2025" t="inlineStr">
        <is>
          <t>6RL1-250L-TSK</t>
        </is>
      </c>
      <c r="D2025" t="inlineStr">
        <is>
          <t>Reciprocating Semi-hermetic</t>
        </is>
      </c>
      <c r="E2025" s="2" t="n">
        <v>3</v>
      </c>
      <c r="F2025" s="2" t="n">
        <v>60</v>
      </c>
      <c r="G2025" s="2" t="n">
        <v>460</v>
      </c>
      <c r="H2025" t="inlineStr">
        <is>
          <t>460</t>
        </is>
      </c>
      <c r="I2025" s="2" t="n">
        <v>460</v>
      </c>
      <c r="J2025" s="2" t="n">
        <v>460</v>
      </c>
      <c r="L2025" s="3" t="n"/>
      <c r="M2025" s="3" t="n"/>
      <c r="N2025" s="3" t="n">
        <v>48.5</v>
      </c>
      <c r="O2025" s="3" t="n"/>
      <c r="P2025" s="3">
        <f>IF(L2025&lt;&gt;"",L2025/1.4,"")</f>
        <v/>
      </c>
      <c r="Q2025" s="3">
        <f>IF(L2025&lt;&gt;"",L2025/1.56,"")</f>
        <v/>
      </c>
      <c r="R2025" s="3">
        <f>IF(M2025&lt;&gt;"",M2025/1.4,"")</f>
        <v/>
      </c>
      <c r="S2025" s="3">
        <f>IF(M2025&lt;&gt;"",M2025/1.56,"")</f>
        <v/>
      </c>
      <c r="T2025" s="3">
        <f>IF(N2025&lt;&gt;"",N2025,IF(O2025&lt;&gt;"",O2025,IF(L2025&lt;&gt;"",L2025/1.56,IF(M2025&lt;&gt;"",M2025/1.56,""))))</f>
        <v/>
      </c>
      <c r="U2025" s="3" t="n">
        <v>214</v>
      </c>
      <c r="V2025" s="3" t="n"/>
      <c r="W2025" s="3" t="n"/>
      <c r="X2025" s="4" t="n"/>
      <c r="Y2025" s="5" t="n">
        <v>0.528</v>
      </c>
      <c r="Z2025" s="4">
        <f>IF(L2025&lt;&gt;"",SQRT(3)*G2025*L2025/1000,"")</f>
        <v/>
      </c>
      <c r="AA2025" t="inlineStr">
        <is>
          <t>Source=Copeland 2D/3D/4D/4R/6D/8D/9R compressors (pdf) p108</t>
        </is>
      </c>
      <c r="AB2025" t="inlineStr">
        <is>
          <t>Copeland_RLA_230_460_3ph_60Hz.xlsx</t>
        </is>
      </c>
      <c r="AC2025" t="inlineStr">
        <is>
          <t>Recip_2D-9R</t>
        </is>
      </c>
    </row>
    <row r="2026">
      <c r="A2026" t="inlineStr">
        <is>
          <t>COPELAND</t>
        </is>
      </c>
      <c r="B2026" t="inlineStr">
        <is>
          <t>6RN2-2000-FSD</t>
        </is>
      </c>
      <c r="D2026" t="inlineStr">
        <is>
          <t>Reciprocating Semi-hermetic</t>
        </is>
      </c>
      <c r="E2026" s="2" t="n">
        <v>3</v>
      </c>
      <c r="F2026" s="2" t="n">
        <v>60</v>
      </c>
      <c r="G2026" s="2" t="n">
        <v>460</v>
      </c>
      <c r="H2026" t="inlineStr">
        <is>
          <t>460</t>
        </is>
      </c>
      <c r="I2026" s="2" t="n">
        <v>460</v>
      </c>
      <c r="J2026" s="2" t="n">
        <v>460</v>
      </c>
      <c r="L2026" s="3" t="n"/>
      <c r="M2026" s="3" t="n"/>
      <c r="N2026" s="3" t="n">
        <v>38.9</v>
      </c>
      <c r="O2026" s="3" t="n"/>
      <c r="P2026" s="3">
        <f>IF(L2026&lt;&gt;"",L2026/1.4,"")</f>
        <v/>
      </c>
      <c r="Q2026" s="3">
        <f>IF(L2026&lt;&gt;"",L2026/1.56,"")</f>
        <v/>
      </c>
      <c r="R2026" s="3">
        <f>IF(M2026&lt;&gt;"",M2026/1.4,"")</f>
        <v/>
      </c>
      <c r="S2026" s="3">
        <f>IF(M2026&lt;&gt;"",M2026/1.56,"")</f>
        <v/>
      </c>
      <c r="T2026" s="3">
        <f>IF(N2026&lt;&gt;"",N2026,IF(O2026&lt;&gt;"",O2026,IF(L2026&lt;&gt;"",L2026/1.56,IF(M2026&lt;&gt;"",M2026/1.56,""))))</f>
        <v/>
      </c>
      <c r="U2026" s="3" t="n">
        <v>135</v>
      </c>
      <c r="V2026" s="3" t="n">
        <v>82</v>
      </c>
      <c r="W2026" s="3" t="n"/>
      <c r="X2026" s="4" t="n"/>
      <c r="Y2026" s="5" t="n">
        <v>0.757</v>
      </c>
      <c r="Z2026" s="4">
        <f>IF(L2026&lt;&gt;"",SQRT(3)*G2026*L2026/1000,"")</f>
        <v/>
      </c>
      <c r="AA2026" t="inlineStr">
        <is>
          <t>Source=Copeland 2D/3D/4D/4R/6D/8D/9R compressors (pdf) p108; PWS_RLA=19.4</t>
        </is>
      </c>
      <c r="AB2026" t="inlineStr">
        <is>
          <t>Copeland_RLA_230_460_3ph_60Hz.xlsx</t>
        </is>
      </c>
      <c r="AC2026" t="inlineStr">
        <is>
          <t>Recip_2D-9R</t>
        </is>
      </c>
    </row>
    <row r="2027">
      <c r="A2027" t="inlineStr">
        <is>
          <t>COPELAND</t>
        </is>
      </c>
      <c r="B2027" t="inlineStr">
        <is>
          <t>6RN2-2000-TSK</t>
        </is>
      </c>
      <c r="D2027" t="inlineStr">
        <is>
          <t>Reciprocating Semi-hermetic</t>
        </is>
      </c>
      <c r="E2027" s="2" t="n">
        <v>3</v>
      </c>
      <c r="F2027" s="2" t="n">
        <v>60</v>
      </c>
      <c r="G2027" s="2" t="n">
        <v>230</v>
      </c>
      <c r="H2027" t="inlineStr">
        <is>
          <t>208/230</t>
        </is>
      </c>
      <c r="I2027" s="2" t="n">
        <v>208</v>
      </c>
      <c r="J2027" s="2" t="n">
        <v>230</v>
      </c>
      <c r="L2027" s="3" t="n"/>
      <c r="M2027" s="3" t="n"/>
      <c r="N2027" s="3" t="n">
        <v>65.40000000000001</v>
      </c>
      <c r="O2027" s="3" t="n"/>
      <c r="P2027" s="3">
        <f>IF(L2027&lt;&gt;"",L2027/1.4,"")</f>
        <v/>
      </c>
      <c r="Q2027" s="3">
        <f>IF(L2027&lt;&gt;"",L2027/1.56,"")</f>
        <v/>
      </c>
      <c r="R2027" s="3">
        <f>IF(M2027&lt;&gt;"",M2027/1.4,"")</f>
        <v/>
      </c>
      <c r="S2027" s="3">
        <f>IF(M2027&lt;&gt;"",M2027/1.56,"")</f>
        <v/>
      </c>
      <c r="T2027" s="3">
        <f>IF(N2027&lt;&gt;"",N2027,IF(O2027&lt;&gt;"",O2027,IF(L2027&lt;&gt;"",L2027/1.56,IF(M2027&lt;&gt;"",M2027/1.56,""))))</f>
        <v/>
      </c>
      <c r="U2027" s="3" t="n">
        <v>308</v>
      </c>
      <c r="V2027" s="3" t="n">
        <v>188</v>
      </c>
      <c r="W2027" s="3" t="n"/>
      <c r="X2027" s="4" t="n"/>
      <c r="Y2027" s="5" t="n">
        <v>0.173</v>
      </c>
      <c r="Z2027" s="4">
        <f>IF(L2027&lt;&gt;"",SQRT(3)*G2027*L2027/1000,"")</f>
        <v/>
      </c>
      <c r="AA2027" t="inlineStr">
        <is>
          <t>Source=Copeland 2D/3D/4D/4R/6D/8D/9R compressors (pdf) p108; PWS_RLA=33.7</t>
        </is>
      </c>
      <c r="AB2027" t="inlineStr">
        <is>
          <t>Copeland_RLA_230_460_3ph_60Hz.xlsx</t>
        </is>
      </c>
      <c r="AC2027" t="inlineStr">
        <is>
          <t>Recip_2D-9R</t>
        </is>
      </c>
    </row>
    <row r="2028">
      <c r="A2028" t="inlineStr">
        <is>
          <t>COPELAND</t>
        </is>
      </c>
      <c r="B2028" t="inlineStr">
        <is>
          <t>6RN2-2000-TSK</t>
        </is>
      </c>
      <c r="D2028" t="inlineStr">
        <is>
          <t>Reciprocating Semi-hermetic</t>
        </is>
      </c>
      <c r="E2028" s="2" t="n">
        <v>3</v>
      </c>
      <c r="F2028" s="2" t="n">
        <v>60</v>
      </c>
      <c r="G2028" s="2" t="n">
        <v>460</v>
      </c>
      <c r="H2028" t="inlineStr">
        <is>
          <t>460</t>
        </is>
      </c>
      <c r="I2028" s="2" t="n">
        <v>460</v>
      </c>
      <c r="J2028" s="2" t="n">
        <v>460</v>
      </c>
      <c r="L2028" s="3" t="n"/>
      <c r="M2028" s="3" t="n"/>
      <c r="N2028" s="3" t="n">
        <v>32.7</v>
      </c>
      <c r="O2028" s="3" t="n"/>
      <c r="P2028" s="3">
        <f>IF(L2028&lt;&gt;"",L2028/1.4,"")</f>
        <v/>
      </c>
      <c r="Q2028" s="3">
        <f>IF(L2028&lt;&gt;"",L2028/1.56,"")</f>
        <v/>
      </c>
      <c r="R2028" s="3">
        <f>IF(M2028&lt;&gt;"",M2028/1.4,"")</f>
        <v/>
      </c>
      <c r="S2028" s="3">
        <f>IF(M2028&lt;&gt;"",M2028/1.56,"")</f>
        <v/>
      </c>
      <c r="T2028" s="3">
        <f>IF(N2028&lt;&gt;"",N2028,IF(O2028&lt;&gt;"",O2028,IF(L2028&lt;&gt;"",L2028/1.56,IF(M2028&lt;&gt;"",M2028/1.56,""))))</f>
        <v/>
      </c>
      <c r="U2028" s="3" t="n">
        <v>154</v>
      </c>
      <c r="V2028" s="3" t="n"/>
      <c r="W2028" s="3" t="n"/>
      <c r="X2028" s="4" t="n"/>
      <c r="Y2028" s="5" t="n">
        <v>0.6899999999999999</v>
      </c>
      <c r="Z2028" s="4">
        <f>IF(L2028&lt;&gt;"",SQRT(3)*G2028*L2028/1000,"")</f>
        <v/>
      </c>
      <c r="AA2028" t="inlineStr">
        <is>
          <t>Source=Copeland 2D/3D/4D/4R/6D/8D/9R compressors (pdf) p108</t>
        </is>
      </c>
      <c r="AB2028" t="inlineStr">
        <is>
          <t>Copeland_RLA_230_460_3ph_60Hz.xlsx</t>
        </is>
      </c>
      <c r="AC2028" t="inlineStr">
        <is>
          <t>Recip_2D-9R</t>
        </is>
      </c>
    </row>
    <row r="2029">
      <c r="A2029" t="inlineStr">
        <is>
          <t>COPELAND</t>
        </is>
      </c>
      <c r="B2029" t="inlineStr">
        <is>
          <t>6RN2-200A-TSK</t>
        </is>
      </c>
      <c r="D2029" t="inlineStr">
        <is>
          <t>Reciprocating Semi-hermetic</t>
        </is>
      </c>
      <c r="E2029" s="2" t="n">
        <v>3</v>
      </c>
      <c r="F2029" s="2" t="n">
        <v>60</v>
      </c>
      <c r="G2029" s="2" t="n">
        <v>230</v>
      </c>
      <c r="H2029" t="inlineStr">
        <is>
          <t>208/230</t>
        </is>
      </c>
      <c r="I2029" s="2" t="n">
        <v>208</v>
      </c>
      <c r="J2029" s="2" t="n">
        <v>230</v>
      </c>
      <c r="L2029" s="3" t="n"/>
      <c r="M2029" s="3" t="n"/>
      <c r="N2029" s="3" t="n">
        <v>65.40000000000001</v>
      </c>
      <c r="O2029" s="3" t="n"/>
      <c r="P2029" s="3">
        <f>IF(L2029&lt;&gt;"",L2029/1.4,"")</f>
        <v/>
      </c>
      <c r="Q2029" s="3">
        <f>IF(L2029&lt;&gt;"",L2029/1.56,"")</f>
        <v/>
      </c>
      <c r="R2029" s="3">
        <f>IF(M2029&lt;&gt;"",M2029/1.4,"")</f>
        <v/>
      </c>
      <c r="S2029" s="3">
        <f>IF(M2029&lt;&gt;"",M2029/1.56,"")</f>
        <v/>
      </c>
      <c r="T2029" s="3">
        <f>IF(N2029&lt;&gt;"",N2029,IF(O2029&lt;&gt;"",O2029,IF(L2029&lt;&gt;"",L2029/1.56,IF(M2029&lt;&gt;"",M2029/1.56,""))))</f>
        <v/>
      </c>
      <c r="U2029" s="3" t="n">
        <v>308</v>
      </c>
      <c r="V2029" s="3" t="n">
        <v>188</v>
      </c>
      <c r="W2029" s="3" t="n"/>
      <c r="X2029" s="4" t="n"/>
      <c r="Y2029" s="5" t="n">
        <v>0.173</v>
      </c>
      <c r="Z2029" s="4">
        <f>IF(L2029&lt;&gt;"",SQRT(3)*G2029*L2029/1000,"")</f>
        <v/>
      </c>
      <c r="AA2029" t="inlineStr">
        <is>
          <t>Source=Copeland 2D/3D/4D/4R/6D/8D/9R compressors (pdf) p108; PWS_RLA=33.7</t>
        </is>
      </c>
      <c r="AB2029" t="inlineStr">
        <is>
          <t>Copeland_RLA_230_460_3ph_60Hz.xlsx</t>
        </is>
      </c>
      <c r="AC2029" t="inlineStr">
        <is>
          <t>Recip_2D-9R</t>
        </is>
      </c>
    </row>
    <row r="2030">
      <c r="A2030" t="inlineStr">
        <is>
          <t>COPELAND</t>
        </is>
      </c>
      <c r="B2030" t="inlineStr">
        <is>
          <t>6RN2-200A-TSK</t>
        </is>
      </c>
      <c r="D2030" t="inlineStr">
        <is>
          <t>Reciprocating Semi-hermetic</t>
        </is>
      </c>
      <c r="E2030" s="2" t="n">
        <v>3</v>
      </c>
      <c r="F2030" s="2" t="n">
        <v>60</v>
      </c>
      <c r="G2030" s="2" t="n">
        <v>460</v>
      </c>
      <c r="H2030" t="inlineStr">
        <is>
          <t>460</t>
        </is>
      </c>
      <c r="I2030" s="2" t="n">
        <v>460</v>
      </c>
      <c r="J2030" s="2" t="n">
        <v>460</v>
      </c>
      <c r="L2030" s="3" t="n"/>
      <c r="M2030" s="3" t="n"/>
      <c r="N2030" s="3" t="n">
        <v>32.7</v>
      </c>
      <c r="O2030" s="3" t="n"/>
      <c r="P2030" s="3">
        <f>IF(L2030&lt;&gt;"",L2030/1.4,"")</f>
        <v/>
      </c>
      <c r="Q2030" s="3">
        <f>IF(L2030&lt;&gt;"",L2030/1.56,"")</f>
        <v/>
      </c>
      <c r="R2030" s="3">
        <f>IF(M2030&lt;&gt;"",M2030/1.4,"")</f>
        <v/>
      </c>
      <c r="S2030" s="3">
        <f>IF(M2030&lt;&gt;"",M2030/1.56,"")</f>
        <v/>
      </c>
      <c r="T2030" s="3">
        <f>IF(N2030&lt;&gt;"",N2030,IF(O2030&lt;&gt;"",O2030,IF(L2030&lt;&gt;"",L2030/1.56,IF(M2030&lt;&gt;"",M2030/1.56,""))))</f>
        <v/>
      </c>
      <c r="U2030" s="3" t="n">
        <v>154</v>
      </c>
      <c r="V2030" s="3" t="n"/>
      <c r="W2030" s="3" t="n"/>
      <c r="X2030" s="4" t="n"/>
      <c r="Y2030" s="5" t="n">
        <v>0.6899999999999999</v>
      </c>
      <c r="Z2030" s="4">
        <f>IF(L2030&lt;&gt;"",SQRT(3)*G2030*L2030/1000,"")</f>
        <v/>
      </c>
      <c r="AA2030" t="inlineStr">
        <is>
          <t>Source=Copeland 2D/3D/4D/4R/6D/8D/9R compressors (pdf) p108</t>
        </is>
      </c>
      <c r="AB2030" t="inlineStr">
        <is>
          <t>Copeland_RLA_230_460_3ph_60Hz.xlsx</t>
        </is>
      </c>
      <c r="AC2030" t="inlineStr">
        <is>
          <t>Recip_2D-9R</t>
        </is>
      </c>
    </row>
    <row r="2031">
      <c r="A2031" t="inlineStr">
        <is>
          <t>COPELAND</t>
        </is>
      </c>
      <c r="B2031" t="inlineStr">
        <is>
          <t>6RN2-3000-FSD</t>
        </is>
      </c>
      <c r="D2031" t="inlineStr">
        <is>
          <t>Reciprocating Semi-hermetic</t>
        </is>
      </c>
      <c r="E2031" s="2" t="n">
        <v>3</v>
      </c>
      <c r="F2031" s="2" t="n">
        <v>60</v>
      </c>
      <c r="G2031" s="2" t="n">
        <v>460</v>
      </c>
      <c r="H2031" t="inlineStr">
        <is>
          <t>460</t>
        </is>
      </c>
      <c r="I2031" s="2" t="n">
        <v>460</v>
      </c>
      <c r="J2031" s="2" t="n">
        <v>460</v>
      </c>
      <c r="L2031" s="3" t="n"/>
      <c r="M2031" s="3" t="n"/>
      <c r="N2031" s="3" t="n">
        <v>50</v>
      </c>
      <c r="O2031" s="3" t="n"/>
      <c r="P2031" s="3">
        <f>IF(L2031&lt;&gt;"",L2031/1.4,"")</f>
        <v/>
      </c>
      <c r="Q2031" s="3">
        <f>IF(L2031&lt;&gt;"",L2031/1.56,"")</f>
        <v/>
      </c>
      <c r="R2031" s="3">
        <f>IF(M2031&lt;&gt;"",M2031/1.4,"")</f>
        <v/>
      </c>
      <c r="S2031" s="3">
        <f>IF(M2031&lt;&gt;"",M2031/1.56,"")</f>
        <v/>
      </c>
      <c r="T2031" s="3">
        <f>IF(N2031&lt;&gt;"",N2031,IF(O2031&lt;&gt;"",O2031,IF(L2031&lt;&gt;"",L2031/1.56,IF(M2031&lt;&gt;"",M2031/1.56,""))))</f>
        <v/>
      </c>
      <c r="U2031" s="3" t="n">
        <v>200</v>
      </c>
      <c r="V2031" s="3" t="n">
        <v>121</v>
      </c>
      <c r="W2031" s="3" t="n"/>
      <c r="X2031" s="4" t="n"/>
      <c r="Y2031" s="5" t="n">
        <v>0.475</v>
      </c>
      <c r="Z2031" s="4">
        <f>IF(L2031&lt;&gt;"",SQRT(3)*G2031*L2031/1000,"")</f>
        <v/>
      </c>
      <c r="AA2031" t="inlineStr">
        <is>
          <t>Source=Copeland 2D/3D/4D/4R/6D/8D/9R compressors (pdf) p108; PWS_RLA=25.3</t>
        </is>
      </c>
      <c r="AB2031" t="inlineStr">
        <is>
          <t>Copeland_RLA_230_460_3ph_60Hz.xlsx</t>
        </is>
      </c>
      <c r="AC2031" t="inlineStr">
        <is>
          <t>Recip_2D-9R</t>
        </is>
      </c>
    </row>
    <row r="2032">
      <c r="A2032" t="inlineStr">
        <is>
          <t>COPELAND</t>
        </is>
      </c>
      <c r="B2032" t="inlineStr">
        <is>
          <t>6RN2-3000-TSK</t>
        </is>
      </c>
      <c r="D2032" t="inlineStr">
        <is>
          <t>Reciprocating Semi-hermetic</t>
        </is>
      </c>
      <c r="E2032" s="2" t="n">
        <v>3</v>
      </c>
      <c r="F2032" s="2" t="n">
        <v>60</v>
      </c>
      <c r="G2032" s="2" t="n">
        <v>230</v>
      </c>
      <c r="H2032" t="inlineStr">
        <is>
          <t>208/230</t>
        </is>
      </c>
      <c r="I2032" s="2" t="n">
        <v>208</v>
      </c>
      <c r="J2032" s="2" t="n">
        <v>230</v>
      </c>
      <c r="L2032" s="3" t="n"/>
      <c r="M2032" s="3" t="n"/>
      <c r="N2032" s="3" t="n">
        <v>104.3</v>
      </c>
      <c r="O2032" s="3" t="n"/>
      <c r="P2032" s="3">
        <f>IF(L2032&lt;&gt;"",L2032/1.4,"")</f>
        <v/>
      </c>
      <c r="Q2032" s="3">
        <f>IF(L2032&lt;&gt;"",L2032/1.56,"")</f>
        <v/>
      </c>
      <c r="R2032" s="3">
        <f>IF(M2032&lt;&gt;"",M2032/1.4,"")</f>
        <v/>
      </c>
      <c r="S2032" s="3">
        <f>IF(M2032&lt;&gt;"",M2032/1.56,"")</f>
        <v/>
      </c>
      <c r="T2032" s="3">
        <f>IF(N2032&lt;&gt;"",N2032,IF(O2032&lt;&gt;"",O2032,IF(L2032&lt;&gt;"",L2032/1.56,IF(M2032&lt;&gt;"",M2032/1.56,""))))</f>
        <v/>
      </c>
      <c r="U2032" s="3" t="n">
        <v>470</v>
      </c>
      <c r="V2032" s="3" t="n">
        <v>292</v>
      </c>
      <c r="W2032" s="3" t="n"/>
      <c r="X2032" s="4" t="n"/>
      <c r="Y2032" s="5" t="n">
        <v>0.108</v>
      </c>
      <c r="Z2032" s="4">
        <f>IF(L2032&lt;&gt;"",SQRT(3)*G2032*L2032/1000,"")</f>
        <v/>
      </c>
      <c r="AA2032" t="inlineStr">
        <is>
          <t>Source=Copeland 2D/3D/4D/4R/6D/8D/9R compressors (pdf) p108; PWS_RLA=52.5</t>
        </is>
      </c>
      <c r="AB2032" t="inlineStr">
        <is>
          <t>Copeland_RLA_230_460_3ph_60Hz.xlsx</t>
        </is>
      </c>
      <c r="AC2032" t="inlineStr">
        <is>
          <t>Recip_2D-9R</t>
        </is>
      </c>
    </row>
    <row r="2033">
      <c r="A2033" t="inlineStr">
        <is>
          <t>COPELAND</t>
        </is>
      </c>
      <c r="B2033" t="inlineStr">
        <is>
          <t>6RN2-3000-TSK</t>
        </is>
      </c>
      <c r="D2033" t="inlineStr">
        <is>
          <t>Reciprocating Semi-hermetic</t>
        </is>
      </c>
      <c r="E2033" s="2" t="n">
        <v>3</v>
      </c>
      <c r="F2033" s="2" t="n">
        <v>60</v>
      </c>
      <c r="G2033" s="2" t="n">
        <v>460</v>
      </c>
      <c r="H2033" t="inlineStr">
        <is>
          <t>460</t>
        </is>
      </c>
      <c r="I2033" s="2" t="n">
        <v>460</v>
      </c>
      <c r="J2033" s="2" t="n">
        <v>460</v>
      </c>
      <c r="L2033" s="3" t="n"/>
      <c r="M2033" s="3" t="n"/>
      <c r="N2033" s="3" t="n">
        <v>52.1</v>
      </c>
      <c r="O2033" s="3" t="n"/>
      <c r="P2033" s="3">
        <f>IF(L2033&lt;&gt;"",L2033/1.4,"")</f>
        <v/>
      </c>
      <c r="Q2033" s="3">
        <f>IF(L2033&lt;&gt;"",L2033/1.56,"")</f>
        <v/>
      </c>
      <c r="R2033" s="3">
        <f>IF(M2033&lt;&gt;"",M2033/1.4,"")</f>
        <v/>
      </c>
      <c r="S2033" s="3">
        <f>IF(M2033&lt;&gt;"",M2033/1.56,"")</f>
        <v/>
      </c>
      <c r="T2033" s="3">
        <f>IF(N2033&lt;&gt;"",N2033,IF(O2033&lt;&gt;"",O2033,IF(L2033&lt;&gt;"",L2033/1.56,IF(M2033&lt;&gt;"",M2033/1.56,""))))</f>
        <v/>
      </c>
      <c r="U2033" s="3" t="n">
        <v>235</v>
      </c>
      <c r="V2033" s="3" t="n"/>
      <c r="W2033" s="3" t="n"/>
      <c r="X2033" s="4" t="n"/>
      <c r="Y2033" s="5" t="n">
        <v>0.43</v>
      </c>
      <c r="Z2033" s="4">
        <f>IF(L2033&lt;&gt;"",SQRT(3)*G2033*L2033/1000,"")</f>
        <v/>
      </c>
      <c r="AA2033" t="inlineStr">
        <is>
          <t>Source=Copeland 2D/3D/4D/4R/6D/8D/9R compressors (pdf) p108</t>
        </is>
      </c>
      <c r="AB2033" t="inlineStr">
        <is>
          <t>Copeland_RLA_230_460_3ph_60Hz.xlsx</t>
        </is>
      </c>
      <c r="AC2033" t="inlineStr">
        <is>
          <t>Recip_2D-9R</t>
        </is>
      </c>
    </row>
    <row r="2034">
      <c r="A2034" t="inlineStr">
        <is>
          <t>COPELAND</t>
        </is>
      </c>
      <c r="B2034" t="inlineStr">
        <is>
          <t>6RN2-300A-TSK</t>
        </is>
      </c>
      <c r="D2034" t="inlineStr">
        <is>
          <t>Reciprocating Semi-hermetic</t>
        </is>
      </c>
      <c r="E2034" s="2" t="n">
        <v>3</v>
      </c>
      <c r="F2034" s="2" t="n">
        <v>60</v>
      </c>
      <c r="G2034" s="2" t="n">
        <v>230</v>
      </c>
      <c r="H2034" t="inlineStr">
        <is>
          <t>208/230</t>
        </is>
      </c>
      <c r="I2034" s="2" t="n">
        <v>208</v>
      </c>
      <c r="J2034" s="2" t="n">
        <v>230</v>
      </c>
      <c r="L2034" s="3" t="n"/>
      <c r="M2034" s="3" t="n"/>
      <c r="N2034" s="3" t="n">
        <v>104.3</v>
      </c>
      <c r="O2034" s="3" t="n"/>
      <c r="P2034" s="3">
        <f>IF(L2034&lt;&gt;"",L2034/1.4,"")</f>
        <v/>
      </c>
      <c r="Q2034" s="3">
        <f>IF(L2034&lt;&gt;"",L2034/1.56,"")</f>
        <v/>
      </c>
      <c r="R2034" s="3">
        <f>IF(M2034&lt;&gt;"",M2034/1.4,"")</f>
        <v/>
      </c>
      <c r="S2034" s="3">
        <f>IF(M2034&lt;&gt;"",M2034/1.56,"")</f>
        <v/>
      </c>
      <c r="T2034" s="3">
        <f>IF(N2034&lt;&gt;"",N2034,IF(O2034&lt;&gt;"",O2034,IF(L2034&lt;&gt;"",L2034/1.56,IF(M2034&lt;&gt;"",M2034/1.56,""))))</f>
        <v/>
      </c>
      <c r="U2034" s="3" t="n">
        <v>470</v>
      </c>
      <c r="V2034" s="3" t="n">
        <v>292</v>
      </c>
      <c r="W2034" s="3" t="n"/>
      <c r="X2034" s="4" t="n"/>
      <c r="Y2034" s="5" t="n">
        <v>0.108</v>
      </c>
      <c r="Z2034" s="4">
        <f>IF(L2034&lt;&gt;"",SQRT(3)*G2034*L2034/1000,"")</f>
        <v/>
      </c>
      <c r="AA2034" t="inlineStr">
        <is>
          <t>Source=Copeland 2D/3D/4D/4R/6D/8D/9R compressors (pdf) p109; PWS_RLA=52.5</t>
        </is>
      </c>
      <c r="AB2034" t="inlineStr">
        <is>
          <t>Copeland_RLA_230_460_3ph_60Hz.xlsx</t>
        </is>
      </c>
      <c r="AC2034" t="inlineStr">
        <is>
          <t>Recip_2D-9R</t>
        </is>
      </c>
    </row>
    <row r="2035">
      <c r="A2035" t="inlineStr">
        <is>
          <t>COPELAND</t>
        </is>
      </c>
      <c r="B2035" t="inlineStr">
        <is>
          <t>6RN2-300A-TSK</t>
        </is>
      </c>
      <c r="D2035" t="inlineStr">
        <is>
          <t>Reciprocating Semi-hermetic</t>
        </is>
      </c>
      <c r="E2035" s="2" t="n">
        <v>3</v>
      </c>
      <c r="F2035" s="2" t="n">
        <v>60</v>
      </c>
      <c r="G2035" s="2" t="n">
        <v>460</v>
      </c>
      <c r="H2035" t="inlineStr">
        <is>
          <t>460</t>
        </is>
      </c>
      <c r="I2035" s="2" t="n">
        <v>460</v>
      </c>
      <c r="J2035" s="2" t="n">
        <v>460</v>
      </c>
      <c r="L2035" s="3" t="n"/>
      <c r="M2035" s="3" t="n"/>
      <c r="N2035" s="3" t="n">
        <v>52.1</v>
      </c>
      <c r="O2035" s="3" t="n"/>
      <c r="P2035" s="3">
        <f>IF(L2035&lt;&gt;"",L2035/1.4,"")</f>
        <v/>
      </c>
      <c r="Q2035" s="3">
        <f>IF(L2035&lt;&gt;"",L2035/1.56,"")</f>
        <v/>
      </c>
      <c r="R2035" s="3">
        <f>IF(M2035&lt;&gt;"",M2035/1.4,"")</f>
        <v/>
      </c>
      <c r="S2035" s="3">
        <f>IF(M2035&lt;&gt;"",M2035/1.56,"")</f>
        <v/>
      </c>
      <c r="T2035" s="3">
        <f>IF(N2035&lt;&gt;"",N2035,IF(O2035&lt;&gt;"",O2035,IF(L2035&lt;&gt;"",L2035/1.56,IF(M2035&lt;&gt;"",M2035/1.56,""))))</f>
        <v/>
      </c>
      <c r="U2035" s="3" t="n">
        <v>235</v>
      </c>
      <c r="V2035" s="3" t="n"/>
      <c r="W2035" s="3" t="n"/>
      <c r="X2035" s="4" t="n"/>
      <c r="Y2035" s="5" t="n">
        <v>0.43</v>
      </c>
      <c r="Z2035" s="4">
        <f>IF(L2035&lt;&gt;"",SQRT(3)*G2035*L2035/1000,"")</f>
        <v/>
      </c>
      <c r="AA2035" t="inlineStr">
        <is>
          <t>Source=Copeland 2D/3D/4D/4R/6D/8D/9R compressors (pdf) p109</t>
        </is>
      </c>
      <c r="AB2035" t="inlineStr">
        <is>
          <t>Copeland_RLA_230_460_3ph_60Hz.xlsx</t>
        </is>
      </c>
      <c r="AC2035" t="inlineStr">
        <is>
          <t>Recip_2D-9R</t>
        </is>
      </c>
    </row>
    <row r="2036">
      <c r="A2036" t="inlineStr">
        <is>
          <t>COPELAND</t>
        </is>
      </c>
      <c r="B2036" t="inlineStr">
        <is>
          <t>6RN5-3000-TSK</t>
        </is>
      </c>
      <c r="D2036" t="inlineStr">
        <is>
          <t>Reciprocating Semi-hermetic</t>
        </is>
      </c>
      <c r="E2036" s="2" t="n">
        <v>3</v>
      </c>
      <c r="F2036" s="2" t="n">
        <v>60</v>
      </c>
      <c r="G2036" s="2" t="n">
        <v>230</v>
      </c>
      <c r="H2036" t="inlineStr">
        <is>
          <t>208/230</t>
        </is>
      </c>
      <c r="I2036" s="2" t="n">
        <v>208</v>
      </c>
      <c r="J2036" s="2" t="n">
        <v>230</v>
      </c>
      <c r="L2036" s="3" t="n"/>
      <c r="M2036" s="3" t="n"/>
      <c r="N2036" s="3" t="n">
        <v>104.3</v>
      </c>
      <c r="O2036" s="3" t="n"/>
      <c r="P2036" s="3">
        <f>IF(L2036&lt;&gt;"",L2036/1.4,"")</f>
        <v/>
      </c>
      <c r="Q2036" s="3">
        <f>IF(L2036&lt;&gt;"",L2036/1.56,"")</f>
        <v/>
      </c>
      <c r="R2036" s="3">
        <f>IF(M2036&lt;&gt;"",M2036/1.4,"")</f>
        <v/>
      </c>
      <c r="S2036" s="3">
        <f>IF(M2036&lt;&gt;"",M2036/1.56,"")</f>
        <v/>
      </c>
      <c r="T2036" s="3">
        <f>IF(N2036&lt;&gt;"",N2036,IF(O2036&lt;&gt;"",O2036,IF(L2036&lt;&gt;"",L2036/1.56,IF(M2036&lt;&gt;"",M2036/1.56,""))))</f>
        <v/>
      </c>
      <c r="U2036" s="3" t="n">
        <v>470</v>
      </c>
      <c r="V2036" s="3" t="n">
        <v>292</v>
      </c>
      <c r="W2036" s="3" t="n"/>
      <c r="X2036" s="4" t="n"/>
      <c r="Y2036" s="5" t="n">
        <v>0.108</v>
      </c>
      <c r="Z2036" s="4">
        <f>IF(L2036&lt;&gt;"",SQRT(3)*G2036*L2036/1000,"")</f>
        <v/>
      </c>
      <c r="AA2036" t="inlineStr">
        <is>
          <t>Source=Copeland 2D/3D/4D/4R/6D/8D/9R compressors (pdf) p109; PWS_RLA=52.5</t>
        </is>
      </c>
      <c r="AB2036" t="inlineStr">
        <is>
          <t>Copeland_RLA_230_460_3ph_60Hz.xlsx</t>
        </is>
      </c>
      <c r="AC2036" t="inlineStr">
        <is>
          <t>Recip_2D-9R</t>
        </is>
      </c>
    </row>
    <row r="2037">
      <c r="A2037" t="inlineStr">
        <is>
          <t>COPELAND</t>
        </is>
      </c>
      <c r="B2037" t="inlineStr">
        <is>
          <t>6RN5-3000-TSK</t>
        </is>
      </c>
      <c r="D2037" t="inlineStr">
        <is>
          <t>Reciprocating Semi-hermetic</t>
        </is>
      </c>
      <c r="E2037" s="2" t="n">
        <v>3</v>
      </c>
      <c r="F2037" s="2" t="n">
        <v>60</v>
      </c>
      <c r="G2037" s="2" t="n">
        <v>460</v>
      </c>
      <c r="H2037" t="inlineStr">
        <is>
          <t>460</t>
        </is>
      </c>
      <c r="I2037" s="2" t="n">
        <v>460</v>
      </c>
      <c r="J2037" s="2" t="n">
        <v>460</v>
      </c>
      <c r="L2037" s="3" t="n"/>
      <c r="M2037" s="3" t="n"/>
      <c r="N2037" s="3" t="n">
        <v>52.1</v>
      </c>
      <c r="O2037" s="3" t="n"/>
      <c r="P2037" s="3">
        <f>IF(L2037&lt;&gt;"",L2037/1.4,"")</f>
        <v/>
      </c>
      <c r="Q2037" s="3">
        <f>IF(L2037&lt;&gt;"",L2037/1.56,"")</f>
        <v/>
      </c>
      <c r="R2037" s="3">
        <f>IF(M2037&lt;&gt;"",M2037/1.4,"")</f>
        <v/>
      </c>
      <c r="S2037" s="3">
        <f>IF(M2037&lt;&gt;"",M2037/1.56,"")</f>
        <v/>
      </c>
      <c r="T2037" s="3">
        <f>IF(N2037&lt;&gt;"",N2037,IF(O2037&lt;&gt;"",O2037,IF(L2037&lt;&gt;"",L2037/1.56,IF(M2037&lt;&gt;"",M2037/1.56,""))))</f>
        <v/>
      </c>
      <c r="U2037" s="3" t="n">
        <v>235</v>
      </c>
      <c r="V2037" s="3" t="n"/>
      <c r="W2037" s="3" t="n"/>
      <c r="X2037" s="4" t="n"/>
      <c r="Y2037" s="5" t="n">
        <v>0.43</v>
      </c>
      <c r="Z2037" s="4">
        <f>IF(L2037&lt;&gt;"",SQRT(3)*G2037*L2037/1000,"")</f>
        <v/>
      </c>
      <c r="AA2037" t="inlineStr">
        <is>
          <t>Source=Copeland 2D/3D/4D/4R/6D/8D/9R compressors (pdf) p109</t>
        </is>
      </c>
      <c r="AB2037" t="inlineStr">
        <is>
          <t>Copeland_RLA_230_460_3ph_60Hz.xlsx</t>
        </is>
      </c>
      <c r="AC2037" t="inlineStr">
        <is>
          <t>Recip_2D-9R</t>
        </is>
      </c>
    </row>
    <row r="2038">
      <c r="A2038" t="inlineStr">
        <is>
          <t>COPELAND</t>
        </is>
      </c>
      <c r="B2038" t="inlineStr">
        <is>
          <t>6RP2-2000-TSK</t>
        </is>
      </c>
      <c r="D2038" t="inlineStr">
        <is>
          <t>Reciprocating Semi-hermetic</t>
        </is>
      </c>
      <c r="E2038" s="2" t="n">
        <v>3</v>
      </c>
      <c r="F2038" s="2" t="n">
        <v>60</v>
      </c>
      <c r="G2038" s="2" t="n">
        <v>230</v>
      </c>
      <c r="H2038" t="inlineStr">
        <is>
          <t>208/230</t>
        </is>
      </c>
      <c r="I2038" s="2" t="n">
        <v>208</v>
      </c>
      <c r="J2038" s="2" t="n">
        <v>230</v>
      </c>
      <c r="L2038" s="3" t="n"/>
      <c r="M2038" s="3" t="n"/>
      <c r="N2038" s="3" t="n">
        <v>72</v>
      </c>
      <c r="O2038" s="3" t="n"/>
      <c r="P2038" s="3">
        <f>IF(L2038&lt;&gt;"",L2038/1.4,"")</f>
        <v/>
      </c>
      <c r="Q2038" s="3">
        <f>IF(L2038&lt;&gt;"",L2038/1.56,"")</f>
        <v/>
      </c>
      <c r="R2038" s="3">
        <f>IF(M2038&lt;&gt;"",M2038/1.4,"")</f>
        <v/>
      </c>
      <c r="S2038" s="3">
        <f>IF(M2038&lt;&gt;"",M2038/1.56,"")</f>
        <v/>
      </c>
      <c r="T2038" s="3">
        <f>IF(N2038&lt;&gt;"",N2038,IF(O2038&lt;&gt;"",O2038,IF(L2038&lt;&gt;"",L2038/1.56,IF(M2038&lt;&gt;"",M2038/1.56,""))))</f>
        <v/>
      </c>
      <c r="U2038" s="3" t="n">
        <v>308</v>
      </c>
      <c r="V2038" s="3" t="n">
        <v>188</v>
      </c>
      <c r="W2038" s="3" t="n"/>
      <c r="X2038" s="4" t="n"/>
      <c r="Y2038" s="5" t="n">
        <v>0.174</v>
      </c>
      <c r="Z2038" s="4">
        <f>IF(L2038&lt;&gt;"",SQRT(3)*G2038*L2038/1000,"")</f>
        <v/>
      </c>
      <c r="AA2038" t="inlineStr">
        <is>
          <t>Source=Copeland 2D/3D/4D/4R/6D/8D/9R compressors (pdf) p109; PWS_RLA=36.0</t>
        </is>
      </c>
      <c r="AB2038" t="inlineStr">
        <is>
          <t>Copeland_RLA_230_460_3ph_60Hz.xlsx</t>
        </is>
      </c>
      <c r="AC2038" t="inlineStr">
        <is>
          <t>Recip_2D-9R</t>
        </is>
      </c>
    </row>
    <row r="2039">
      <c r="A2039" t="inlineStr">
        <is>
          <t>COPELAND</t>
        </is>
      </c>
      <c r="B2039" t="inlineStr">
        <is>
          <t>6RP2-2000-TSK</t>
        </is>
      </c>
      <c r="D2039" t="inlineStr">
        <is>
          <t>Reciprocating Semi-hermetic</t>
        </is>
      </c>
      <c r="E2039" s="2" t="n">
        <v>3</v>
      </c>
      <c r="F2039" s="2" t="n">
        <v>60</v>
      </c>
      <c r="G2039" s="2" t="n">
        <v>460</v>
      </c>
      <c r="H2039" t="inlineStr">
        <is>
          <t>460</t>
        </is>
      </c>
      <c r="I2039" s="2" t="n">
        <v>460</v>
      </c>
      <c r="J2039" s="2" t="n">
        <v>460</v>
      </c>
      <c r="L2039" s="3" t="n"/>
      <c r="M2039" s="3" t="n"/>
      <c r="N2039" s="3" t="n">
        <v>36</v>
      </c>
      <c r="O2039" s="3" t="n"/>
      <c r="P2039" s="3">
        <f>IF(L2039&lt;&gt;"",L2039/1.4,"")</f>
        <v/>
      </c>
      <c r="Q2039" s="3">
        <f>IF(L2039&lt;&gt;"",L2039/1.56,"")</f>
        <v/>
      </c>
      <c r="R2039" s="3">
        <f>IF(M2039&lt;&gt;"",M2039/1.4,"")</f>
        <v/>
      </c>
      <c r="S2039" s="3">
        <f>IF(M2039&lt;&gt;"",M2039/1.56,"")</f>
        <v/>
      </c>
      <c r="T2039" s="3">
        <f>IF(N2039&lt;&gt;"",N2039,IF(O2039&lt;&gt;"",O2039,IF(L2039&lt;&gt;"",L2039/1.56,IF(M2039&lt;&gt;"",M2039/1.56,""))))</f>
        <v/>
      </c>
      <c r="U2039" s="3" t="n">
        <v>154</v>
      </c>
      <c r="V2039" s="3" t="n"/>
      <c r="W2039" s="3" t="n"/>
      <c r="X2039" s="4" t="n"/>
      <c r="Y2039" s="5" t="n">
        <v>0.696</v>
      </c>
      <c r="Z2039" s="4">
        <f>IF(L2039&lt;&gt;"",SQRT(3)*G2039*L2039/1000,"")</f>
        <v/>
      </c>
      <c r="AA2039" t="inlineStr">
        <is>
          <t>Source=Copeland 2D/3D/4D/4R/6D/8D/9R compressors (pdf) p109</t>
        </is>
      </c>
      <c r="AB2039" t="inlineStr">
        <is>
          <t>Copeland_RLA_230_460_3ph_60Hz.xlsx</t>
        </is>
      </c>
      <c r="AC2039" t="inlineStr">
        <is>
          <t>Recip_2D-9R</t>
        </is>
      </c>
    </row>
    <row r="2040">
      <c r="A2040" t="inlineStr">
        <is>
          <t>COPELAND</t>
        </is>
      </c>
      <c r="B2040" t="inlineStr">
        <is>
          <t>6RP2-200A-TSK</t>
        </is>
      </c>
      <c r="D2040" t="inlineStr">
        <is>
          <t>Reciprocating Semi-hermetic</t>
        </is>
      </c>
      <c r="E2040" s="2" t="n">
        <v>3</v>
      </c>
      <c r="F2040" s="2" t="n">
        <v>60</v>
      </c>
      <c r="G2040" s="2" t="n">
        <v>230</v>
      </c>
      <c r="H2040" t="inlineStr">
        <is>
          <t>208/230</t>
        </is>
      </c>
      <c r="I2040" s="2" t="n">
        <v>208</v>
      </c>
      <c r="J2040" s="2" t="n">
        <v>230</v>
      </c>
      <c r="L2040" s="3" t="n"/>
      <c r="M2040" s="3" t="n"/>
      <c r="N2040" s="3" t="n">
        <v>72</v>
      </c>
      <c r="O2040" s="3" t="n"/>
      <c r="P2040" s="3">
        <f>IF(L2040&lt;&gt;"",L2040/1.4,"")</f>
        <v/>
      </c>
      <c r="Q2040" s="3">
        <f>IF(L2040&lt;&gt;"",L2040/1.56,"")</f>
        <v/>
      </c>
      <c r="R2040" s="3">
        <f>IF(M2040&lt;&gt;"",M2040/1.4,"")</f>
        <v/>
      </c>
      <c r="S2040" s="3">
        <f>IF(M2040&lt;&gt;"",M2040/1.56,"")</f>
        <v/>
      </c>
      <c r="T2040" s="3">
        <f>IF(N2040&lt;&gt;"",N2040,IF(O2040&lt;&gt;"",O2040,IF(L2040&lt;&gt;"",L2040/1.56,IF(M2040&lt;&gt;"",M2040/1.56,""))))</f>
        <v/>
      </c>
      <c r="U2040" s="3" t="n">
        <v>308</v>
      </c>
      <c r="V2040" s="3" t="n">
        <v>188</v>
      </c>
      <c r="W2040" s="3" t="n"/>
      <c r="X2040" s="4" t="n"/>
      <c r="Y2040" s="5" t="n">
        <v>0.174</v>
      </c>
      <c r="Z2040" s="4">
        <f>IF(L2040&lt;&gt;"",SQRT(3)*G2040*L2040/1000,"")</f>
        <v/>
      </c>
      <c r="AA2040" t="inlineStr">
        <is>
          <t>Source=Copeland 2D/3D/4D/4R/6D/8D/9R compressors (pdf) p109; PWS_RLA=36.0</t>
        </is>
      </c>
      <c r="AB2040" t="inlineStr">
        <is>
          <t>Copeland_RLA_230_460_3ph_60Hz.xlsx</t>
        </is>
      </c>
      <c r="AC2040" t="inlineStr">
        <is>
          <t>Recip_2D-9R</t>
        </is>
      </c>
    </row>
    <row r="2041">
      <c r="A2041" t="inlineStr">
        <is>
          <t>COPELAND</t>
        </is>
      </c>
      <c r="B2041" t="inlineStr">
        <is>
          <t>6RP2-200A-TSK</t>
        </is>
      </c>
      <c r="D2041" t="inlineStr">
        <is>
          <t>Reciprocating Semi-hermetic</t>
        </is>
      </c>
      <c r="E2041" s="2" t="n">
        <v>3</v>
      </c>
      <c r="F2041" s="2" t="n">
        <v>60</v>
      </c>
      <c r="G2041" s="2" t="n">
        <v>460</v>
      </c>
      <c r="H2041" t="inlineStr">
        <is>
          <t>460</t>
        </is>
      </c>
      <c r="I2041" s="2" t="n">
        <v>460</v>
      </c>
      <c r="J2041" s="2" t="n">
        <v>460</v>
      </c>
      <c r="L2041" s="3" t="n"/>
      <c r="M2041" s="3" t="n"/>
      <c r="N2041" s="3" t="n">
        <v>36</v>
      </c>
      <c r="O2041" s="3" t="n"/>
      <c r="P2041" s="3">
        <f>IF(L2041&lt;&gt;"",L2041/1.4,"")</f>
        <v/>
      </c>
      <c r="Q2041" s="3">
        <f>IF(L2041&lt;&gt;"",L2041/1.56,"")</f>
        <v/>
      </c>
      <c r="R2041" s="3">
        <f>IF(M2041&lt;&gt;"",M2041/1.4,"")</f>
        <v/>
      </c>
      <c r="S2041" s="3">
        <f>IF(M2041&lt;&gt;"",M2041/1.56,"")</f>
        <v/>
      </c>
      <c r="T2041" s="3">
        <f>IF(N2041&lt;&gt;"",N2041,IF(O2041&lt;&gt;"",O2041,IF(L2041&lt;&gt;"",L2041/1.56,IF(M2041&lt;&gt;"",M2041/1.56,""))))</f>
        <v/>
      </c>
      <c r="U2041" s="3" t="n">
        <v>154</v>
      </c>
      <c r="V2041" s="3" t="n"/>
      <c r="W2041" s="3" t="n"/>
      <c r="X2041" s="4" t="n"/>
      <c r="Y2041" s="5" t="n">
        <v>0.696</v>
      </c>
      <c r="Z2041" s="4">
        <f>IF(L2041&lt;&gt;"",SQRT(3)*G2041*L2041/1000,"")</f>
        <v/>
      </c>
      <c r="AA2041" t="inlineStr">
        <is>
          <t>Source=Copeland 2D/3D/4D/4R/6D/8D/9R compressors (pdf) p109</t>
        </is>
      </c>
      <c r="AB2041" t="inlineStr">
        <is>
          <t>Copeland_RLA_230_460_3ph_60Hz.xlsx</t>
        </is>
      </c>
      <c r="AC2041" t="inlineStr">
        <is>
          <t>Recip_2D-9R</t>
        </is>
      </c>
    </row>
    <row r="2042">
      <c r="A2042" t="inlineStr">
        <is>
          <t>COPELAND</t>
        </is>
      </c>
      <c r="B2042" t="inlineStr">
        <is>
          <t>6RP2-3500-FSD</t>
        </is>
      </c>
      <c r="D2042" t="inlineStr">
        <is>
          <t>Reciprocating Semi-hermetic</t>
        </is>
      </c>
      <c r="E2042" s="2" t="n">
        <v>3</v>
      </c>
      <c r="F2042" s="2" t="n">
        <v>60</v>
      </c>
      <c r="G2042" s="2" t="n">
        <v>460</v>
      </c>
      <c r="H2042" t="inlineStr">
        <is>
          <t>460</t>
        </is>
      </c>
      <c r="I2042" s="2" t="n">
        <v>460</v>
      </c>
      <c r="J2042" s="2" t="n">
        <v>460</v>
      </c>
      <c r="L2042" s="3" t="n"/>
      <c r="M2042" s="3" t="n"/>
      <c r="N2042" s="3" t="n">
        <v>67.5</v>
      </c>
      <c r="O2042" s="3" t="n"/>
      <c r="P2042" s="3">
        <f>IF(L2042&lt;&gt;"",L2042/1.4,"")</f>
        <v/>
      </c>
      <c r="Q2042" s="3">
        <f>IF(L2042&lt;&gt;"",L2042/1.56,"")</f>
        <v/>
      </c>
      <c r="R2042" s="3">
        <f>IF(M2042&lt;&gt;"",M2042/1.4,"")</f>
        <v/>
      </c>
      <c r="S2042" s="3">
        <f>IF(M2042&lt;&gt;"",M2042/1.56,"")</f>
        <v/>
      </c>
      <c r="T2042" s="3">
        <f>IF(N2042&lt;&gt;"",N2042,IF(O2042&lt;&gt;"",O2042,IF(L2042&lt;&gt;"",L2042/1.56,IF(M2042&lt;&gt;"",M2042/1.56,""))))</f>
        <v/>
      </c>
      <c r="U2042" s="3" t="n">
        <v>225</v>
      </c>
      <c r="V2042" s="3" t="n">
        <v>150</v>
      </c>
      <c r="W2042" s="3" t="n"/>
      <c r="X2042" s="4" t="n"/>
      <c r="Y2042" s="5" t="n">
        <v>0.4</v>
      </c>
      <c r="Z2042" s="4">
        <f>IF(L2042&lt;&gt;"",SQRT(3)*G2042*L2042/1000,"")</f>
        <v/>
      </c>
      <c r="AA2042" t="inlineStr">
        <is>
          <t>Source=Copeland 2D/3D/4D/4R/6D/8D/9R compressors (pdf) p109; PWS_RLA=33.8</t>
        </is>
      </c>
      <c r="AB2042" t="inlineStr">
        <is>
          <t>Copeland_RLA_230_460_3ph_60Hz.xlsx</t>
        </is>
      </c>
      <c r="AC2042" t="inlineStr">
        <is>
          <t>Recip_2D-9R</t>
        </is>
      </c>
    </row>
    <row r="2043">
      <c r="A2043" t="inlineStr">
        <is>
          <t>COPELAND</t>
        </is>
      </c>
      <c r="B2043" t="inlineStr">
        <is>
          <t>6RP2-3500-TSK</t>
        </is>
      </c>
      <c r="D2043" t="inlineStr">
        <is>
          <t>Reciprocating Semi-hermetic</t>
        </is>
      </c>
      <c r="E2043" s="2" t="n">
        <v>3</v>
      </c>
      <c r="F2043" s="2" t="n">
        <v>60</v>
      </c>
      <c r="G2043" s="2" t="n">
        <v>230</v>
      </c>
      <c r="H2043" t="inlineStr">
        <is>
          <t>208/230</t>
        </is>
      </c>
      <c r="I2043" s="2" t="n">
        <v>208</v>
      </c>
      <c r="J2043" s="2" t="n">
        <v>230</v>
      </c>
      <c r="L2043" s="3" t="n"/>
      <c r="M2043" s="3" t="n"/>
      <c r="N2043" s="3" t="n">
        <v>134.3</v>
      </c>
      <c r="O2043" s="3" t="n"/>
      <c r="P2043" s="3">
        <f>IF(L2043&lt;&gt;"",L2043/1.4,"")</f>
        <v/>
      </c>
      <c r="Q2043" s="3">
        <f>IF(L2043&lt;&gt;"",L2043/1.56,"")</f>
        <v/>
      </c>
      <c r="R2043" s="3">
        <f>IF(M2043&lt;&gt;"",M2043/1.4,"")</f>
        <v/>
      </c>
      <c r="S2043" s="3">
        <f>IF(M2043&lt;&gt;"",M2043/1.56,"")</f>
        <v/>
      </c>
      <c r="T2043" s="3">
        <f>IF(N2043&lt;&gt;"",N2043,IF(O2043&lt;&gt;"",O2043,IF(L2043&lt;&gt;"",L2043/1.56,IF(M2043&lt;&gt;"",M2043/1.56,""))))</f>
        <v/>
      </c>
      <c r="U2043" s="3" t="n">
        <v>565</v>
      </c>
      <c r="V2043" s="3" t="n">
        <v>340</v>
      </c>
      <c r="W2043" s="3" t="n"/>
      <c r="X2043" s="4" t="n"/>
      <c r="Y2043" s="5" t="n">
        <v>0.08699999999999999</v>
      </c>
      <c r="Z2043" s="4">
        <f>IF(L2043&lt;&gt;"",SQRT(3)*G2043*L2043/1000,"")</f>
        <v/>
      </c>
      <c r="AA2043" t="inlineStr">
        <is>
          <t>Source=Copeland 2D/3D/4D/4R/6D/8D/9R compressors (pdf) p109; PWS_RLA=67.5</t>
        </is>
      </c>
      <c r="AB2043" t="inlineStr">
        <is>
          <t>Copeland_RLA_230_460_3ph_60Hz.xlsx</t>
        </is>
      </c>
      <c r="AC2043" t="inlineStr">
        <is>
          <t>Recip_2D-9R</t>
        </is>
      </c>
    </row>
    <row r="2044">
      <c r="A2044" t="inlineStr">
        <is>
          <t>COPELAND</t>
        </is>
      </c>
      <c r="B2044" t="inlineStr">
        <is>
          <t>6RP2-3500-TSK</t>
        </is>
      </c>
      <c r="D2044" t="inlineStr">
        <is>
          <t>Reciprocating Semi-hermetic</t>
        </is>
      </c>
      <c r="E2044" s="2" t="n">
        <v>3</v>
      </c>
      <c r="F2044" s="2" t="n">
        <v>60</v>
      </c>
      <c r="G2044" s="2" t="n">
        <v>460</v>
      </c>
      <c r="H2044" t="inlineStr">
        <is>
          <t>460</t>
        </is>
      </c>
      <c r="I2044" s="2" t="n">
        <v>460</v>
      </c>
      <c r="J2044" s="2" t="n">
        <v>460</v>
      </c>
      <c r="L2044" s="3" t="n"/>
      <c r="M2044" s="3" t="n"/>
      <c r="N2044" s="3" t="n">
        <v>67.09999999999999</v>
      </c>
      <c r="O2044" s="3" t="n"/>
      <c r="P2044" s="3">
        <f>IF(L2044&lt;&gt;"",L2044/1.4,"")</f>
        <v/>
      </c>
      <c r="Q2044" s="3">
        <f>IF(L2044&lt;&gt;"",L2044/1.56,"")</f>
        <v/>
      </c>
      <c r="R2044" s="3">
        <f>IF(M2044&lt;&gt;"",M2044/1.4,"")</f>
        <v/>
      </c>
      <c r="S2044" s="3">
        <f>IF(M2044&lt;&gt;"",M2044/1.56,"")</f>
        <v/>
      </c>
      <c r="T2044" s="3">
        <f>IF(N2044&lt;&gt;"",N2044,IF(O2044&lt;&gt;"",O2044,IF(L2044&lt;&gt;"",L2044/1.56,IF(M2044&lt;&gt;"",M2044/1.56,""))))</f>
        <v/>
      </c>
      <c r="U2044" s="3" t="n">
        <v>283</v>
      </c>
      <c r="V2044" s="3" t="n"/>
      <c r="W2044" s="3" t="n"/>
      <c r="X2044" s="4" t="n"/>
      <c r="Y2044" s="5" t="n">
        <v>0.348</v>
      </c>
      <c r="Z2044" s="4">
        <f>IF(L2044&lt;&gt;"",SQRT(3)*G2044*L2044/1000,"")</f>
        <v/>
      </c>
      <c r="AA2044" t="inlineStr">
        <is>
          <t>Source=Copeland 2D/3D/4D/4R/6D/8D/9R compressors (pdf) p109</t>
        </is>
      </c>
      <c r="AB2044" t="inlineStr">
        <is>
          <t>Copeland_RLA_230_460_3ph_60Hz.xlsx</t>
        </is>
      </c>
      <c r="AC2044" t="inlineStr">
        <is>
          <t>Recip_2D-9R</t>
        </is>
      </c>
    </row>
    <row r="2045">
      <c r="A2045" t="inlineStr">
        <is>
          <t>COPELAND</t>
        </is>
      </c>
      <c r="B2045" t="inlineStr">
        <is>
          <t>6RP2-350A-FSD</t>
        </is>
      </c>
      <c r="D2045" t="inlineStr">
        <is>
          <t>Reciprocating Semi-hermetic</t>
        </is>
      </c>
      <c r="E2045" s="2" t="n">
        <v>3</v>
      </c>
      <c r="F2045" s="2" t="n">
        <v>60</v>
      </c>
      <c r="G2045" s="2" t="n">
        <v>460</v>
      </c>
      <c r="H2045" t="inlineStr">
        <is>
          <t>460</t>
        </is>
      </c>
      <c r="I2045" s="2" t="n">
        <v>460</v>
      </c>
      <c r="J2045" s="2" t="n">
        <v>460</v>
      </c>
      <c r="L2045" s="3" t="n"/>
      <c r="M2045" s="3" t="n"/>
      <c r="N2045" s="3" t="n">
        <v>67.5</v>
      </c>
      <c r="O2045" s="3" t="n"/>
      <c r="P2045" s="3">
        <f>IF(L2045&lt;&gt;"",L2045/1.4,"")</f>
        <v/>
      </c>
      <c r="Q2045" s="3">
        <f>IF(L2045&lt;&gt;"",L2045/1.56,"")</f>
        <v/>
      </c>
      <c r="R2045" s="3">
        <f>IF(M2045&lt;&gt;"",M2045/1.4,"")</f>
        <v/>
      </c>
      <c r="S2045" s="3">
        <f>IF(M2045&lt;&gt;"",M2045/1.56,"")</f>
        <v/>
      </c>
      <c r="T2045" s="3">
        <f>IF(N2045&lt;&gt;"",N2045,IF(O2045&lt;&gt;"",O2045,IF(L2045&lt;&gt;"",L2045/1.56,IF(M2045&lt;&gt;"",M2045/1.56,""))))</f>
        <v/>
      </c>
      <c r="U2045" s="3" t="n">
        <v>225</v>
      </c>
      <c r="V2045" s="3" t="n">
        <v>150</v>
      </c>
      <c r="W2045" s="3" t="n"/>
      <c r="X2045" s="4" t="n"/>
      <c r="Y2045" s="5" t="n">
        <v>0.4</v>
      </c>
      <c r="Z2045" s="4">
        <f>IF(L2045&lt;&gt;"",SQRT(3)*G2045*L2045/1000,"")</f>
        <v/>
      </c>
      <c r="AA2045" t="inlineStr">
        <is>
          <t>Source=Copeland 2D/3D/4D/4R/6D/8D/9R compressors (pdf) p109; PWS_RLA=33.8</t>
        </is>
      </c>
      <c r="AB2045" t="inlineStr">
        <is>
          <t>Copeland_RLA_230_460_3ph_60Hz.xlsx</t>
        </is>
      </c>
      <c r="AC2045" t="inlineStr">
        <is>
          <t>Recip_2D-9R</t>
        </is>
      </c>
    </row>
    <row r="2046">
      <c r="A2046" t="inlineStr">
        <is>
          <t>COPELAND</t>
        </is>
      </c>
      <c r="B2046" t="inlineStr">
        <is>
          <t>6RP2-350A-TSK</t>
        </is>
      </c>
      <c r="D2046" t="inlineStr">
        <is>
          <t>Reciprocating Semi-hermetic</t>
        </is>
      </c>
      <c r="E2046" s="2" t="n">
        <v>3</v>
      </c>
      <c r="F2046" s="2" t="n">
        <v>60</v>
      </c>
      <c r="G2046" s="2" t="n">
        <v>230</v>
      </c>
      <c r="H2046" t="inlineStr">
        <is>
          <t>208/230</t>
        </is>
      </c>
      <c r="I2046" s="2" t="n">
        <v>208</v>
      </c>
      <c r="J2046" s="2" t="n">
        <v>230</v>
      </c>
      <c r="L2046" s="3" t="n"/>
      <c r="M2046" s="3" t="n"/>
      <c r="N2046" s="3" t="n">
        <v>134.3</v>
      </c>
      <c r="O2046" s="3" t="n"/>
      <c r="P2046" s="3">
        <f>IF(L2046&lt;&gt;"",L2046/1.4,"")</f>
        <v/>
      </c>
      <c r="Q2046" s="3">
        <f>IF(L2046&lt;&gt;"",L2046/1.56,"")</f>
        <v/>
      </c>
      <c r="R2046" s="3">
        <f>IF(M2046&lt;&gt;"",M2046/1.4,"")</f>
        <v/>
      </c>
      <c r="S2046" s="3">
        <f>IF(M2046&lt;&gt;"",M2046/1.56,"")</f>
        <v/>
      </c>
      <c r="T2046" s="3">
        <f>IF(N2046&lt;&gt;"",N2046,IF(O2046&lt;&gt;"",O2046,IF(L2046&lt;&gt;"",L2046/1.56,IF(M2046&lt;&gt;"",M2046/1.56,""))))</f>
        <v/>
      </c>
      <c r="U2046" s="3" t="n">
        <v>565</v>
      </c>
      <c r="V2046" s="3" t="n">
        <v>340</v>
      </c>
      <c r="W2046" s="3" t="n"/>
      <c r="X2046" s="4" t="n"/>
      <c r="Y2046" s="5" t="n">
        <v>0.08699999999999999</v>
      </c>
      <c r="Z2046" s="4">
        <f>IF(L2046&lt;&gt;"",SQRT(3)*G2046*L2046/1000,"")</f>
        <v/>
      </c>
      <c r="AA2046" t="inlineStr">
        <is>
          <t>Source=Copeland 2D/3D/4D/4R/6D/8D/9R compressors (pdf) p109; PWS_RLA=67.5</t>
        </is>
      </c>
      <c r="AB2046" t="inlineStr">
        <is>
          <t>Copeland_RLA_230_460_3ph_60Hz.xlsx</t>
        </is>
      </c>
      <c r="AC2046" t="inlineStr">
        <is>
          <t>Recip_2D-9R</t>
        </is>
      </c>
    </row>
    <row r="2047">
      <c r="A2047" t="inlineStr">
        <is>
          <t>COPELAND</t>
        </is>
      </c>
      <c r="B2047" t="inlineStr">
        <is>
          <t>6RP2-350A-TSK</t>
        </is>
      </c>
      <c r="D2047" t="inlineStr">
        <is>
          <t>Reciprocating Semi-hermetic</t>
        </is>
      </c>
      <c r="E2047" s="2" t="n">
        <v>3</v>
      </c>
      <c r="F2047" s="2" t="n">
        <v>60</v>
      </c>
      <c r="G2047" s="2" t="n">
        <v>460</v>
      </c>
      <c r="H2047" t="inlineStr">
        <is>
          <t>460</t>
        </is>
      </c>
      <c r="I2047" s="2" t="n">
        <v>460</v>
      </c>
      <c r="J2047" s="2" t="n">
        <v>460</v>
      </c>
      <c r="L2047" s="3" t="n"/>
      <c r="M2047" s="3" t="n"/>
      <c r="N2047" s="3" t="n">
        <v>67.09999999999999</v>
      </c>
      <c r="O2047" s="3" t="n"/>
      <c r="P2047" s="3">
        <f>IF(L2047&lt;&gt;"",L2047/1.4,"")</f>
        <v/>
      </c>
      <c r="Q2047" s="3">
        <f>IF(L2047&lt;&gt;"",L2047/1.56,"")</f>
        <v/>
      </c>
      <c r="R2047" s="3">
        <f>IF(M2047&lt;&gt;"",M2047/1.4,"")</f>
        <v/>
      </c>
      <c r="S2047" s="3">
        <f>IF(M2047&lt;&gt;"",M2047/1.56,"")</f>
        <v/>
      </c>
      <c r="T2047" s="3">
        <f>IF(N2047&lt;&gt;"",N2047,IF(O2047&lt;&gt;"",O2047,IF(L2047&lt;&gt;"",L2047/1.56,IF(M2047&lt;&gt;"",M2047/1.56,""))))</f>
        <v/>
      </c>
      <c r="U2047" s="3" t="n">
        <v>283</v>
      </c>
      <c r="V2047" s="3" t="n"/>
      <c r="W2047" s="3" t="n"/>
      <c r="X2047" s="4" t="n"/>
      <c r="Y2047" s="5" t="n">
        <v>0.348</v>
      </c>
      <c r="Z2047" s="4">
        <f>IF(L2047&lt;&gt;"",SQRT(3)*G2047*L2047/1000,"")</f>
        <v/>
      </c>
      <c r="AA2047" t="inlineStr">
        <is>
          <t>Source=Copeland 2D/3D/4D/4R/6D/8D/9R compressors (pdf) p109</t>
        </is>
      </c>
      <c r="AB2047" t="inlineStr">
        <is>
          <t>Copeland_RLA_230_460_3ph_60Hz.xlsx</t>
        </is>
      </c>
      <c r="AC2047" t="inlineStr">
        <is>
          <t>Recip_2D-9R</t>
        </is>
      </c>
    </row>
    <row r="2048">
      <c r="A2048" t="inlineStr">
        <is>
          <t>COPELAND</t>
        </is>
      </c>
      <c r="B2048" t="inlineStr">
        <is>
          <t>6RP5-3500-FSD</t>
        </is>
      </c>
      <c r="D2048" t="inlineStr">
        <is>
          <t>Reciprocating Semi-hermetic</t>
        </is>
      </c>
      <c r="E2048" s="2" t="n">
        <v>3</v>
      </c>
      <c r="F2048" s="2" t="n">
        <v>60</v>
      </c>
      <c r="G2048" s="2" t="n">
        <v>460</v>
      </c>
      <c r="H2048" t="inlineStr">
        <is>
          <t>460</t>
        </is>
      </c>
      <c r="I2048" s="2" t="n">
        <v>460</v>
      </c>
      <c r="J2048" s="2" t="n">
        <v>460</v>
      </c>
      <c r="L2048" s="3" t="n"/>
      <c r="M2048" s="3" t="n"/>
      <c r="N2048" s="3" t="n">
        <v>67.5</v>
      </c>
      <c r="O2048" s="3" t="n"/>
      <c r="P2048" s="3">
        <f>IF(L2048&lt;&gt;"",L2048/1.4,"")</f>
        <v/>
      </c>
      <c r="Q2048" s="3">
        <f>IF(L2048&lt;&gt;"",L2048/1.56,"")</f>
        <v/>
      </c>
      <c r="R2048" s="3">
        <f>IF(M2048&lt;&gt;"",M2048/1.4,"")</f>
        <v/>
      </c>
      <c r="S2048" s="3">
        <f>IF(M2048&lt;&gt;"",M2048/1.56,"")</f>
        <v/>
      </c>
      <c r="T2048" s="3">
        <f>IF(N2048&lt;&gt;"",N2048,IF(O2048&lt;&gt;"",O2048,IF(L2048&lt;&gt;"",L2048/1.56,IF(M2048&lt;&gt;"",M2048/1.56,""))))</f>
        <v/>
      </c>
      <c r="U2048" s="3" t="n">
        <v>225</v>
      </c>
      <c r="V2048" s="3" t="n">
        <v>150</v>
      </c>
      <c r="W2048" s="3" t="n"/>
      <c r="X2048" s="4" t="n"/>
      <c r="Y2048" s="5" t="n">
        <v>0.4</v>
      </c>
      <c r="Z2048" s="4">
        <f>IF(L2048&lt;&gt;"",SQRT(3)*G2048*L2048/1000,"")</f>
        <v/>
      </c>
      <c r="AA2048" t="inlineStr">
        <is>
          <t>Source=Copeland 2D/3D/4D/4R/6D/8D/9R compressors (pdf) p109; PWS_RLA=33.8</t>
        </is>
      </c>
      <c r="AB2048" t="inlineStr">
        <is>
          <t>Copeland_RLA_230_460_3ph_60Hz.xlsx</t>
        </is>
      </c>
      <c r="AC2048" t="inlineStr">
        <is>
          <t>Recip_2D-9R</t>
        </is>
      </c>
    </row>
    <row r="2049">
      <c r="A2049" t="inlineStr">
        <is>
          <t>COPELAND</t>
        </is>
      </c>
      <c r="B2049" t="inlineStr">
        <is>
          <t>6RP5-3500-TSK</t>
        </is>
      </c>
      <c r="D2049" t="inlineStr">
        <is>
          <t>Reciprocating Semi-hermetic</t>
        </is>
      </c>
      <c r="E2049" s="2" t="n">
        <v>3</v>
      </c>
      <c r="F2049" s="2" t="n">
        <v>60</v>
      </c>
      <c r="G2049" s="2" t="n">
        <v>230</v>
      </c>
      <c r="H2049" t="inlineStr">
        <is>
          <t>208/230</t>
        </is>
      </c>
      <c r="I2049" s="2" t="n">
        <v>208</v>
      </c>
      <c r="J2049" s="2" t="n">
        <v>230</v>
      </c>
      <c r="L2049" s="3" t="n"/>
      <c r="M2049" s="3" t="n"/>
      <c r="N2049" s="3" t="n">
        <v>134.3</v>
      </c>
      <c r="O2049" s="3" t="n"/>
      <c r="P2049" s="3">
        <f>IF(L2049&lt;&gt;"",L2049/1.4,"")</f>
        <v/>
      </c>
      <c r="Q2049" s="3">
        <f>IF(L2049&lt;&gt;"",L2049/1.56,"")</f>
        <v/>
      </c>
      <c r="R2049" s="3">
        <f>IF(M2049&lt;&gt;"",M2049/1.4,"")</f>
        <v/>
      </c>
      <c r="S2049" s="3">
        <f>IF(M2049&lt;&gt;"",M2049/1.56,"")</f>
        <v/>
      </c>
      <c r="T2049" s="3">
        <f>IF(N2049&lt;&gt;"",N2049,IF(O2049&lt;&gt;"",O2049,IF(L2049&lt;&gt;"",L2049/1.56,IF(M2049&lt;&gt;"",M2049/1.56,""))))</f>
        <v/>
      </c>
      <c r="U2049" s="3" t="n">
        <v>565</v>
      </c>
      <c r="V2049" s="3" t="n">
        <v>340</v>
      </c>
      <c r="W2049" s="3" t="n"/>
      <c r="X2049" s="4" t="n"/>
      <c r="Y2049" s="5" t="n">
        <v>0.08699999999999999</v>
      </c>
      <c r="Z2049" s="4">
        <f>IF(L2049&lt;&gt;"",SQRT(3)*G2049*L2049/1000,"")</f>
        <v/>
      </c>
      <c r="AA2049" t="inlineStr">
        <is>
          <t>Source=Copeland 2D/3D/4D/4R/6D/8D/9R compressors (pdf) p109; PWS_RLA=67.5</t>
        </is>
      </c>
      <c r="AB2049" t="inlineStr">
        <is>
          <t>Copeland_RLA_230_460_3ph_60Hz.xlsx</t>
        </is>
      </c>
      <c r="AC2049" t="inlineStr">
        <is>
          <t>Recip_2D-9R</t>
        </is>
      </c>
    </row>
    <row r="2050">
      <c r="A2050" t="inlineStr">
        <is>
          <t>COPELAND</t>
        </is>
      </c>
      <c r="B2050" t="inlineStr">
        <is>
          <t>6RP5-3500-TSK</t>
        </is>
      </c>
      <c r="D2050" t="inlineStr">
        <is>
          <t>Reciprocating Semi-hermetic</t>
        </is>
      </c>
      <c r="E2050" s="2" t="n">
        <v>3</v>
      </c>
      <c r="F2050" s="2" t="n">
        <v>60</v>
      </c>
      <c r="G2050" s="2" t="n">
        <v>460</v>
      </c>
      <c r="H2050" t="inlineStr">
        <is>
          <t>460</t>
        </is>
      </c>
      <c r="I2050" s="2" t="n">
        <v>460</v>
      </c>
      <c r="J2050" s="2" t="n">
        <v>460</v>
      </c>
      <c r="L2050" s="3" t="n"/>
      <c r="M2050" s="3" t="n"/>
      <c r="N2050" s="3" t="n">
        <v>67.09999999999999</v>
      </c>
      <c r="O2050" s="3" t="n"/>
      <c r="P2050" s="3">
        <f>IF(L2050&lt;&gt;"",L2050/1.4,"")</f>
        <v/>
      </c>
      <c r="Q2050" s="3">
        <f>IF(L2050&lt;&gt;"",L2050/1.56,"")</f>
        <v/>
      </c>
      <c r="R2050" s="3">
        <f>IF(M2050&lt;&gt;"",M2050/1.4,"")</f>
        <v/>
      </c>
      <c r="S2050" s="3">
        <f>IF(M2050&lt;&gt;"",M2050/1.56,"")</f>
        <v/>
      </c>
      <c r="T2050" s="3">
        <f>IF(N2050&lt;&gt;"",N2050,IF(O2050&lt;&gt;"",O2050,IF(L2050&lt;&gt;"",L2050/1.56,IF(M2050&lt;&gt;"",M2050/1.56,""))))</f>
        <v/>
      </c>
      <c r="U2050" s="3" t="n">
        <v>283</v>
      </c>
      <c r="V2050" s="3" t="n"/>
      <c r="W2050" s="3" t="n"/>
      <c r="X2050" s="4" t="n"/>
      <c r="Y2050" s="5" t="n">
        <v>0.348</v>
      </c>
      <c r="Z2050" s="4">
        <f>IF(L2050&lt;&gt;"",SQRT(3)*G2050*L2050/1000,"")</f>
        <v/>
      </c>
      <c r="AA2050" t="inlineStr">
        <is>
          <t>Source=Copeland 2D/3D/4D/4R/6D/8D/9R compressors (pdf) p109</t>
        </is>
      </c>
      <c r="AB2050" t="inlineStr">
        <is>
          <t>Copeland_RLA_230_460_3ph_60Hz.xlsx</t>
        </is>
      </c>
      <c r="AC2050" t="inlineStr">
        <is>
          <t>Recip_2D-9R</t>
        </is>
      </c>
    </row>
    <row r="2051">
      <c r="A2051" t="inlineStr">
        <is>
          <t>COPELAND</t>
        </is>
      </c>
      <c r="B2051" t="inlineStr">
        <is>
          <t>6RR2-4000-FSD</t>
        </is>
      </c>
      <c r="D2051" t="inlineStr">
        <is>
          <t>Reciprocating Semi-hermetic</t>
        </is>
      </c>
      <c r="E2051" s="2" t="n">
        <v>3</v>
      </c>
      <c r="F2051" s="2" t="n">
        <v>60</v>
      </c>
      <c r="G2051" s="2" t="n">
        <v>460</v>
      </c>
      <c r="H2051" t="inlineStr">
        <is>
          <t>460</t>
        </is>
      </c>
      <c r="I2051" s="2" t="n">
        <v>460</v>
      </c>
      <c r="J2051" s="2" t="n">
        <v>460</v>
      </c>
      <c r="L2051" s="3" t="n"/>
      <c r="M2051" s="3" t="n"/>
      <c r="N2051" s="3" t="n">
        <v>62</v>
      </c>
      <c r="O2051" s="3" t="n"/>
      <c r="P2051" s="3">
        <f>IF(L2051&lt;&gt;"",L2051/1.4,"")</f>
        <v/>
      </c>
      <c r="Q2051" s="3">
        <f>IF(L2051&lt;&gt;"",L2051/1.56,"")</f>
        <v/>
      </c>
      <c r="R2051" s="3">
        <f>IF(M2051&lt;&gt;"",M2051/1.4,"")</f>
        <v/>
      </c>
      <c r="S2051" s="3">
        <f>IF(M2051&lt;&gt;"",M2051/1.56,"")</f>
        <v/>
      </c>
      <c r="T2051" s="3">
        <f>IF(N2051&lt;&gt;"",N2051,IF(O2051&lt;&gt;"",O2051,IF(L2051&lt;&gt;"",L2051/1.56,IF(M2051&lt;&gt;"",M2051/1.56,""))))</f>
        <v/>
      </c>
      <c r="U2051" s="3" t="n">
        <v>239</v>
      </c>
      <c r="V2051" s="3" t="n">
        <v>147</v>
      </c>
      <c r="W2051" s="3" t="n"/>
      <c r="X2051" s="4" t="n"/>
      <c r="Y2051" s="5" t="n">
        <v>3.75</v>
      </c>
      <c r="Z2051" s="4">
        <f>IF(L2051&lt;&gt;"",SQRT(3)*G2051*L2051/1000,"")</f>
        <v/>
      </c>
      <c r="AA2051" t="inlineStr">
        <is>
          <t>Source=Copeland 2D/3D/4D/4R/6D/8D/9R compressors (pdf) p109; PWS_RLA=32.2</t>
        </is>
      </c>
      <c r="AB2051" t="inlineStr">
        <is>
          <t>Copeland_RLA_230_460_3ph_60Hz.xlsx</t>
        </is>
      </c>
      <c r="AC2051" t="inlineStr">
        <is>
          <t>Recip_2D-9R</t>
        </is>
      </c>
    </row>
    <row r="2052">
      <c r="A2052" t="inlineStr">
        <is>
          <t>COPELAND</t>
        </is>
      </c>
      <c r="B2052" t="inlineStr">
        <is>
          <t>6RR2-4000-TSN</t>
        </is>
      </c>
      <c r="D2052" t="inlineStr">
        <is>
          <t>Reciprocating Semi-hermetic</t>
        </is>
      </c>
      <c r="E2052" s="2" t="n">
        <v>3</v>
      </c>
      <c r="F2052" s="2" t="n">
        <v>60</v>
      </c>
      <c r="G2052" s="2" t="n">
        <v>230</v>
      </c>
      <c r="H2052" t="inlineStr">
        <is>
          <t>230</t>
        </is>
      </c>
      <c r="I2052" s="2" t="n">
        <v>230</v>
      </c>
      <c r="J2052" s="2" t="n">
        <v>230</v>
      </c>
      <c r="L2052" s="3" t="n"/>
      <c r="M2052" s="3" t="n"/>
      <c r="N2052" s="3" t="n">
        <v>141.4</v>
      </c>
      <c r="O2052" s="3" t="n"/>
      <c r="P2052" s="3">
        <f>IF(L2052&lt;&gt;"",L2052/1.4,"")</f>
        <v/>
      </c>
      <c r="Q2052" s="3">
        <f>IF(L2052&lt;&gt;"",L2052/1.56,"")</f>
        <v/>
      </c>
      <c r="R2052" s="3">
        <f>IF(M2052&lt;&gt;"",M2052/1.4,"")</f>
        <v/>
      </c>
      <c r="S2052" s="3">
        <f>IF(M2052&lt;&gt;"",M2052/1.56,"")</f>
        <v/>
      </c>
      <c r="T2052" s="3">
        <f>IF(N2052&lt;&gt;"",N2052,IF(O2052&lt;&gt;"",O2052,IF(L2052&lt;&gt;"",L2052/1.56,IF(M2052&lt;&gt;"",M2052/1.56,""))))</f>
        <v/>
      </c>
      <c r="U2052" s="3" t="n">
        <v>594</v>
      </c>
      <c r="V2052" s="3" t="n">
        <v>340</v>
      </c>
      <c r="W2052" s="3" t="n"/>
      <c r="X2052" s="4" t="n"/>
      <c r="Y2052" s="5" t="n">
        <v>0.08500000000000001</v>
      </c>
      <c r="Z2052" s="4">
        <f>IF(L2052&lt;&gt;"",SQRT(3)*G2052*L2052/1000,"")</f>
        <v/>
      </c>
      <c r="AA2052" t="inlineStr">
        <is>
          <t>Source=Copeland 2D/3D/4D/4R/6D/8D/9R compressors (pdf) p110; PWS_RLA=71.0</t>
        </is>
      </c>
      <c r="AB2052" t="inlineStr">
        <is>
          <t>Copeland_RLA_230_460_3ph_60Hz.xlsx</t>
        </is>
      </c>
      <c r="AC2052" t="inlineStr">
        <is>
          <t>Recip_2D-9R</t>
        </is>
      </c>
    </row>
    <row r="2053">
      <c r="A2053" t="inlineStr">
        <is>
          <t>COPELAND</t>
        </is>
      </c>
      <c r="B2053" t="inlineStr">
        <is>
          <t>6RR2-4000-TSN</t>
        </is>
      </c>
      <c r="D2053" t="inlineStr">
        <is>
          <t>Reciprocating Semi-hermetic</t>
        </is>
      </c>
      <c r="E2053" s="2" t="n">
        <v>3</v>
      </c>
      <c r="F2053" s="2" t="n">
        <v>60</v>
      </c>
      <c r="G2053" s="2" t="n">
        <v>460</v>
      </c>
      <c r="H2053" t="inlineStr">
        <is>
          <t>460</t>
        </is>
      </c>
      <c r="I2053" s="2" t="n">
        <v>460</v>
      </c>
      <c r="J2053" s="2" t="n">
        <v>460</v>
      </c>
      <c r="L2053" s="3" t="n"/>
      <c r="M2053" s="3" t="n"/>
      <c r="N2053" s="3" t="n">
        <v>70.7</v>
      </c>
      <c r="O2053" s="3" t="n"/>
      <c r="P2053" s="3">
        <f>IF(L2053&lt;&gt;"",L2053/1.4,"")</f>
        <v/>
      </c>
      <c r="Q2053" s="3">
        <f>IF(L2053&lt;&gt;"",L2053/1.56,"")</f>
        <v/>
      </c>
      <c r="R2053" s="3">
        <f>IF(M2053&lt;&gt;"",M2053/1.4,"")</f>
        <v/>
      </c>
      <c r="S2053" s="3">
        <f>IF(M2053&lt;&gt;"",M2053/1.56,"")</f>
        <v/>
      </c>
      <c r="T2053" s="3">
        <f>IF(N2053&lt;&gt;"",N2053,IF(O2053&lt;&gt;"",O2053,IF(L2053&lt;&gt;"",L2053/1.56,IF(M2053&lt;&gt;"",M2053/1.56,""))))</f>
        <v/>
      </c>
      <c r="U2053" s="3" t="n">
        <v>297</v>
      </c>
      <c r="V2053" s="3" t="n"/>
      <c r="W2053" s="3" t="n"/>
      <c r="X2053" s="4" t="n"/>
      <c r="Y2053" s="5" t="n">
        <v>0.34</v>
      </c>
      <c r="Z2053" s="4">
        <f>IF(L2053&lt;&gt;"",SQRT(3)*G2053*L2053/1000,"")</f>
        <v/>
      </c>
      <c r="AA2053" t="inlineStr">
        <is>
          <t>Source=Copeland 2D/3D/4D/4R/6D/8D/9R compressors (pdf) p110</t>
        </is>
      </c>
      <c r="AB2053" t="inlineStr">
        <is>
          <t>Copeland_RLA_230_460_3ph_60Hz.xlsx</t>
        </is>
      </c>
      <c r="AC2053" t="inlineStr">
        <is>
          <t>Recip_2D-9R</t>
        </is>
      </c>
    </row>
    <row r="2054">
      <c r="A2054" t="inlineStr">
        <is>
          <t>COPELAND</t>
        </is>
      </c>
      <c r="B2054" t="inlineStr">
        <is>
          <t>6RR2-400A-FSD</t>
        </is>
      </c>
      <c r="D2054" t="inlineStr">
        <is>
          <t>Reciprocating Semi-hermetic</t>
        </is>
      </c>
      <c r="E2054" s="2" t="n">
        <v>3</v>
      </c>
      <c r="F2054" s="2" t="n">
        <v>60</v>
      </c>
      <c r="G2054" s="2" t="n">
        <v>460</v>
      </c>
      <c r="H2054" t="inlineStr">
        <is>
          <t>460</t>
        </is>
      </c>
      <c r="I2054" s="2" t="n">
        <v>460</v>
      </c>
      <c r="J2054" s="2" t="n">
        <v>460</v>
      </c>
      <c r="L2054" s="3" t="n"/>
      <c r="M2054" s="3" t="n"/>
      <c r="N2054" s="3" t="n">
        <v>62</v>
      </c>
      <c r="O2054" s="3" t="n"/>
      <c r="P2054" s="3">
        <f>IF(L2054&lt;&gt;"",L2054/1.4,"")</f>
        <v/>
      </c>
      <c r="Q2054" s="3">
        <f>IF(L2054&lt;&gt;"",L2054/1.56,"")</f>
        <v/>
      </c>
      <c r="R2054" s="3">
        <f>IF(M2054&lt;&gt;"",M2054/1.4,"")</f>
        <v/>
      </c>
      <c r="S2054" s="3">
        <f>IF(M2054&lt;&gt;"",M2054/1.56,"")</f>
        <v/>
      </c>
      <c r="T2054" s="3">
        <f>IF(N2054&lt;&gt;"",N2054,IF(O2054&lt;&gt;"",O2054,IF(L2054&lt;&gt;"",L2054/1.56,IF(M2054&lt;&gt;"",M2054/1.56,""))))</f>
        <v/>
      </c>
      <c r="U2054" s="3" t="n">
        <v>239</v>
      </c>
      <c r="V2054" s="3" t="n">
        <v>147</v>
      </c>
      <c r="W2054" s="3" t="n"/>
      <c r="X2054" s="4" t="n"/>
      <c r="Y2054" s="5" t="n">
        <v>3.75</v>
      </c>
      <c r="Z2054" s="4">
        <f>IF(L2054&lt;&gt;"",SQRT(3)*G2054*L2054/1000,"")</f>
        <v/>
      </c>
      <c r="AA2054" t="inlineStr">
        <is>
          <t>Source=Copeland 2D/3D/4D/4R/6D/8D/9R compressors (pdf) p110; PWS_RLA=32.2</t>
        </is>
      </c>
      <c r="AB2054" t="inlineStr">
        <is>
          <t>Copeland_RLA_230_460_3ph_60Hz.xlsx</t>
        </is>
      </c>
      <c r="AC2054" t="inlineStr">
        <is>
          <t>Recip_2D-9R</t>
        </is>
      </c>
    </row>
    <row r="2055">
      <c r="A2055" t="inlineStr">
        <is>
          <t>COPELAND</t>
        </is>
      </c>
      <c r="B2055" t="inlineStr">
        <is>
          <t>6RR2-400A-TSN</t>
        </is>
      </c>
      <c r="D2055" t="inlineStr">
        <is>
          <t>Reciprocating Semi-hermetic</t>
        </is>
      </c>
      <c r="E2055" s="2" t="n">
        <v>3</v>
      </c>
      <c r="F2055" s="2" t="n">
        <v>60</v>
      </c>
      <c r="G2055" s="2" t="n">
        <v>230</v>
      </c>
      <c r="H2055" t="inlineStr">
        <is>
          <t>230</t>
        </is>
      </c>
      <c r="I2055" s="2" t="n">
        <v>230</v>
      </c>
      <c r="J2055" s="2" t="n">
        <v>230</v>
      </c>
      <c r="L2055" s="3" t="n"/>
      <c r="M2055" s="3" t="n"/>
      <c r="N2055" s="3" t="n">
        <v>141.4</v>
      </c>
      <c r="O2055" s="3" t="n"/>
      <c r="P2055" s="3">
        <f>IF(L2055&lt;&gt;"",L2055/1.4,"")</f>
        <v/>
      </c>
      <c r="Q2055" s="3">
        <f>IF(L2055&lt;&gt;"",L2055/1.56,"")</f>
        <v/>
      </c>
      <c r="R2055" s="3">
        <f>IF(M2055&lt;&gt;"",M2055/1.4,"")</f>
        <v/>
      </c>
      <c r="S2055" s="3">
        <f>IF(M2055&lt;&gt;"",M2055/1.56,"")</f>
        <v/>
      </c>
      <c r="T2055" s="3">
        <f>IF(N2055&lt;&gt;"",N2055,IF(O2055&lt;&gt;"",O2055,IF(L2055&lt;&gt;"",L2055/1.56,IF(M2055&lt;&gt;"",M2055/1.56,""))))</f>
        <v/>
      </c>
      <c r="U2055" s="3" t="n">
        <v>594</v>
      </c>
      <c r="V2055" s="3" t="n">
        <v>340</v>
      </c>
      <c r="W2055" s="3" t="n"/>
      <c r="X2055" s="4" t="n"/>
      <c r="Y2055" s="5" t="n">
        <v>0.08500000000000001</v>
      </c>
      <c r="Z2055" s="4">
        <f>IF(L2055&lt;&gt;"",SQRT(3)*G2055*L2055/1000,"")</f>
        <v/>
      </c>
      <c r="AA2055" t="inlineStr">
        <is>
          <t>Source=Copeland 2D/3D/4D/4R/6D/8D/9R compressors (pdf) p110; PWS_RLA=71.0</t>
        </is>
      </c>
      <c r="AB2055" t="inlineStr">
        <is>
          <t>Copeland_RLA_230_460_3ph_60Hz.xlsx</t>
        </is>
      </c>
      <c r="AC2055" t="inlineStr">
        <is>
          <t>Recip_2D-9R</t>
        </is>
      </c>
    </row>
    <row r="2056">
      <c r="A2056" t="inlineStr">
        <is>
          <t>COPELAND</t>
        </is>
      </c>
      <c r="B2056" t="inlineStr">
        <is>
          <t>6RR2-400A-TSN</t>
        </is>
      </c>
      <c r="D2056" t="inlineStr">
        <is>
          <t>Reciprocating Semi-hermetic</t>
        </is>
      </c>
      <c r="E2056" s="2" t="n">
        <v>3</v>
      </c>
      <c r="F2056" s="2" t="n">
        <v>60</v>
      </c>
      <c r="G2056" s="2" t="n">
        <v>460</v>
      </c>
      <c r="H2056" t="inlineStr">
        <is>
          <t>460</t>
        </is>
      </c>
      <c r="I2056" s="2" t="n">
        <v>460</v>
      </c>
      <c r="J2056" s="2" t="n">
        <v>460</v>
      </c>
      <c r="L2056" s="3" t="n"/>
      <c r="M2056" s="3" t="n"/>
      <c r="N2056" s="3" t="n">
        <v>70.7</v>
      </c>
      <c r="O2056" s="3" t="n"/>
      <c r="P2056" s="3">
        <f>IF(L2056&lt;&gt;"",L2056/1.4,"")</f>
        <v/>
      </c>
      <c r="Q2056" s="3">
        <f>IF(L2056&lt;&gt;"",L2056/1.56,"")</f>
        <v/>
      </c>
      <c r="R2056" s="3">
        <f>IF(M2056&lt;&gt;"",M2056/1.4,"")</f>
        <v/>
      </c>
      <c r="S2056" s="3">
        <f>IF(M2056&lt;&gt;"",M2056/1.56,"")</f>
        <v/>
      </c>
      <c r="T2056" s="3">
        <f>IF(N2056&lt;&gt;"",N2056,IF(O2056&lt;&gt;"",O2056,IF(L2056&lt;&gt;"",L2056/1.56,IF(M2056&lt;&gt;"",M2056/1.56,""))))</f>
        <v/>
      </c>
      <c r="U2056" s="3" t="n">
        <v>297</v>
      </c>
      <c r="V2056" s="3" t="n"/>
      <c r="W2056" s="3" t="n"/>
      <c r="X2056" s="4" t="n"/>
      <c r="Y2056" s="5" t="n">
        <v>0.34</v>
      </c>
      <c r="Z2056" s="4">
        <f>IF(L2056&lt;&gt;"",SQRT(3)*G2056*L2056/1000,"")</f>
        <v/>
      </c>
      <c r="AA2056" t="inlineStr">
        <is>
          <t>Source=Copeland 2D/3D/4D/4R/6D/8D/9R compressors (pdf) p110</t>
        </is>
      </c>
      <c r="AB2056" t="inlineStr">
        <is>
          <t>Copeland_RLA_230_460_3ph_60Hz.xlsx</t>
        </is>
      </c>
      <c r="AC2056" t="inlineStr">
        <is>
          <t>Recip_2D-9R</t>
        </is>
      </c>
    </row>
    <row r="2057">
      <c r="A2057" t="inlineStr">
        <is>
          <t>COPELAND</t>
        </is>
      </c>
      <c r="B2057" t="inlineStr">
        <is>
          <t>6RS2-4000-FSD</t>
        </is>
      </c>
      <c r="D2057" t="inlineStr">
        <is>
          <t>Reciprocating Semi-hermetic</t>
        </is>
      </c>
      <c r="E2057" s="2" t="n">
        <v>3</v>
      </c>
      <c r="F2057" s="2" t="n">
        <v>60</v>
      </c>
      <c r="G2057" s="2" t="n">
        <v>460</v>
      </c>
      <c r="H2057" t="inlineStr">
        <is>
          <t>460</t>
        </is>
      </c>
      <c r="I2057" s="2" t="n">
        <v>460</v>
      </c>
      <c r="J2057" s="2" t="n">
        <v>460</v>
      </c>
      <c r="L2057" s="3" t="n"/>
      <c r="M2057" s="3" t="n"/>
      <c r="N2057" s="3" t="n">
        <v>62</v>
      </c>
      <c r="O2057" s="3" t="n"/>
      <c r="P2057" s="3">
        <f>IF(L2057&lt;&gt;"",L2057/1.4,"")</f>
        <v/>
      </c>
      <c r="Q2057" s="3">
        <f>IF(L2057&lt;&gt;"",L2057/1.56,"")</f>
        <v/>
      </c>
      <c r="R2057" s="3">
        <f>IF(M2057&lt;&gt;"",M2057/1.4,"")</f>
        <v/>
      </c>
      <c r="S2057" s="3">
        <f>IF(M2057&lt;&gt;"",M2057/1.56,"")</f>
        <v/>
      </c>
      <c r="T2057" s="3">
        <f>IF(N2057&lt;&gt;"",N2057,IF(O2057&lt;&gt;"",O2057,IF(L2057&lt;&gt;"",L2057/1.56,IF(M2057&lt;&gt;"",M2057/1.56,""))))</f>
        <v/>
      </c>
      <c r="U2057" s="3" t="n">
        <v>239</v>
      </c>
      <c r="V2057" s="3" t="n">
        <v>147</v>
      </c>
      <c r="W2057" s="3" t="n"/>
      <c r="X2057" s="4" t="n"/>
      <c r="Y2057" s="5" t="n">
        <v>3.75</v>
      </c>
      <c r="Z2057" s="4">
        <f>IF(L2057&lt;&gt;"",SQRT(3)*G2057*L2057/1000,"")</f>
        <v/>
      </c>
      <c r="AA2057" t="inlineStr">
        <is>
          <t>Source=Copeland 2D/3D/4D/4R/6D/8D/9R compressors (pdf) p110; PWS_RLA=32.2</t>
        </is>
      </c>
      <c r="AB2057" t="inlineStr">
        <is>
          <t>Copeland_RLA_230_460_3ph_60Hz.xlsx</t>
        </is>
      </c>
      <c r="AC2057" t="inlineStr">
        <is>
          <t>Recip_2D-9R</t>
        </is>
      </c>
    </row>
    <row r="2058">
      <c r="A2058" t="inlineStr">
        <is>
          <t>COPELAND</t>
        </is>
      </c>
      <c r="B2058" t="inlineStr">
        <is>
          <t>6RS2-4000-TSN</t>
        </is>
      </c>
      <c r="D2058" t="inlineStr">
        <is>
          <t>Reciprocating Semi-hermetic</t>
        </is>
      </c>
      <c r="E2058" s="2" t="n">
        <v>3</v>
      </c>
      <c r="F2058" s="2" t="n">
        <v>60</v>
      </c>
      <c r="G2058" s="2" t="n">
        <v>230</v>
      </c>
      <c r="H2058" t="inlineStr">
        <is>
          <t>230</t>
        </is>
      </c>
      <c r="I2058" s="2" t="n">
        <v>230</v>
      </c>
      <c r="J2058" s="2" t="n">
        <v>230</v>
      </c>
      <c r="L2058" s="3" t="n"/>
      <c r="M2058" s="3" t="n"/>
      <c r="N2058" s="3" t="n">
        <v>141.4</v>
      </c>
      <c r="O2058" s="3" t="n"/>
      <c r="P2058" s="3">
        <f>IF(L2058&lt;&gt;"",L2058/1.4,"")</f>
        <v/>
      </c>
      <c r="Q2058" s="3">
        <f>IF(L2058&lt;&gt;"",L2058/1.56,"")</f>
        <v/>
      </c>
      <c r="R2058" s="3">
        <f>IF(M2058&lt;&gt;"",M2058/1.4,"")</f>
        <v/>
      </c>
      <c r="S2058" s="3">
        <f>IF(M2058&lt;&gt;"",M2058/1.56,"")</f>
        <v/>
      </c>
      <c r="T2058" s="3">
        <f>IF(N2058&lt;&gt;"",N2058,IF(O2058&lt;&gt;"",O2058,IF(L2058&lt;&gt;"",L2058/1.56,IF(M2058&lt;&gt;"",M2058/1.56,""))))</f>
        <v/>
      </c>
      <c r="U2058" s="3" t="n">
        <v>594</v>
      </c>
      <c r="V2058" s="3" t="n">
        <v>340</v>
      </c>
      <c r="W2058" s="3" t="n"/>
      <c r="X2058" s="4" t="n"/>
      <c r="Y2058" s="5" t="n">
        <v>0.08500000000000001</v>
      </c>
      <c r="Z2058" s="4">
        <f>IF(L2058&lt;&gt;"",SQRT(3)*G2058*L2058/1000,"")</f>
        <v/>
      </c>
      <c r="AA2058" t="inlineStr">
        <is>
          <t>Source=Copeland 2D/3D/4D/4R/6D/8D/9R compressors (pdf) p110; PWS_RLA=71.0</t>
        </is>
      </c>
      <c r="AB2058" t="inlineStr">
        <is>
          <t>Copeland_RLA_230_460_3ph_60Hz.xlsx</t>
        </is>
      </c>
      <c r="AC2058" t="inlineStr">
        <is>
          <t>Recip_2D-9R</t>
        </is>
      </c>
    </row>
    <row r="2059">
      <c r="A2059" t="inlineStr">
        <is>
          <t>COPELAND</t>
        </is>
      </c>
      <c r="B2059" t="inlineStr">
        <is>
          <t>6RS2-4000-TSN</t>
        </is>
      </c>
      <c r="D2059" t="inlineStr">
        <is>
          <t>Reciprocating Semi-hermetic</t>
        </is>
      </c>
      <c r="E2059" s="2" t="n">
        <v>3</v>
      </c>
      <c r="F2059" s="2" t="n">
        <v>60</v>
      </c>
      <c r="G2059" s="2" t="n">
        <v>460</v>
      </c>
      <c r="H2059" t="inlineStr">
        <is>
          <t>460</t>
        </is>
      </c>
      <c r="I2059" s="2" t="n">
        <v>460</v>
      </c>
      <c r="J2059" s="2" t="n">
        <v>460</v>
      </c>
      <c r="L2059" s="3" t="n"/>
      <c r="M2059" s="3" t="n"/>
      <c r="N2059" s="3" t="n">
        <v>70.7</v>
      </c>
      <c r="O2059" s="3" t="n"/>
      <c r="P2059" s="3">
        <f>IF(L2059&lt;&gt;"",L2059/1.4,"")</f>
        <v/>
      </c>
      <c r="Q2059" s="3">
        <f>IF(L2059&lt;&gt;"",L2059/1.56,"")</f>
        <v/>
      </c>
      <c r="R2059" s="3">
        <f>IF(M2059&lt;&gt;"",M2059/1.4,"")</f>
        <v/>
      </c>
      <c r="S2059" s="3">
        <f>IF(M2059&lt;&gt;"",M2059/1.56,"")</f>
        <v/>
      </c>
      <c r="T2059" s="3">
        <f>IF(N2059&lt;&gt;"",N2059,IF(O2059&lt;&gt;"",O2059,IF(L2059&lt;&gt;"",L2059/1.56,IF(M2059&lt;&gt;"",M2059/1.56,""))))</f>
        <v/>
      </c>
      <c r="U2059" s="3" t="n">
        <v>297</v>
      </c>
      <c r="V2059" s="3" t="n"/>
      <c r="W2059" s="3" t="n"/>
      <c r="X2059" s="4" t="n"/>
      <c r="Y2059" s="5" t="n">
        <v>0.34</v>
      </c>
      <c r="Z2059" s="4">
        <f>IF(L2059&lt;&gt;"",SQRT(3)*G2059*L2059/1000,"")</f>
        <v/>
      </c>
      <c r="AA2059" t="inlineStr">
        <is>
          <t>Source=Copeland 2D/3D/4D/4R/6D/8D/9R compressors (pdf) p110</t>
        </is>
      </c>
      <c r="AB2059" t="inlineStr">
        <is>
          <t>Copeland_RLA_230_460_3ph_60Hz.xlsx</t>
        </is>
      </c>
      <c r="AC2059" t="inlineStr">
        <is>
          <t>Recip_2D-9R</t>
        </is>
      </c>
    </row>
    <row r="2060">
      <c r="A2060" t="inlineStr">
        <is>
          <t>COPELAND</t>
        </is>
      </c>
      <c r="B2060" t="inlineStr">
        <is>
          <t>6RS2-400A-FSD</t>
        </is>
      </c>
      <c r="D2060" t="inlineStr">
        <is>
          <t>Reciprocating Semi-hermetic</t>
        </is>
      </c>
      <c r="E2060" s="2" t="n">
        <v>3</v>
      </c>
      <c r="F2060" s="2" t="n">
        <v>60</v>
      </c>
      <c r="G2060" s="2" t="n">
        <v>460</v>
      </c>
      <c r="H2060" t="inlineStr">
        <is>
          <t>460</t>
        </is>
      </c>
      <c r="I2060" s="2" t="n">
        <v>460</v>
      </c>
      <c r="J2060" s="2" t="n">
        <v>460</v>
      </c>
      <c r="L2060" s="3" t="n"/>
      <c r="M2060" s="3" t="n"/>
      <c r="N2060" s="3" t="n">
        <v>62</v>
      </c>
      <c r="O2060" s="3" t="n"/>
      <c r="P2060" s="3">
        <f>IF(L2060&lt;&gt;"",L2060/1.4,"")</f>
        <v/>
      </c>
      <c r="Q2060" s="3">
        <f>IF(L2060&lt;&gt;"",L2060/1.56,"")</f>
        <v/>
      </c>
      <c r="R2060" s="3">
        <f>IF(M2060&lt;&gt;"",M2060/1.4,"")</f>
        <v/>
      </c>
      <c r="S2060" s="3">
        <f>IF(M2060&lt;&gt;"",M2060/1.56,"")</f>
        <v/>
      </c>
      <c r="T2060" s="3">
        <f>IF(N2060&lt;&gt;"",N2060,IF(O2060&lt;&gt;"",O2060,IF(L2060&lt;&gt;"",L2060/1.56,IF(M2060&lt;&gt;"",M2060/1.56,""))))</f>
        <v/>
      </c>
      <c r="U2060" s="3" t="n">
        <v>239</v>
      </c>
      <c r="V2060" s="3" t="n">
        <v>147</v>
      </c>
      <c r="W2060" s="3" t="n"/>
      <c r="X2060" s="4" t="n"/>
      <c r="Y2060" s="5" t="n">
        <v>3.75</v>
      </c>
      <c r="Z2060" s="4">
        <f>IF(L2060&lt;&gt;"",SQRT(3)*G2060*L2060/1000,"")</f>
        <v/>
      </c>
      <c r="AA2060" t="inlineStr">
        <is>
          <t>Source=Copeland 2D/3D/4D/4R/6D/8D/9R compressors (pdf) p110; PWS_RLA=32.2</t>
        </is>
      </c>
      <c r="AB2060" t="inlineStr">
        <is>
          <t>Copeland_RLA_230_460_3ph_60Hz.xlsx</t>
        </is>
      </c>
      <c r="AC2060" t="inlineStr">
        <is>
          <t>Recip_2D-9R</t>
        </is>
      </c>
    </row>
    <row r="2061">
      <c r="A2061" t="inlineStr">
        <is>
          <t>COPELAND</t>
        </is>
      </c>
      <c r="B2061" t="inlineStr">
        <is>
          <t>6RS2-400A-TSN</t>
        </is>
      </c>
      <c r="D2061" t="inlineStr">
        <is>
          <t>Reciprocating Semi-hermetic</t>
        </is>
      </c>
      <c r="E2061" s="2" t="n">
        <v>3</v>
      </c>
      <c r="F2061" s="2" t="n">
        <v>60</v>
      </c>
      <c r="G2061" s="2" t="n">
        <v>230</v>
      </c>
      <c r="H2061" t="inlineStr">
        <is>
          <t>230</t>
        </is>
      </c>
      <c r="I2061" s="2" t="n">
        <v>230</v>
      </c>
      <c r="J2061" s="2" t="n">
        <v>230</v>
      </c>
      <c r="L2061" s="3" t="n"/>
      <c r="M2061" s="3" t="n"/>
      <c r="N2061" s="3" t="n">
        <v>141.4</v>
      </c>
      <c r="O2061" s="3" t="n"/>
      <c r="P2061" s="3">
        <f>IF(L2061&lt;&gt;"",L2061/1.4,"")</f>
        <v/>
      </c>
      <c r="Q2061" s="3">
        <f>IF(L2061&lt;&gt;"",L2061/1.56,"")</f>
        <v/>
      </c>
      <c r="R2061" s="3">
        <f>IF(M2061&lt;&gt;"",M2061/1.4,"")</f>
        <v/>
      </c>
      <c r="S2061" s="3">
        <f>IF(M2061&lt;&gt;"",M2061/1.56,"")</f>
        <v/>
      </c>
      <c r="T2061" s="3">
        <f>IF(N2061&lt;&gt;"",N2061,IF(O2061&lt;&gt;"",O2061,IF(L2061&lt;&gt;"",L2061/1.56,IF(M2061&lt;&gt;"",M2061/1.56,""))))</f>
        <v/>
      </c>
      <c r="U2061" s="3" t="n">
        <v>594</v>
      </c>
      <c r="V2061" s="3" t="n">
        <v>340</v>
      </c>
      <c r="W2061" s="3" t="n"/>
      <c r="X2061" s="4" t="n"/>
      <c r="Y2061" s="5" t="n">
        <v>0.08500000000000001</v>
      </c>
      <c r="Z2061" s="4">
        <f>IF(L2061&lt;&gt;"",SQRT(3)*G2061*L2061/1000,"")</f>
        <v/>
      </c>
      <c r="AA2061" t="inlineStr">
        <is>
          <t>Source=Copeland 2D/3D/4D/4R/6D/8D/9R compressors (pdf) p110; PWS_RLA=71.0</t>
        </is>
      </c>
      <c r="AB2061" t="inlineStr">
        <is>
          <t>Copeland_RLA_230_460_3ph_60Hz.xlsx</t>
        </is>
      </c>
      <c r="AC2061" t="inlineStr">
        <is>
          <t>Recip_2D-9R</t>
        </is>
      </c>
    </row>
    <row r="2062">
      <c r="A2062" t="inlineStr">
        <is>
          <t>COPELAND</t>
        </is>
      </c>
      <c r="B2062" t="inlineStr">
        <is>
          <t>6RS2-400A-TSN</t>
        </is>
      </c>
      <c r="D2062" t="inlineStr">
        <is>
          <t>Reciprocating Semi-hermetic</t>
        </is>
      </c>
      <c r="E2062" s="2" t="n">
        <v>3</v>
      </c>
      <c r="F2062" s="2" t="n">
        <v>60</v>
      </c>
      <c r="G2062" s="2" t="n">
        <v>460</v>
      </c>
      <c r="H2062" t="inlineStr">
        <is>
          <t>460</t>
        </is>
      </c>
      <c r="I2062" s="2" t="n">
        <v>460</v>
      </c>
      <c r="J2062" s="2" t="n">
        <v>460</v>
      </c>
      <c r="L2062" s="3" t="n"/>
      <c r="M2062" s="3" t="n"/>
      <c r="N2062" s="3" t="n">
        <v>70.7</v>
      </c>
      <c r="O2062" s="3" t="n"/>
      <c r="P2062" s="3">
        <f>IF(L2062&lt;&gt;"",L2062/1.4,"")</f>
        <v/>
      </c>
      <c r="Q2062" s="3">
        <f>IF(L2062&lt;&gt;"",L2062/1.56,"")</f>
        <v/>
      </c>
      <c r="R2062" s="3">
        <f>IF(M2062&lt;&gt;"",M2062/1.4,"")</f>
        <v/>
      </c>
      <c r="S2062" s="3">
        <f>IF(M2062&lt;&gt;"",M2062/1.56,"")</f>
        <v/>
      </c>
      <c r="T2062" s="3">
        <f>IF(N2062&lt;&gt;"",N2062,IF(O2062&lt;&gt;"",O2062,IF(L2062&lt;&gt;"",L2062/1.56,IF(M2062&lt;&gt;"",M2062/1.56,""))))</f>
        <v/>
      </c>
      <c r="U2062" s="3" t="n">
        <v>297</v>
      </c>
      <c r="V2062" s="3" t="n"/>
      <c r="W2062" s="3" t="n"/>
      <c r="X2062" s="4" t="n"/>
      <c r="Y2062" s="5" t="n">
        <v>0.34</v>
      </c>
      <c r="Z2062" s="4">
        <f>IF(L2062&lt;&gt;"",SQRT(3)*G2062*L2062/1000,"")</f>
        <v/>
      </c>
      <c r="AA2062" t="inlineStr">
        <is>
          <t>Source=Copeland 2D/3D/4D/4R/6D/8D/9R compressors (pdf) p110</t>
        </is>
      </c>
      <c r="AB2062" t="inlineStr">
        <is>
          <t>Copeland_RLA_230_460_3ph_60Hz.xlsx</t>
        </is>
      </c>
      <c r="AC2062" t="inlineStr">
        <is>
          <t>Recip_2D-9R</t>
        </is>
      </c>
    </row>
    <row r="2063">
      <c r="A2063" t="inlineStr">
        <is>
          <t>COPELAND</t>
        </is>
      </c>
      <c r="B2063" t="inlineStr">
        <is>
          <t>6RT1-3000-FSD</t>
        </is>
      </c>
      <c r="D2063" t="inlineStr">
        <is>
          <t>Reciprocating Semi-hermetic</t>
        </is>
      </c>
      <c r="E2063" s="2" t="n">
        <v>3</v>
      </c>
      <c r="F2063" s="2" t="n">
        <v>60</v>
      </c>
      <c r="G2063" s="2" t="n">
        <v>460</v>
      </c>
      <c r="H2063" t="inlineStr">
        <is>
          <t>460</t>
        </is>
      </c>
      <c r="I2063" s="2" t="n">
        <v>460</v>
      </c>
      <c r="J2063" s="2" t="n">
        <v>460</v>
      </c>
      <c r="L2063" s="3" t="n"/>
      <c r="M2063" s="3" t="n"/>
      <c r="N2063" s="3" t="n">
        <v>60.6</v>
      </c>
      <c r="O2063" s="3" t="n"/>
      <c r="P2063" s="3">
        <f>IF(L2063&lt;&gt;"",L2063/1.4,"")</f>
        <v/>
      </c>
      <c r="Q2063" s="3">
        <f>IF(L2063&lt;&gt;"",L2063/1.56,"")</f>
        <v/>
      </c>
      <c r="R2063" s="3">
        <f>IF(M2063&lt;&gt;"",M2063/1.4,"")</f>
        <v/>
      </c>
      <c r="S2063" s="3">
        <f>IF(M2063&lt;&gt;"",M2063/1.56,"")</f>
        <v/>
      </c>
      <c r="T2063" s="3">
        <f>IF(N2063&lt;&gt;"",N2063,IF(O2063&lt;&gt;"",O2063,IF(L2063&lt;&gt;"",L2063/1.56,IF(M2063&lt;&gt;"",M2063/1.56,""))))</f>
        <v/>
      </c>
      <c r="U2063" s="3" t="n">
        <v>200</v>
      </c>
      <c r="V2063" s="3" t="n">
        <v>121</v>
      </c>
      <c r="W2063" s="3" t="n"/>
      <c r="X2063" s="4" t="n"/>
      <c r="Y2063" s="5" t="n">
        <v>0.475</v>
      </c>
      <c r="Z2063" s="4">
        <f>IF(L2063&lt;&gt;"",SQRT(3)*G2063*L2063/1000,"")</f>
        <v/>
      </c>
      <c r="AA2063" t="inlineStr">
        <is>
          <t>Source=Copeland 2D/3D/4D/4R/6D/8D/9R compressors (pdf) p110; PWS_RLA=30.0</t>
        </is>
      </c>
      <c r="AB2063" t="inlineStr">
        <is>
          <t>Copeland_RLA_230_460_3ph_60Hz.xlsx</t>
        </is>
      </c>
      <c r="AC2063" t="inlineStr">
        <is>
          <t>Recip_2D-9R</t>
        </is>
      </c>
    </row>
    <row r="2064">
      <c r="A2064" t="inlineStr">
        <is>
          <t>COPELAND</t>
        </is>
      </c>
      <c r="B2064" t="inlineStr">
        <is>
          <t>6RT1-3000-TSK</t>
        </is>
      </c>
      <c r="D2064" t="inlineStr">
        <is>
          <t>Reciprocating Semi-hermetic</t>
        </is>
      </c>
      <c r="E2064" s="2" t="n">
        <v>3</v>
      </c>
      <c r="F2064" s="2" t="n">
        <v>60</v>
      </c>
      <c r="G2064" s="2" t="n">
        <v>230</v>
      </c>
      <c r="H2064" t="inlineStr">
        <is>
          <t>208/230</t>
        </is>
      </c>
      <c r="I2064" s="2" t="n">
        <v>208</v>
      </c>
      <c r="J2064" s="2" t="n">
        <v>230</v>
      </c>
      <c r="L2064" s="3" t="n"/>
      <c r="M2064" s="3" t="n"/>
      <c r="N2064" s="3" t="n">
        <v>110.9</v>
      </c>
      <c r="O2064" s="3" t="n"/>
      <c r="P2064" s="3">
        <f>IF(L2064&lt;&gt;"",L2064/1.4,"")</f>
        <v/>
      </c>
      <c r="Q2064" s="3">
        <f>IF(L2064&lt;&gt;"",L2064/1.56,"")</f>
        <v/>
      </c>
      <c r="R2064" s="3">
        <f>IF(M2064&lt;&gt;"",M2064/1.4,"")</f>
        <v/>
      </c>
      <c r="S2064" s="3">
        <f>IF(M2064&lt;&gt;"",M2064/1.56,"")</f>
        <v/>
      </c>
      <c r="T2064" s="3">
        <f>IF(N2064&lt;&gt;"",N2064,IF(O2064&lt;&gt;"",O2064,IF(L2064&lt;&gt;"",L2064/1.56,IF(M2064&lt;&gt;"",M2064/1.56,""))))</f>
        <v/>
      </c>
      <c r="U2064" s="3" t="n">
        <v>470</v>
      </c>
      <c r="V2064" s="3" t="n">
        <v>292</v>
      </c>
      <c r="W2064" s="3" t="n"/>
      <c r="X2064" s="4" t="n"/>
      <c r="Y2064" s="5" t="n">
        <v>0.108</v>
      </c>
      <c r="Z2064" s="4">
        <f>IF(L2064&lt;&gt;"",SQRT(3)*G2064*L2064/1000,"")</f>
        <v/>
      </c>
      <c r="AA2064" t="inlineStr">
        <is>
          <t>Source=Copeland 2D/3D/4D/4R/6D/8D/9R compressors (pdf) p110; PWS_RLA=55.5</t>
        </is>
      </c>
      <c r="AB2064" t="inlineStr">
        <is>
          <t>Copeland_RLA_230_460_3ph_60Hz.xlsx</t>
        </is>
      </c>
      <c r="AC2064" t="inlineStr">
        <is>
          <t>Recip_2D-9R</t>
        </is>
      </c>
    </row>
    <row r="2065">
      <c r="A2065" t="inlineStr">
        <is>
          <t>COPELAND</t>
        </is>
      </c>
      <c r="B2065" t="inlineStr">
        <is>
          <t>6RT1-3000-TSK</t>
        </is>
      </c>
      <c r="D2065" t="inlineStr">
        <is>
          <t>Reciprocating Semi-hermetic</t>
        </is>
      </c>
      <c r="E2065" s="2" t="n">
        <v>3</v>
      </c>
      <c r="F2065" s="2" t="n">
        <v>60</v>
      </c>
      <c r="G2065" s="2" t="n">
        <v>460</v>
      </c>
      <c r="H2065" t="inlineStr">
        <is>
          <t>460</t>
        </is>
      </c>
      <c r="I2065" s="2" t="n">
        <v>460</v>
      </c>
      <c r="J2065" s="2" t="n">
        <v>460</v>
      </c>
      <c r="L2065" s="3" t="n"/>
      <c r="M2065" s="3" t="n"/>
      <c r="N2065" s="3" t="n">
        <v>55.5</v>
      </c>
      <c r="O2065" s="3" t="n"/>
      <c r="P2065" s="3">
        <f>IF(L2065&lt;&gt;"",L2065/1.4,"")</f>
        <v/>
      </c>
      <c r="Q2065" s="3">
        <f>IF(L2065&lt;&gt;"",L2065/1.56,"")</f>
        <v/>
      </c>
      <c r="R2065" s="3">
        <f>IF(M2065&lt;&gt;"",M2065/1.4,"")</f>
        <v/>
      </c>
      <c r="S2065" s="3">
        <f>IF(M2065&lt;&gt;"",M2065/1.56,"")</f>
        <v/>
      </c>
      <c r="T2065" s="3">
        <f>IF(N2065&lt;&gt;"",N2065,IF(O2065&lt;&gt;"",O2065,IF(L2065&lt;&gt;"",L2065/1.56,IF(M2065&lt;&gt;"",M2065/1.56,""))))</f>
        <v/>
      </c>
      <c r="U2065" s="3" t="n">
        <v>235</v>
      </c>
      <c r="V2065" s="3" t="n"/>
      <c r="W2065" s="3" t="n"/>
      <c r="X2065" s="4" t="n"/>
      <c r="Y2065" s="5" t="n">
        <v>0.43</v>
      </c>
      <c r="Z2065" s="4">
        <f>IF(L2065&lt;&gt;"",SQRT(3)*G2065*L2065/1000,"")</f>
        <v/>
      </c>
      <c r="AA2065" t="inlineStr">
        <is>
          <t>Source=Copeland 2D/3D/4D/4R/6D/8D/9R compressors (pdf) p110</t>
        </is>
      </c>
      <c r="AB2065" t="inlineStr">
        <is>
          <t>Copeland_RLA_230_460_3ph_60Hz.xlsx</t>
        </is>
      </c>
      <c r="AC2065" t="inlineStr">
        <is>
          <t>Recip_2D-9R</t>
        </is>
      </c>
    </row>
    <row r="2066">
      <c r="A2066" t="inlineStr">
        <is>
          <t>COPELAND</t>
        </is>
      </c>
      <c r="B2066" t="inlineStr">
        <is>
          <t>6RT1-300A-TSK</t>
        </is>
      </c>
      <c r="D2066" t="inlineStr">
        <is>
          <t>Reciprocating Semi-hermetic</t>
        </is>
      </c>
      <c r="E2066" s="2" t="n">
        <v>3</v>
      </c>
      <c r="F2066" s="2" t="n">
        <v>60</v>
      </c>
      <c r="G2066" s="2" t="n">
        <v>230</v>
      </c>
      <c r="H2066" t="inlineStr">
        <is>
          <t>208/230</t>
        </is>
      </c>
      <c r="I2066" s="2" t="n">
        <v>208</v>
      </c>
      <c r="J2066" s="2" t="n">
        <v>230</v>
      </c>
      <c r="L2066" s="3" t="n"/>
      <c r="M2066" s="3" t="n"/>
      <c r="N2066" s="3" t="n">
        <v>110.9</v>
      </c>
      <c r="O2066" s="3" t="n"/>
      <c r="P2066" s="3">
        <f>IF(L2066&lt;&gt;"",L2066/1.4,"")</f>
        <v/>
      </c>
      <c r="Q2066" s="3">
        <f>IF(L2066&lt;&gt;"",L2066/1.56,"")</f>
        <v/>
      </c>
      <c r="R2066" s="3">
        <f>IF(M2066&lt;&gt;"",M2066/1.4,"")</f>
        <v/>
      </c>
      <c r="S2066" s="3">
        <f>IF(M2066&lt;&gt;"",M2066/1.56,"")</f>
        <v/>
      </c>
      <c r="T2066" s="3">
        <f>IF(N2066&lt;&gt;"",N2066,IF(O2066&lt;&gt;"",O2066,IF(L2066&lt;&gt;"",L2066/1.56,IF(M2066&lt;&gt;"",M2066/1.56,""))))</f>
        <v/>
      </c>
      <c r="U2066" s="3" t="n">
        <v>470</v>
      </c>
      <c r="V2066" s="3" t="n">
        <v>292</v>
      </c>
      <c r="W2066" s="3" t="n"/>
      <c r="X2066" s="4" t="n"/>
      <c r="Y2066" s="5" t="n">
        <v>0.108</v>
      </c>
      <c r="Z2066" s="4">
        <f>IF(L2066&lt;&gt;"",SQRT(3)*G2066*L2066/1000,"")</f>
        <v/>
      </c>
      <c r="AA2066" t="inlineStr">
        <is>
          <t>Source=Copeland 2D/3D/4D/4R/6D/8D/9R compressors (pdf) p110; PWS_RLA=55.5</t>
        </is>
      </c>
      <c r="AB2066" t="inlineStr">
        <is>
          <t>Copeland_RLA_230_460_3ph_60Hz.xlsx</t>
        </is>
      </c>
      <c r="AC2066" t="inlineStr">
        <is>
          <t>Recip_2D-9R</t>
        </is>
      </c>
    </row>
    <row r="2067">
      <c r="A2067" t="inlineStr">
        <is>
          <t>COPELAND</t>
        </is>
      </c>
      <c r="B2067" t="inlineStr">
        <is>
          <t>6RT1-300A-TSK</t>
        </is>
      </c>
      <c r="D2067" t="inlineStr">
        <is>
          <t>Reciprocating Semi-hermetic</t>
        </is>
      </c>
      <c r="E2067" s="2" t="n">
        <v>3</v>
      </c>
      <c r="F2067" s="2" t="n">
        <v>60</v>
      </c>
      <c r="G2067" s="2" t="n">
        <v>460</v>
      </c>
      <c r="H2067" t="inlineStr">
        <is>
          <t>460</t>
        </is>
      </c>
      <c r="I2067" s="2" t="n">
        <v>460</v>
      </c>
      <c r="J2067" s="2" t="n">
        <v>460</v>
      </c>
      <c r="L2067" s="3" t="n"/>
      <c r="M2067" s="3" t="n"/>
      <c r="N2067" s="3" t="n">
        <v>55.5</v>
      </c>
      <c r="O2067" s="3" t="n"/>
      <c r="P2067" s="3">
        <f>IF(L2067&lt;&gt;"",L2067/1.4,"")</f>
        <v/>
      </c>
      <c r="Q2067" s="3">
        <f>IF(L2067&lt;&gt;"",L2067/1.56,"")</f>
        <v/>
      </c>
      <c r="R2067" s="3">
        <f>IF(M2067&lt;&gt;"",M2067/1.4,"")</f>
        <v/>
      </c>
      <c r="S2067" s="3">
        <f>IF(M2067&lt;&gt;"",M2067/1.56,"")</f>
        <v/>
      </c>
      <c r="T2067" s="3">
        <f>IF(N2067&lt;&gt;"",N2067,IF(O2067&lt;&gt;"",O2067,IF(L2067&lt;&gt;"",L2067/1.56,IF(M2067&lt;&gt;"",M2067/1.56,""))))</f>
        <v/>
      </c>
      <c r="U2067" s="3" t="n">
        <v>235</v>
      </c>
      <c r="V2067" s="3" t="n"/>
      <c r="W2067" s="3" t="n"/>
      <c r="X2067" s="4" t="n"/>
      <c r="Y2067" s="5" t="n">
        <v>0.43</v>
      </c>
      <c r="Z2067" s="4">
        <f>IF(L2067&lt;&gt;"",SQRT(3)*G2067*L2067/1000,"")</f>
        <v/>
      </c>
      <c r="AA2067" t="inlineStr">
        <is>
          <t>Source=Copeland 2D/3D/4D/4R/6D/8D/9R compressors (pdf) p111</t>
        </is>
      </c>
      <c r="AB2067" t="inlineStr">
        <is>
          <t>Copeland_RLA_230_460_3ph_60Hz.xlsx</t>
        </is>
      </c>
      <c r="AC2067" t="inlineStr">
        <is>
          <t>Recip_2D-9R</t>
        </is>
      </c>
    </row>
    <row r="2068">
      <c r="A2068" t="inlineStr">
        <is>
          <t>COPELAND</t>
        </is>
      </c>
      <c r="B2068" t="inlineStr">
        <is>
          <t>6RT1-300L-TSK</t>
        </is>
      </c>
      <c r="D2068" t="inlineStr">
        <is>
          <t>Reciprocating Semi-hermetic</t>
        </is>
      </c>
      <c r="E2068" s="2" t="n">
        <v>3</v>
      </c>
      <c r="F2068" s="2" t="n">
        <v>60</v>
      </c>
      <c r="G2068" s="2" t="n">
        <v>230</v>
      </c>
      <c r="H2068" t="inlineStr">
        <is>
          <t>208/230</t>
        </is>
      </c>
      <c r="I2068" s="2" t="n">
        <v>208</v>
      </c>
      <c r="J2068" s="2" t="n">
        <v>230</v>
      </c>
      <c r="L2068" s="3" t="n"/>
      <c r="M2068" s="3" t="n"/>
      <c r="N2068" s="3" t="n">
        <v>110.9</v>
      </c>
      <c r="O2068" s="3" t="n"/>
      <c r="P2068" s="3">
        <f>IF(L2068&lt;&gt;"",L2068/1.4,"")</f>
        <v/>
      </c>
      <c r="Q2068" s="3">
        <f>IF(L2068&lt;&gt;"",L2068/1.56,"")</f>
        <v/>
      </c>
      <c r="R2068" s="3">
        <f>IF(M2068&lt;&gt;"",M2068/1.4,"")</f>
        <v/>
      </c>
      <c r="S2068" s="3">
        <f>IF(M2068&lt;&gt;"",M2068/1.56,"")</f>
        <v/>
      </c>
      <c r="T2068" s="3">
        <f>IF(N2068&lt;&gt;"",N2068,IF(O2068&lt;&gt;"",O2068,IF(L2068&lt;&gt;"",L2068/1.56,IF(M2068&lt;&gt;"",M2068/1.56,""))))</f>
        <v/>
      </c>
      <c r="U2068" s="3" t="n">
        <v>470</v>
      </c>
      <c r="V2068" s="3" t="n">
        <v>292</v>
      </c>
      <c r="W2068" s="3" t="n"/>
      <c r="X2068" s="4" t="n"/>
      <c r="Y2068" s="5" t="n">
        <v>0.108</v>
      </c>
      <c r="Z2068" s="4">
        <f>IF(L2068&lt;&gt;"",SQRT(3)*G2068*L2068/1000,"")</f>
        <v/>
      </c>
      <c r="AA2068" t="inlineStr">
        <is>
          <t>Source=Copeland 2D/3D/4D/4R/6D/8D/9R compressors (pdf) p111; PWS_RLA=55.5</t>
        </is>
      </c>
      <c r="AB2068" t="inlineStr">
        <is>
          <t>Copeland_RLA_230_460_3ph_60Hz.xlsx</t>
        </is>
      </c>
      <c r="AC2068" t="inlineStr">
        <is>
          <t>Recip_2D-9R</t>
        </is>
      </c>
    </row>
    <row r="2069">
      <c r="A2069" t="inlineStr">
        <is>
          <t>COPELAND</t>
        </is>
      </c>
      <c r="B2069" t="inlineStr">
        <is>
          <t>6RT1-300L-TSK</t>
        </is>
      </c>
      <c r="D2069" t="inlineStr">
        <is>
          <t>Reciprocating Semi-hermetic</t>
        </is>
      </c>
      <c r="E2069" s="2" t="n">
        <v>3</v>
      </c>
      <c r="F2069" s="2" t="n">
        <v>60</v>
      </c>
      <c r="G2069" s="2" t="n">
        <v>460</v>
      </c>
      <c r="H2069" t="inlineStr">
        <is>
          <t>460</t>
        </is>
      </c>
      <c r="I2069" s="2" t="n">
        <v>460</v>
      </c>
      <c r="J2069" s="2" t="n">
        <v>460</v>
      </c>
      <c r="L2069" s="3" t="n"/>
      <c r="M2069" s="3" t="n"/>
      <c r="N2069" s="3" t="n">
        <v>55.5</v>
      </c>
      <c r="O2069" s="3" t="n"/>
      <c r="P2069" s="3">
        <f>IF(L2069&lt;&gt;"",L2069/1.4,"")</f>
        <v/>
      </c>
      <c r="Q2069" s="3">
        <f>IF(L2069&lt;&gt;"",L2069/1.56,"")</f>
        <v/>
      </c>
      <c r="R2069" s="3">
        <f>IF(M2069&lt;&gt;"",M2069/1.4,"")</f>
        <v/>
      </c>
      <c r="S2069" s="3">
        <f>IF(M2069&lt;&gt;"",M2069/1.56,"")</f>
        <v/>
      </c>
      <c r="T2069" s="3">
        <f>IF(N2069&lt;&gt;"",N2069,IF(O2069&lt;&gt;"",O2069,IF(L2069&lt;&gt;"",L2069/1.56,IF(M2069&lt;&gt;"",M2069/1.56,""))))</f>
        <v/>
      </c>
      <c r="U2069" s="3" t="n">
        <v>235</v>
      </c>
      <c r="V2069" s="3" t="n"/>
      <c r="W2069" s="3" t="n"/>
      <c r="X2069" s="4" t="n"/>
      <c r="Y2069" s="5" t="n">
        <v>0.43</v>
      </c>
      <c r="Z2069" s="4">
        <f>IF(L2069&lt;&gt;"",SQRT(3)*G2069*L2069/1000,"")</f>
        <v/>
      </c>
      <c r="AA2069" t="inlineStr">
        <is>
          <t>Source=Copeland 2D/3D/4D/4R/6D/8D/9R compressors (pdf) p111</t>
        </is>
      </c>
      <c r="AB2069" t="inlineStr">
        <is>
          <t>Copeland_RLA_230_460_3ph_60Hz.xlsx</t>
        </is>
      </c>
      <c r="AC2069" t="inlineStr">
        <is>
          <t>Recip_2D-9R</t>
        </is>
      </c>
    </row>
    <row r="2070">
      <c r="A2070" t="inlineStr">
        <is>
          <t>COPELAND</t>
        </is>
      </c>
      <c r="B2070" t="inlineStr">
        <is>
          <t>6TM1-2000-TSK</t>
        </is>
      </c>
      <c r="D2070" t="inlineStr">
        <is>
          <t>Reciprocating Semi-hermetic</t>
        </is>
      </c>
      <c r="E2070" s="2" t="n">
        <v>3</v>
      </c>
      <c r="F2070" s="2" t="n">
        <v>60</v>
      </c>
      <c r="G2070" s="2" t="n">
        <v>230</v>
      </c>
      <c r="H2070" t="inlineStr">
        <is>
          <t>208/230</t>
        </is>
      </c>
      <c r="I2070" s="2" t="n">
        <v>208</v>
      </c>
      <c r="J2070" s="2" t="n">
        <v>230</v>
      </c>
      <c r="L2070" s="3" t="n"/>
      <c r="M2070" s="3" t="n"/>
      <c r="N2070" s="3" t="n">
        <v>65.7</v>
      </c>
      <c r="O2070" s="3" t="n"/>
      <c r="P2070" s="3">
        <f>IF(L2070&lt;&gt;"",L2070/1.4,"")</f>
        <v/>
      </c>
      <c r="Q2070" s="3">
        <f>IF(L2070&lt;&gt;"",L2070/1.56,"")</f>
        <v/>
      </c>
      <c r="R2070" s="3">
        <f>IF(M2070&lt;&gt;"",M2070/1.4,"")</f>
        <v/>
      </c>
      <c r="S2070" s="3">
        <f>IF(M2070&lt;&gt;"",M2070/1.56,"")</f>
        <v/>
      </c>
      <c r="T2070" s="3">
        <f>IF(N2070&lt;&gt;"",N2070,IF(O2070&lt;&gt;"",O2070,IF(L2070&lt;&gt;"",L2070/1.56,IF(M2070&lt;&gt;"",M2070/1.56,""))))</f>
        <v/>
      </c>
      <c r="U2070" s="3" t="n">
        <v>308</v>
      </c>
      <c r="V2070" s="3" t="n">
        <v>188</v>
      </c>
      <c r="W2070" s="3" t="n"/>
      <c r="X2070" s="4" t="n"/>
      <c r="Y2070" s="5" t="n">
        <v>0.174</v>
      </c>
      <c r="Z2070" s="4">
        <f>IF(L2070&lt;&gt;"",SQRT(3)*G2070*L2070/1000,"")</f>
        <v/>
      </c>
      <c r="AA2070" t="inlineStr">
        <is>
          <t>Source=Copeland 2D/3D/4D/4R/6D/8D/9R compressors (pdf) p111; PWS_RLA=32.9</t>
        </is>
      </c>
      <c r="AB2070" t="inlineStr">
        <is>
          <t>Copeland_RLA_230_460_3ph_60Hz.xlsx</t>
        </is>
      </c>
      <c r="AC2070" t="inlineStr">
        <is>
          <t>Recip_2D-9R</t>
        </is>
      </c>
    </row>
    <row r="2071">
      <c r="A2071" t="inlineStr">
        <is>
          <t>COPELAND</t>
        </is>
      </c>
      <c r="B2071" t="inlineStr">
        <is>
          <t>6TM1-2000-TSK</t>
        </is>
      </c>
      <c r="D2071" t="inlineStr">
        <is>
          <t>Reciprocating Semi-hermetic</t>
        </is>
      </c>
      <c r="E2071" s="2" t="n">
        <v>3</v>
      </c>
      <c r="F2071" s="2" t="n">
        <v>60</v>
      </c>
      <c r="G2071" s="2" t="n">
        <v>460</v>
      </c>
      <c r="H2071" t="inlineStr">
        <is>
          <t>460</t>
        </is>
      </c>
      <c r="I2071" s="2" t="n">
        <v>460</v>
      </c>
      <c r="J2071" s="2" t="n">
        <v>460</v>
      </c>
      <c r="L2071" s="3" t="n"/>
      <c r="M2071" s="3" t="n"/>
      <c r="N2071" s="3" t="n">
        <v>32.9</v>
      </c>
      <c r="O2071" s="3" t="n"/>
      <c r="P2071" s="3">
        <f>IF(L2071&lt;&gt;"",L2071/1.4,"")</f>
        <v/>
      </c>
      <c r="Q2071" s="3">
        <f>IF(L2071&lt;&gt;"",L2071/1.56,"")</f>
        <v/>
      </c>
      <c r="R2071" s="3">
        <f>IF(M2071&lt;&gt;"",M2071/1.4,"")</f>
        <v/>
      </c>
      <c r="S2071" s="3">
        <f>IF(M2071&lt;&gt;"",M2071/1.56,"")</f>
        <v/>
      </c>
      <c r="T2071" s="3">
        <f>IF(N2071&lt;&gt;"",N2071,IF(O2071&lt;&gt;"",O2071,IF(L2071&lt;&gt;"",L2071/1.56,IF(M2071&lt;&gt;"",M2071/1.56,""))))</f>
        <v/>
      </c>
      <c r="U2071" s="3" t="n">
        <v>154</v>
      </c>
      <c r="V2071" s="3" t="n"/>
      <c r="W2071" s="3" t="n"/>
      <c r="X2071" s="4" t="n"/>
      <c r="Y2071" s="5" t="n">
        <v>0.696</v>
      </c>
      <c r="Z2071" s="4">
        <f>IF(L2071&lt;&gt;"",SQRT(3)*G2071*L2071/1000,"")</f>
        <v/>
      </c>
      <c r="AA2071" t="inlineStr">
        <is>
          <t>Source=Copeland 2D/3D/4D/4R/6D/8D/9R compressors (pdf) p111</t>
        </is>
      </c>
      <c r="AB2071" t="inlineStr">
        <is>
          <t>Copeland_RLA_230_460_3ph_60Hz.xlsx</t>
        </is>
      </c>
      <c r="AC2071" t="inlineStr">
        <is>
          <t>Recip_2D-9R</t>
        </is>
      </c>
    </row>
    <row r="2072">
      <c r="A2072" t="inlineStr">
        <is>
          <t>COPELAND</t>
        </is>
      </c>
      <c r="B2072" t="inlineStr">
        <is>
          <t>8DP1-5000-FSD</t>
        </is>
      </c>
      <c r="D2072" t="inlineStr">
        <is>
          <t>Reciprocating Semi-hermetic</t>
        </is>
      </c>
      <c r="E2072" s="2" t="n">
        <v>3</v>
      </c>
      <c r="F2072" s="2" t="n">
        <v>60</v>
      </c>
      <c r="G2072" s="2" t="n">
        <v>460</v>
      </c>
      <c r="H2072" t="inlineStr">
        <is>
          <t>460</t>
        </is>
      </c>
      <c r="I2072" s="2" t="n">
        <v>460</v>
      </c>
      <c r="J2072" s="2" t="n">
        <v>460</v>
      </c>
      <c r="L2072" s="3" t="n"/>
      <c r="M2072" s="3" t="n"/>
      <c r="N2072" s="3" t="n">
        <v>90.7</v>
      </c>
      <c r="O2072" s="3" t="n"/>
      <c r="P2072" s="3">
        <f>IF(L2072&lt;&gt;"",L2072/1.4,"")</f>
        <v/>
      </c>
      <c r="Q2072" s="3">
        <f>IF(L2072&lt;&gt;"",L2072/1.56,"")</f>
        <v/>
      </c>
      <c r="R2072" s="3">
        <f>IF(M2072&lt;&gt;"",M2072/1.4,"")</f>
        <v/>
      </c>
      <c r="S2072" s="3">
        <f>IF(M2072&lt;&gt;"",M2072/1.56,"")</f>
        <v/>
      </c>
      <c r="T2072" s="3">
        <f>IF(N2072&lt;&gt;"",N2072,IF(O2072&lt;&gt;"",O2072,IF(L2072&lt;&gt;"",L2072/1.56,IF(M2072&lt;&gt;"",M2072/1.56,""))))</f>
        <v/>
      </c>
      <c r="U2072" s="3" t="n">
        <v>510</v>
      </c>
      <c r="V2072" s="3" t="n">
        <v>330</v>
      </c>
      <c r="W2072" s="3" t="n"/>
      <c r="X2072" s="4" t="n"/>
      <c r="Y2072" s="5" t="n">
        <v>0.147</v>
      </c>
      <c r="Z2072" s="4">
        <f>IF(L2072&lt;&gt;"",SQRT(3)*G2072*L2072/1000,"")</f>
        <v/>
      </c>
      <c r="AA2072" t="inlineStr">
        <is>
          <t>Source=Copeland 2D/3D/4D/4R/6D/8D/9R compressors (pdf) p111; PWS_RLA=45.5</t>
        </is>
      </c>
      <c r="AB2072" t="inlineStr">
        <is>
          <t>Copeland_RLA_230_460_3ph_60Hz.xlsx</t>
        </is>
      </c>
      <c r="AC2072" t="inlineStr">
        <is>
          <t>Recip_2D-9R</t>
        </is>
      </c>
    </row>
    <row r="2073">
      <c r="A2073" t="inlineStr">
        <is>
          <t>COPELAND</t>
        </is>
      </c>
      <c r="B2073" t="inlineStr">
        <is>
          <t>8DP1-5000-TSK</t>
        </is>
      </c>
      <c r="D2073" t="inlineStr">
        <is>
          <t>Reciprocating Semi-hermetic</t>
        </is>
      </c>
      <c r="E2073" s="2" t="n">
        <v>3</v>
      </c>
      <c r="F2073" s="2" t="n">
        <v>60</v>
      </c>
      <c r="G2073" s="2" t="n">
        <v>230</v>
      </c>
      <c r="H2073" t="inlineStr">
        <is>
          <t>208/230</t>
        </is>
      </c>
      <c r="I2073" s="2" t="n">
        <v>208</v>
      </c>
      <c r="J2073" s="2" t="n">
        <v>230</v>
      </c>
      <c r="L2073" s="3" t="n"/>
      <c r="M2073" s="3" t="n"/>
      <c r="N2073" s="3" t="n">
        <v>180</v>
      </c>
      <c r="O2073" s="3" t="n"/>
      <c r="P2073" s="3">
        <f>IF(L2073&lt;&gt;"",L2073/1.4,"")</f>
        <v/>
      </c>
      <c r="Q2073" s="3">
        <f>IF(L2073&lt;&gt;"",L2073/1.56,"")</f>
        <v/>
      </c>
      <c r="R2073" s="3">
        <f>IF(M2073&lt;&gt;"",M2073/1.4,"")</f>
        <v/>
      </c>
      <c r="S2073" s="3">
        <f>IF(M2073&lt;&gt;"",M2073/1.56,"")</f>
        <v/>
      </c>
      <c r="T2073" s="3">
        <f>IF(N2073&lt;&gt;"",N2073,IF(O2073&lt;&gt;"",O2073,IF(L2073&lt;&gt;"",L2073/1.56,IF(M2073&lt;&gt;"",M2073/1.56,""))))</f>
        <v/>
      </c>
      <c r="U2073" s="3" t="n">
        <v>1070</v>
      </c>
      <c r="V2073" s="3" t="n">
        <v>654</v>
      </c>
      <c r="W2073" s="3" t="n"/>
      <c r="X2073" s="4" t="n"/>
      <c r="Y2073" s="5" t="n">
        <v>0.039</v>
      </c>
      <c r="Z2073" s="4">
        <f>IF(L2073&lt;&gt;"",SQRT(3)*G2073*L2073/1000,"")</f>
        <v/>
      </c>
      <c r="AA2073" t="inlineStr">
        <is>
          <t>Source=Copeland 2D/3D/4D/4R/6D/8D/9R compressors (pdf) p111; PWS_RLA=90.0</t>
        </is>
      </c>
      <c r="AB2073" t="inlineStr">
        <is>
          <t>Copeland_RLA_230_460_3ph_60Hz.xlsx</t>
        </is>
      </c>
      <c r="AC2073" t="inlineStr">
        <is>
          <t>Recip_2D-9R</t>
        </is>
      </c>
    </row>
    <row r="2074">
      <c r="A2074" t="inlineStr">
        <is>
          <t>COPELAND</t>
        </is>
      </c>
      <c r="B2074" t="inlineStr">
        <is>
          <t>8DP1-5000-TSK</t>
        </is>
      </c>
      <c r="D2074" t="inlineStr">
        <is>
          <t>Reciprocating Semi-hermetic</t>
        </is>
      </c>
      <c r="E2074" s="2" t="n">
        <v>3</v>
      </c>
      <c r="F2074" s="2" t="n">
        <v>60</v>
      </c>
      <c r="G2074" s="2" t="n">
        <v>460</v>
      </c>
      <c r="H2074" t="inlineStr">
        <is>
          <t>460</t>
        </is>
      </c>
      <c r="I2074" s="2" t="n">
        <v>460</v>
      </c>
      <c r="J2074" s="2" t="n">
        <v>460</v>
      </c>
      <c r="L2074" s="3" t="n"/>
      <c r="M2074" s="3" t="n"/>
      <c r="N2074" s="3" t="n">
        <v>90</v>
      </c>
      <c r="O2074" s="3" t="n"/>
      <c r="P2074" s="3">
        <f>IF(L2074&lt;&gt;"",L2074/1.4,"")</f>
        <v/>
      </c>
      <c r="Q2074" s="3">
        <f>IF(L2074&lt;&gt;"",L2074/1.56,"")</f>
        <v/>
      </c>
      <c r="R2074" s="3">
        <f>IF(M2074&lt;&gt;"",M2074/1.4,"")</f>
        <v/>
      </c>
      <c r="S2074" s="3">
        <f>IF(M2074&lt;&gt;"",M2074/1.56,"")</f>
        <v/>
      </c>
      <c r="T2074" s="3">
        <f>IF(N2074&lt;&gt;"",N2074,IF(O2074&lt;&gt;"",O2074,IF(L2074&lt;&gt;"",L2074/1.56,IF(M2074&lt;&gt;"",M2074/1.56,""))))</f>
        <v/>
      </c>
      <c r="U2074" s="3" t="n">
        <v>535</v>
      </c>
      <c r="V2074" s="3" t="n"/>
      <c r="W2074" s="3" t="n"/>
      <c r="X2074" s="4" t="n"/>
      <c r="Y2074" s="5" t="n">
        <v>0.156</v>
      </c>
      <c r="Z2074" s="4">
        <f>IF(L2074&lt;&gt;"",SQRT(3)*G2074*L2074/1000,"")</f>
        <v/>
      </c>
      <c r="AA2074" t="inlineStr">
        <is>
          <t>Source=Copeland 2D/3D/4D/4R/6D/8D/9R compressors (pdf) p111</t>
        </is>
      </c>
      <c r="AB2074" t="inlineStr">
        <is>
          <t>Copeland_RLA_230_460_3ph_60Hz.xlsx</t>
        </is>
      </c>
      <c r="AC2074" t="inlineStr">
        <is>
          <t>Recip_2D-9R</t>
        </is>
      </c>
    </row>
    <row r="2075">
      <c r="A2075" t="inlineStr">
        <is>
          <t>COPELAND</t>
        </is>
      </c>
      <c r="B2075" t="inlineStr">
        <is>
          <t>8DP1R56M0-FSD</t>
        </is>
      </c>
      <c r="D2075" t="inlineStr">
        <is>
          <t>Reciprocating Semi-hermetic</t>
        </is>
      </c>
      <c r="E2075" s="2" t="n">
        <v>3</v>
      </c>
      <c r="F2075" s="2" t="n">
        <v>60</v>
      </c>
      <c r="G2075" s="2" t="n">
        <v>460</v>
      </c>
      <c r="H2075" t="inlineStr">
        <is>
          <t>460</t>
        </is>
      </c>
      <c r="I2075" s="2" t="n">
        <v>460</v>
      </c>
      <c r="J2075" s="2" t="n">
        <v>460</v>
      </c>
      <c r="L2075" s="3" t="n"/>
      <c r="M2075" s="3" t="n"/>
      <c r="N2075" s="3" t="n">
        <v>90.7</v>
      </c>
      <c r="O2075" s="3" t="n"/>
      <c r="P2075" s="3">
        <f>IF(L2075&lt;&gt;"",L2075/1.4,"")</f>
        <v/>
      </c>
      <c r="Q2075" s="3">
        <f>IF(L2075&lt;&gt;"",L2075/1.56,"")</f>
        <v/>
      </c>
      <c r="R2075" s="3">
        <f>IF(M2075&lt;&gt;"",M2075/1.4,"")</f>
        <v/>
      </c>
      <c r="S2075" s="3">
        <f>IF(M2075&lt;&gt;"",M2075/1.56,"")</f>
        <v/>
      </c>
      <c r="T2075" s="3">
        <f>IF(N2075&lt;&gt;"",N2075,IF(O2075&lt;&gt;"",O2075,IF(L2075&lt;&gt;"",L2075/1.56,IF(M2075&lt;&gt;"",M2075/1.56,""))))</f>
        <v/>
      </c>
      <c r="U2075" s="3" t="n">
        <v>510</v>
      </c>
      <c r="V2075" s="3" t="n">
        <v>330</v>
      </c>
      <c r="W2075" s="3" t="n"/>
      <c r="X2075" s="4" t="n"/>
      <c r="Y2075" s="5" t="n">
        <v>0.147</v>
      </c>
      <c r="Z2075" s="4">
        <f>IF(L2075&lt;&gt;"",SQRT(3)*G2075*L2075/1000,"")</f>
        <v/>
      </c>
      <c r="AA2075" t="inlineStr">
        <is>
          <t>Source=Copeland 2D/3D/4D/4R/6D/8D/9R compressors (pdf) p111; PWS_RLA=45.5</t>
        </is>
      </c>
      <c r="AB2075" t="inlineStr">
        <is>
          <t>Copeland_RLA_230_460_3ph_60Hz.xlsx</t>
        </is>
      </c>
      <c r="AC2075" t="inlineStr">
        <is>
          <t>Recip_2D-9R</t>
        </is>
      </c>
    </row>
    <row r="2076">
      <c r="A2076" t="inlineStr">
        <is>
          <t>COPELAND</t>
        </is>
      </c>
      <c r="B2076" t="inlineStr">
        <is>
          <t>8DP1R56M0-TSK</t>
        </is>
      </c>
      <c r="D2076" t="inlineStr">
        <is>
          <t>Reciprocating Semi-hermetic</t>
        </is>
      </c>
      <c r="E2076" s="2" t="n">
        <v>3</v>
      </c>
      <c r="F2076" s="2" t="n">
        <v>60</v>
      </c>
      <c r="G2076" s="2" t="n">
        <v>230</v>
      </c>
      <c r="H2076" t="inlineStr">
        <is>
          <t>208/230</t>
        </is>
      </c>
      <c r="I2076" s="2" t="n">
        <v>208</v>
      </c>
      <c r="J2076" s="2" t="n">
        <v>230</v>
      </c>
      <c r="L2076" s="3" t="n"/>
      <c r="M2076" s="3" t="n"/>
      <c r="N2076" s="3" t="n">
        <v>180</v>
      </c>
      <c r="O2076" s="3" t="n"/>
      <c r="P2076" s="3">
        <f>IF(L2076&lt;&gt;"",L2076/1.4,"")</f>
        <v/>
      </c>
      <c r="Q2076" s="3">
        <f>IF(L2076&lt;&gt;"",L2076/1.56,"")</f>
        <v/>
      </c>
      <c r="R2076" s="3">
        <f>IF(M2076&lt;&gt;"",M2076/1.4,"")</f>
        <v/>
      </c>
      <c r="S2076" s="3">
        <f>IF(M2076&lt;&gt;"",M2076/1.56,"")</f>
        <v/>
      </c>
      <c r="T2076" s="3">
        <f>IF(N2076&lt;&gt;"",N2076,IF(O2076&lt;&gt;"",O2076,IF(L2076&lt;&gt;"",L2076/1.56,IF(M2076&lt;&gt;"",M2076/1.56,""))))</f>
        <v/>
      </c>
      <c r="U2076" s="3" t="n">
        <v>1070</v>
      </c>
      <c r="V2076" s="3" t="n">
        <v>654</v>
      </c>
      <c r="W2076" s="3" t="n"/>
      <c r="X2076" s="4" t="n"/>
      <c r="Y2076" s="5" t="n">
        <v>0.039</v>
      </c>
      <c r="Z2076" s="4">
        <f>IF(L2076&lt;&gt;"",SQRT(3)*G2076*L2076/1000,"")</f>
        <v/>
      </c>
      <c r="AA2076" t="inlineStr">
        <is>
          <t>Source=Copeland 2D/3D/4D/4R/6D/8D/9R compressors (pdf) p111; PWS_RLA=90.0</t>
        </is>
      </c>
      <c r="AB2076" t="inlineStr">
        <is>
          <t>Copeland_RLA_230_460_3ph_60Hz.xlsx</t>
        </is>
      </c>
      <c r="AC2076" t="inlineStr">
        <is>
          <t>Recip_2D-9R</t>
        </is>
      </c>
    </row>
    <row r="2077">
      <c r="A2077" t="inlineStr">
        <is>
          <t>COPELAND</t>
        </is>
      </c>
      <c r="B2077" t="inlineStr">
        <is>
          <t>8DP1R56M0-TSK</t>
        </is>
      </c>
      <c r="D2077" t="inlineStr">
        <is>
          <t>Reciprocating Semi-hermetic</t>
        </is>
      </c>
      <c r="E2077" s="2" t="n">
        <v>3</v>
      </c>
      <c r="F2077" s="2" t="n">
        <v>60</v>
      </c>
      <c r="G2077" s="2" t="n">
        <v>460</v>
      </c>
      <c r="H2077" t="inlineStr">
        <is>
          <t>460</t>
        </is>
      </c>
      <c r="I2077" s="2" t="n">
        <v>460</v>
      </c>
      <c r="J2077" s="2" t="n">
        <v>460</v>
      </c>
      <c r="L2077" s="3" t="n"/>
      <c r="M2077" s="3" t="n"/>
      <c r="N2077" s="3" t="n">
        <v>90</v>
      </c>
      <c r="O2077" s="3" t="n"/>
      <c r="P2077" s="3">
        <f>IF(L2077&lt;&gt;"",L2077/1.4,"")</f>
        <v/>
      </c>
      <c r="Q2077" s="3">
        <f>IF(L2077&lt;&gt;"",L2077/1.56,"")</f>
        <v/>
      </c>
      <c r="R2077" s="3">
        <f>IF(M2077&lt;&gt;"",M2077/1.4,"")</f>
        <v/>
      </c>
      <c r="S2077" s="3">
        <f>IF(M2077&lt;&gt;"",M2077/1.56,"")</f>
        <v/>
      </c>
      <c r="T2077" s="3">
        <f>IF(N2077&lt;&gt;"",N2077,IF(O2077&lt;&gt;"",O2077,IF(L2077&lt;&gt;"",L2077/1.56,IF(M2077&lt;&gt;"",M2077/1.56,""))))</f>
        <v/>
      </c>
      <c r="U2077" s="3" t="n">
        <v>535</v>
      </c>
      <c r="V2077" s="3" t="n"/>
      <c r="W2077" s="3" t="n"/>
      <c r="X2077" s="4" t="n"/>
      <c r="Y2077" s="5" t="n">
        <v>0.156</v>
      </c>
      <c r="Z2077" s="4">
        <f>IF(L2077&lt;&gt;"",SQRT(3)*G2077*L2077/1000,"")</f>
        <v/>
      </c>
      <c r="AA2077" t="inlineStr">
        <is>
          <t>Source=Copeland 2D/3D/4D/4R/6D/8D/9R compressors (pdf) p111</t>
        </is>
      </c>
      <c r="AB2077" t="inlineStr">
        <is>
          <t>Copeland_RLA_230_460_3ph_60Hz.xlsx</t>
        </is>
      </c>
      <c r="AC2077" t="inlineStr">
        <is>
          <t>Recip_2D-9R</t>
        </is>
      </c>
    </row>
    <row r="2078">
      <c r="A2078" t="inlineStr">
        <is>
          <t>COPELAND</t>
        </is>
      </c>
      <c r="B2078" t="inlineStr">
        <is>
          <t>8DP3-5000-FSD</t>
        </is>
      </c>
      <c r="D2078" t="inlineStr">
        <is>
          <t>Reciprocating Semi-hermetic</t>
        </is>
      </c>
      <c r="E2078" s="2" t="n">
        <v>3</v>
      </c>
      <c r="F2078" s="2" t="n">
        <v>60</v>
      </c>
      <c r="G2078" s="2" t="n">
        <v>460</v>
      </c>
      <c r="H2078" t="inlineStr">
        <is>
          <t>460</t>
        </is>
      </c>
      <c r="I2078" s="2" t="n">
        <v>460</v>
      </c>
      <c r="J2078" s="2" t="n">
        <v>460</v>
      </c>
      <c r="L2078" s="3" t="n"/>
      <c r="M2078" s="3" t="n"/>
      <c r="N2078" s="3" t="n">
        <v>90.7</v>
      </c>
      <c r="O2078" s="3" t="n"/>
      <c r="P2078" s="3">
        <f>IF(L2078&lt;&gt;"",L2078/1.4,"")</f>
        <v/>
      </c>
      <c r="Q2078" s="3">
        <f>IF(L2078&lt;&gt;"",L2078/1.56,"")</f>
        <v/>
      </c>
      <c r="R2078" s="3">
        <f>IF(M2078&lt;&gt;"",M2078/1.4,"")</f>
        <v/>
      </c>
      <c r="S2078" s="3">
        <f>IF(M2078&lt;&gt;"",M2078/1.56,"")</f>
        <v/>
      </c>
      <c r="T2078" s="3">
        <f>IF(N2078&lt;&gt;"",N2078,IF(O2078&lt;&gt;"",O2078,IF(L2078&lt;&gt;"",L2078/1.56,IF(M2078&lt;&gt;"",M2078/1.56,""))))</f>
        <v/>
      </c>
      <c r="U2078" s="3" t="n">
        <v>510</v>
      </c>
      <c r="V2078" s="3" t="n">
        <v>330</v>
      </c>
      <c r="W2078" s="3" t="n"/>
      <c r="X2078" s="4" t="n"/>
      <c r="Y2078" s="5" t="n">
        <v>0.147</v>
      </c>
      <c r="Z2078" s="4">
        <f>IF(L2078&lt;&gt;"",SQRT(3)*G2078*L2078/1000,"")</f>
        <v/>
      </c>
      <c r="AA2078" t="inlineStr">
        <is>
          <t>Source=Copeland 2D/3D/4D/4R/6D/8D/9R compressors (pdf) p111; PWS_RLA=45.5</t>
        </is>
      </c>
      <c r="AB2078" t="inlineStr">
        <is>
          <t>Copeland_RLA_230_460_3ph_60Hz.xlsx</t>
        </is>
      </c>
      <c r="AC2078" t="inlineStr">
        <is>
          <t>Recip_2D-9R</t>
        </is>
      </c>
    </row>
    <row r="2079">
      <c r="A2079" t="inlineStr">
        <is>
          <t>COPELAND</t>
        </is>
      </c>
      <c r="B2079" t="inlineStr">
        <is>
          <t>8DP3-5000-TSK</t>
        </is>
      </c>
      <c r="D2079" t="inlineStr">
        <is>
          <t>Reciprocating Semi-hermetic</t>
        </is>
      </c>
      <c r="E2079" s="2" t="n">
        <v>3</v>
      </c>
      <c r="F2079" s="2" t="n">
        <v>60</v>
      </c>
      <c r="G2079" s="2" t="n">
        <v>230</v>
      </c>
      <c r="H2079" t="inlineStr">
        <is>
          <t>208/230</t>
        </is>
      </c>
      <c r="I2079" s="2" t="n">
        <v>208</v>
      </c>
      <c r="J2079" s="2" t="n">
        <v>230</v>
      </c>
      <c r="L2079" s="3" t="n"/>
      <c r="M2079" s="3" t="n"/>
      <c r="N2079" s="3" t="n">
        <v>180</v>
      </c>
      <c r="O2079" s="3" t="n"/>
      <c r="P2079" s="3">
        <f>IF(L2079&lt;&gt;"",L2079/1.4,"")</f>
        <v/>
      </c>
      <c r="Q2079" s="3">
        <f>IF(L2079&lt;&gt;"",L2079/1.56,"")</f>
        <v/>
      </c>
      <c r="R2079" s="3">
        <f>IF(M2079&lt;&gt;"",M2079/1.4,"")</f>
        <v/>
      </c>
      <c r="S2079" s="3">
        <f>IF(M2079&lt;&gt;"",M2079/1.56,"")</f>
        <v/>
      </c>
      <c r="T2079" s="3">
        <f>IF(N2079&lt;&gt;"",N2079,IF(O2079&lt;&gt;"",O2079,IF(L2079&lt;&gt;"",L2079/1.56,IF(M2079&lt;&gt;"",M2079/1.56,""))))</f>
        <v/>
      </c>
      <c r="U2079" s="3" t="n">
        <v>1070</v>
      </c>
      <c r="V2079" s="3" t="n">
        <v>654</v>
      </c>
      <c r="W2079" s="3" t="n"/>
      <c r="X2079" s="4" t="n"/>
      <c r="Y2079" s="5" t="n">
        <v>0.039</v>
      </c>
      <c r="Z2079" s="4">
        <f>IF(L2079&lt;&gt;"",SQRT(3)*G2079*L2079/1000,"")</f>
        <v/>
      </c>
      <c r="AA2079" t="inlineStr">
        <is>
          <t>Source=Copeland 2D/3D/4D/4R/6D/8D/9R compressors (pdf) p111; PWS_RLA=90.0</t>
        </is>
      </c>
      <c r="AB2079" t="inlineStr">
        <is>
          <t>Copeland_RLA_230_460_3ph_60Hz.xlsx</t>
        </is>
      </c>
      <c r="AC2079" t="inlineStr">
        <is>
          <t>Recip_2D-9R</t>
        </is>
      </c>
    </row>
    <row r="2080">
      <c r="A2080" t="inlineStr">
        <is>
          <t>COPELAND</t>
        </is>
      </c>
      <c r="B2080" t="inlineStr">
        <is>
          <t>8DP3-5000-TSK</t>
        </is>
      </c>
      <c r="D2080" t="inlineStr">
        <is>
          <t>Reciprocating Semi-hermetic</t>
        </is>
      </c>
      <c r="E2080" s="2" t="n">
        <v>3</v>
      </c>
      <c r="F2080" s="2" t="n">
        <v>60</v>
      </c>
      <c r="G2080" s="2" t="n">
        <v>460</v>
      </c>
      <c r="H2080" t="inlineStr">
        <is>
          <t>460</t>
        </is>
      </c>
      <c r="I2080" s="2" t="n">
        <v>460</v>
      </c>
      <c r="J2080" s="2" t="n">
        <v>460</v>
      </c>
      <c r="L2080" s="3" t="n"/>
      <c r="M2080" s="3" t="n"/>
      <c r="N2080" s="3" t="n">
        <v>90</v>
      </c>
      <c r="O2080" s="3" t="n"/>
      <c r="P2080" s="3">
        <f>IF(L2080&lt;&gt;"",L2080/1.4,"")</f>
        <v/>
      </c>
      <c r="Q2080" s="3">
        <f>IF(L2080&lt;&gt;"",L2080/1.56,"")</f>
        <v/>
      </c>
      <c r="R2080" s="3">
        <f>IF(M2080&lt;&gt;"",M2080/1.4,"")</f>
        <v/>
      </c>
      <c r="S2080" s="3">
        <f>IF(M2080&lt;&gt;"",M2080/1.56,"")</f>
        <v/>
      </c>
      <c r="T2080" s="3">
        <f>IF(N2080&lt;&gt;"",N2080,IF(O2080&lt;&gt;"",O2080,IF(L2080&lt;&gt;"",L2080/1.56,IF(M2080&lt;&gt;"",M2080/1.56,""))))</f>
        <v/>
      </c>
      <c r="U2080" s="3" t="n">
        <v>535</v>
      </c>
      <c r="V2080" s="3" t="n"/>
      <c r="W2080" s="3" t="n"/>
      <c r="X2080" s="4" t="n"/>
      <c r="Y2080" s="5" t="n">
        <v>0.156</v>
      </c>
      <c r="Z2080" s="4">
        <f>IF(L2080&lt;&gt;"",SQRT(3)*G2080*L2080/1000,"")</f>
        <v/>
      </c>
      <c r="AA2080" t="inlineStr">
        <is>
          <t>Source=Copeland 2D/3D/4D/4R/6D/8D/9R compressors (pdf) p111</t>
        </is>
      </c>
      <c r="AB2080" t="inlineStr">
        <is>
          <t>Copeland_RLA_230_460_3ph_60Hz.xlsx</t>
        </is>
      </c>
      <c r="AC2080" t="inlineStr">
        <is>
          <t>Recip_2D-9R</t>
        </is>
      </c>
    </row>
    <row r="2081">
      <c r="A2081" t="inlineStr">
        <is>
          <t>COPELAND</t>
        </is>
      </c>
      <c r="B2081" t="inlineStr">
        <is>
          <t>8DP3-500E-FSD</t>
        </is>
      </c>
      <c r="D2081" t="inlineStr">
        <is>
          <t>Reciprocating Semi-hermetic</t>
        </is>
      </c>
      <c r="E2081" s="2" t="n">
        <v>3</v>
      </c>
      <c r="F2081" s="2" t="n">
        <v>60</v>
      </c>
      <c r="G2081" s="2" t="n">
        <v>460</v>
      </c>
      <c r="H2081" t="inlineStr">
        <is>
          <t>460</t>
        </is>
      </c>
      <c r="I2081" s="2" t="n">
        <v>460</v>
      </c>
      <c r="J2081" s="2" t="n">
        <v>460</v>
      </c>
      <c r="L2081" s="3" t="n"/>
      <c r="M2081" s="3" t="n"/>
      <c r="N2081" s="3" t="n">
        <v>90.7</v>
      </c>
      <c r="O2081" s="3" t="n"/>
      <c r="P2081" s="3">
        <f>IF(L2081&lt;&gt;"",L2081/1.4,"")</f>
        <v/>
      </c>
      <c r="Q2081" s="3">
        <f>IF(L2081&lt;&gt;"",L2081/1.56,"")</f>
        <v/>
      </c>
      <c r="R2081" s="3">
        <f>IF(M2081&lt;&gt;"",M2081/1.4,"")</f>
        <v/>
      </c>
      <c r="S2081" s="3">
        <f>IF(M2081&lt;&gt;"",M2081/1.56,"")</f>
        <v/>
      </c>
      <c r="T2081" s="3">
        <f>IF(N2081&lt;&gt;"",N2081,IF(O2081&lt;&gt;"",O2081,IF(L2081&lt;&gt;"",L2081/1.56,IF(M2081&lt;&gt;"",M2081/1.56,""))))</f>
        <v/>
      </c>
      <c r="U2081" s="3" t="n">
        <v>510</v>
      </c>
      <c r="V2081" s="3" t="n">
        <v>330</v>
      </c>
      <c r="W2081" s="3" t="n"/>
      <c r="X2081" s="4" t="n"/>
      <c r="Y2081" s="5" t="n">
        <v>0.147</v>
      </c>
      <c r="Z2081" s="4">
        <f>IF(L2081&lt;&gt;"",SQRT(3)*G2081*L2081/1000,"")</f>
        <v/>
      </c>
      <c r="AA2081" t="inlineStr">
        <is>
          <t>Source=Copeland 2D/3D/4D/4R/6D/8D/9R compressors (pdf) p111; PWS_RLA=45.5</t>
        </is>
      </c>
      <c r="AB2081" t="inlineStr">
        <is>
          <t>Copeland_RLA_230_460_3ph_60Hz.xlsx</t>
        </is>
      </c>
      <c r="AC2081" t="inlineStr">
        <is>
          <t>Recip_2D-9R</t>
        </is>
      </c>
    </row>
    <row r="2082">
      <c r="A2082" t="inlineStr">
        <is>
          <t>COPELAND</t>
        </is>
      </c>
      <c r="B2082" t="inlineStr">
        <is>
          <t>8DP3-500E-TSK</t>
        </is>
      </c>
      <c r="D2082" t="inlineStr">
        <is>
          <t>Reciprocating Semi-hermetic</t>
        </is>
      </c>
      <c r="E2082" s="2" t="n">
        <v>3</v>
      </c>
      <c r="F2082" s="2" t="n">
        <v>60</v>
      </c>
      <c r="G2082" s="2" t="n">
        <v>230</v>
      </c>
      <c r="H2082" t="inlineStr">
        <is>
          <t>208/230</t>
        </is>
      </c>
      <c r="I2082" s="2" t="n">
        <v>208</v>
      </c>
      <c r="J2082" s="2" t="n">
        <v>230</v>
      </c>
      <c r="L2082" s="3" t="n"/>
      <c r="M2082" s="3" t="n"/>
      <c r="N2082" s="3" t="n">
        <v>180</v>
      </c>
      <c r="O2082" s="3" t="n"/>
      <c r="P2082" s="3">
        <f>IF(L2082&lt;&gt;"",L2082/1.4,"")</f>
        <v/>
      </c>
      <c r="Q2082" s="3">
        <f>IF(L2082&lt;&gt;"",L2082/1.56,"")</f>
        <v/>
      </c>
      <c r="R2082" s="3">
        <f>IF(M2082&lt;&gt;"",M2082/1.4,"")</f>
        <v/>
      </c>
      <c r="S2082" s="3">
        <f>IF(M2082&lt;&gt;"",M2082/1.56,"")</f>
        <v/>
      </c>
      <c r="T2082" s="3">
        <f>IF(N2082&lt;&gt;"",N2082,IF(O2082&lt;&gt;"",O2082,IF(L2082&lt;&gt;"",L2082/1.56,IF(M2082&lt;&gt;"",M2082/1.56,""))))</f>
        <v/>
      </c>
      <c r="U2082" s="3" t="n">
        <v>1070</v>
      </c>
      <c r="V2082" s="3" t="n">
        <v>654</v>
      </c>
      <c r="W2082" s="3" t="n"/>
      <c r="X2082" s="4" t="n"/>
      <c r="Y2082" s="5" t="n">
        <v>0.039</v>
      </c>
      <c r="Z2082" s="4">
        <f>IF(L2082&lt;&gt;"",SQRT(3)*G2082*L2082/1000,"")</f>
        <v/>
      </c>
      <c r="AA2082" t="inlineStr">
        <is>
          <t>Source=Copeland 2D/3D/4D/4R/6D/8D/9R compressors (pdf) p111; PWS_RLA=90.0</t>
        </is>
      </c>
      <c r="AB2082" t="inlineStr">
        <is>
          <t>Copeland_RLA_230_460_3ph_60Hz.xlsx</t>
        </is>
      </c>
      <c r="AC2082" t="inlineStr">
        <is>
          <t>Recip_2D-9R</t>
        </is>
      </c>
    </row>
    <row r="2083">
      <c r="A2083" t="inlineStr">
        <is>
          <t>COPELAND</t>
        </is>
      </c>
      <c r="B2083" t="inlineStr">
        <is>
          <t>8DP3-500E-TSK</t>
        </is>
      </c>
      <c r="D2083" t="inlineStr">
        <is>
          <t>Reciprocating Semi-hermetic</t>
        </is>
      </c>
      <c r="E2083" s="2" t="n">
        <v>3</v>
      </c>
      <c r="F2083" s="2" t="n">
        <v>60</v>
      </c>
      <c r="G2083" s="2" t="n">
        <v>460</v>
      </c>
      <c r="H2083" t="inlineStr">
        <is>
          <t>460</t>
        </is>
      </c>
      <c r="I2083" s="2" t="n">
        <v>460</v>
      </c>
      <c r="J2083" s="2" t="n">
        <v>460</v>
      </c>
      <c r="L2083" s="3" t="n"/>
      <c r="M2083" s="3" t="n"/>
      <c r="N2083" s="3" t="n">
        <v>90</v>
      </c>
      <c r="O2083" s="3" t="n"/>
      <c r="P2083" s="3">
        <f>IF(L2083&lt;&gt;"",L2083/1.4,"")</f>
        <v/>
      </c>
      <c r="Q2083" s="3">
        <f>IF(L2083&lt;&gt;"",L2083/1.56,"")</f>
        <v/>
      </c>
      <c r="R2083" s="3">
        <f>IF(M2083&lt;&gt;"",M2083/1.4,"")</f>
        <v/>
      </c>
      <c r="S2083" s="3">
        <f>IF(M2083&lt;&gt;"",M2083/1.56,"")</f>
        <v/>
      </c>
      <c r="T2083" s="3">
        <f>IF(N2083&lt;&gt;"",N2083,IF(O2083&lt;&gt;"",O2083,IF(L2083&lt;&gt;"",L2083/1.56,IF(M2083&lt;&gt;"",M2083/1.56,""))))</f>
        <v/>
      </c>
      <c r="U2083" s="3" t="n">
        <v>535</v>
      </c>
      <c r="V2083" s="3" t="n"/>
      <c r="W2083" s="3" t="n"/>
      <c r="X2083" s="4" t="n"/>
      <c r="Y2083" s="5" t="n">
        <v>0.156</v>
      </c>
      <c r="Z2083" s="4">
        <f>IF(L2083&lt;&gt;"",SQRT(3)*G2083*L2083/1000,"")</f>
        <v/>
      </c>
      <c r="AA2083" t="inlineStr">
        <is>
          <t>Source=Copeland 2D/3D/4D/4R/6D/8D/9R compressors (pdf) p112</t>
        </is>
      </c>
      <c r="AB2083" t="inlineStr">
        <is>
          <t>Copeland_RLA_230_460_3ph_60Hz.xlsx</t>
        </is>
      </c>
      <c r="AC2083" t="inlineStr">
        <is>
          <t>Recip_2D-9R</t>
        </is>
      </c>
    </row>
    <row r="2084">
      <c r="A2084" t="inlineStr">
        <is>
          <t>COPELAND</t>
        </is>
      </c>
      <c r="B2084" t="inlineStr">
        <is>
          <t>8DP3-500L-FSD</t>
        </is>
      </c>
      <c r="D2084" t="inlineStr">
        <is>
          <t>Reciprocating Semi-hermetic</t>
        </is>
      </c>
      <c r="E2084" s="2" t="n">
        <v>3</v>
      </c>
      <c r="F2084" s="2" t="n">
        <v>60</v>
      </c>
      <c r="G2084" s="2" t="n">
        <v>460</v>
      </c>
      <c r="H2084" t="inlineStr">
        <is>
          <t>460</t>
        </is>
      </c>
      <c r="I2084" s="2" t="n">
        <v>460</v>
      </c>
      <c r="J2084" s="2" t="n">
        <v>460</v>
      </c>
      <c r="L2084" s="3" t="n"/>
      <c r="M2084" s="3" t="n"/>
      <c r="N2084" s="3" t="n">
        <v>90.7</v>
      </c>
      <c r="O2084" s="3" t="n"/>
      <c r="P2084" s="3">
        <f>IF(L2084&lt;&gt;"",L2084/1.4,"")</f>
        <v/>
      </c>
      <c r="Q2084" s="3">
        <f>IF(L2084&lt;&gt;"",L2084/1.56,"")</f>
        <v/>
      </c>
      <c r="R2084" s="3">
        <f>IF(M2084&lt;&gt;"",M2084/1.4,"")</f>
        <v/>
      </c>
      <c r="S2084" s="3">
        <f>IF(M2084&lt;&gt;"",M2084/1.56,"")</f>
        <v/>
      </c>
      <c r="T2084" s="3">
        <f>IF(N2084&lt;&gt;"",N2084,IF(O2084&lt;&gt;"",O2084,IF(L2084&lt;&gt;"",L2084/1.56,IF(M2084&lt;&gt;"",M2084/1.56,""))))</f>
        <v/>
      </c>
      <c r="U2084" s="3" t="n">
        <v>510</v>
      </c>
      <c r="V2084" s="3" t="n">
        <v>330</v>
      </c>
      <c r="W2084" s="3" t="n"/>
      <c r="X2084" s="4" t="n"/>
      <c r="Y2084" s="5" t="n">
        <v>0.147</v>
      </c>
      <c r="Z2084" s="4">
        <f>IF(L2084&lt;&gt;"",SQRT(3)*G2084*L2084/1000,"")</f>
        <v/>
      </c>
      <c r="AA2084" t="inlineStr">
        <is>
          <t>Source=Copeland 2D/3D/4D/4R/6D/8D/9R compressors (pdf) p112; PWS_RLA=45.5</t>
        </is>
      </c>
      <c r="AB2084" t="inlineStr">
        <is>
          <t>Copeland_RLA_230_460_3ph_60Hz.xlsx</t>
        </is>
      </c>
      <c r="AC2084" t="inlineStr">
        <is>
          <t>Recip_2D-9R</t>
        </is>
      </c>
    </row>
    <row r="2085">
      <c r="A2085" t="inlineStr">
        <is>
          <t>COPELAND</t>
        </is>
      </c>
      <c r="B2085" t="inlineStr">
        <is>
          <t>8DP3-500L-TSK</t>
        </is>
      </c>
      <c r="D2085" t="inlineStr">
        <is>
          <t>Reciprocating Semi-hermetic</t>
        </is>
      </c>
      <c r="E2085" s="2" t="n">
        <v>3</v>
      </c>
      <c r="F2085" s="2" t="n">
        <v>60</v>
      </c>
      <c r="G2085" s="2" t="n">
        <v>230</v>
      </c>
      <c r="H2085" t="inlineStr">
        <is>
          <t>208/230</t>
        </is>
      </c>
      <c r="I2085" s="2" t="n">
        <v>208</v>
      </c>
      <c r="J2085" s="2" t="n">
        <v>230</v>
      </c>
      <c r="L2085" s="3" t="n"/>
      <c r="M2085" s="3" t="n"/>
      <c r="N2085" s="3" t="n">
        <v>180</v>
      </c>
      <c r="O2085" s="3" t="n"/>
      <c r="P2085" s="3">
        <f>IF(L2085&lt;&gt;"",L2085/1.4,"")</f>
        <v/>
      </c>
      <c r="Q2085" s="3">
        <f>IF(L2085&lt;&gt;"",L2085/1.56,"")</f>
        <v/>
      </c>
      <c r="R2085" s="3">
        <f>IF(M2085&lt;&gt;"",M2085/1.4,"")</f>
        <v/>
      </c>
      <c r="S2085" s="3">
        <f>IF(M2085&lt;&gt;"",M2085/1.56,"")</f>
        <v/>
      </c>
      <c r="T2085" s="3">
        <f>IF(N2085&lt;&gt;"",N2085,IF(O2085&lt;&gt;"",O2085,IF(L2085&lt;&gt;"",L2085/1.56,IF(M2085&lt;&gt;"",M2085/1.56,""))))</f>
        <v/>
      </c>
      <c r="U2085" s="3" t="n">
        <v>1070</v>
      </c>
      <c r="V2085" s="3" t="n">
        <v>654</v>
      </c>
      <c r="W2085" s="3" t="n"/>
      <c r="X2085" s="4" t="n"/>
      <c r="Y2085" s="5" t="n">
        <v>0.039</v>
      </c>
      <c r="Z2085" s="4">
        <f>IF(L2085&lt;&gt;"",SQRT(3)*G2085*L2085/1000,"")</f>
        <v/>
      </c>
      <c r="AA2085" t="inlineStr">
        <is>
          <t>Source=Copeland 2D/3D/4D/4R/6D/8D/9R compressors (pdf) p112; PWS_RLA=90.0</t>
        </is>
      </c>
      <c r="AB2085" t="inlineStr">
        <is>
          <t>Copeland_RLA_230_460_3ph_60Hz.xlsx</t>
        </is>
      </c>
      <c r="AC2085" t="inlineStr">
        <is>
          <t>Recip_2D-9R</t>
        </is>
      </c>
    </row>
    <row r="2086">
      <c r="A2086" t="inlineStr">
        <is>
          <t>COPELAND</t>
        </is>
      </c>
      <c r="B2086" t="inlineStr">
        <is>
          <t>8DP3-500L-TSK</t>
        </is>
      </c>
      <c r="D2086" t="inlineStr">
        <is>
          <t>Reciprocating Semi-hermetic</t>
        </is>
      </c>
      <c r="E2086" s="2" t="n">
        <v>3</v>
      </c>
      <c r="F2086" s="2" t="n">
        <v>60</v>
      </c>
      <c r="G2086" s="2" t="n">
        <v>460</v>
      </c>
      <c r="H2086" t="inlineStr">
        <is>
          <t>460</t>
        </is>
      </c>
      <c r="I2086" s="2" t="n">
        <v>460</v>
      </c>
      <c r="J2086" s="2" t="n">
        <v>460</v>
      </c>
      <c r="L2086" s="3" t="n"/>
      <c r="M2086" s="3" t="n"/>
      <c r="N2086" s="3" t="n">
        <v>90</v>
      </c>
      <c r="O2086" s="3" t="n"/>
      <c r="P2086" s="3">
        <f>IF(L2086&lt;&gt;"",L2086/1.4,"")</f>
        <v/>
      </c>
      <c r="Q2086" s="3">
        <f>IF(L2086&lt;&gt;"",L2086/1.56,"")</f>
        <v/>
      </c>
      <c r="R2086" s="3">
        <f>IF(M2086&lt;&gt;"",M2086/1.4,"")</f>
        <v/>
      </c>
      <c r="S2086" s="3">
        <f>IF(M2086&lt;&gt;"",M2086/1.56,"")</f>
        <v/>
      </c>
      <c r="T2086" s="3">
        <f>IF(N2086&lt;&gt;"",N2086,IF(O2086&lt;&gt;"",O2086,IF(L2086&lt;&gt;"",L2086/1.56,IF(M2086&lt;&gt;"",M2086/1.56,""))))</f>
        <v/>
      </c>
      <c r="U2086" s="3" t="n">
        <v>535</v>
      </c>
      <c r="V2086" s="3" t="n"/>
      <c r="W2086" s="3" t="n"/>
      <c r="X2086" s="4" t="n"/>
      <c r="Y2086" s="5" t="n">
        <v>0.156</v>
      </c>
      <c r="Z2086" s="4">
        <f>IF(L2086&lt;&gt;"",SQRT(3)*G2086*L2086/1000,"")</f>
        <v/>
      </c>
      <c r="AA2086" t="inlineStr">
        <is>
          <t>Source=Copeland 2D/3D/4D/4R/6D/8D/9R compressors (pdf) p112</t>
        </is>
      </c>
      <c r="AB2086" t="inlineStr">
        <is>
          <t>Copeland_RLA_230_460_3ph_60Hz.xlsx</t>
        </is>
      </c>
      <c r="AC2086" t="inlineStr">
        <is>
          <t>Recip_2D-9R</t>
        </is>
      </c>
    </row>
    <row r="2087">
      <c r="A2087" t="inlineStr">
        <is>
          <t>COPELAND</t>
        </is>
      </c>
      <c r="B2087" t="inlineStr">
        <is>
          <t>8DP3R56M0-FSD</t>
        </is>
      </c>
      <c r="D2087" t="inlineStr">
        <is>
          <t>Reciprocating Semi-hermetic</t>
        </is>
      </c>
      <c r="E2087" s="2" t="n">
        <v>3</v>
      </c>
      <c r="F2087" s="2" t="n">
        <v>60</v>
      </c>
      <c r="G2087" s="2" t="n">
        <v>460</v>
      </c>
      <c r="H2087" t="inlineStr">
        <is>
          <t>460</t>
        </is>
      </c>
      <c r="I2087" s="2" t="n">
        <v>460</v>
      </c>
      <c r="J2087" s="2" t="n">
        <v>460</v>
      </c>
      <c r="L2087" s="3" t="n"/>
      <c r="M2087" s="3" t="n"/>
      <c r="N2087" s="3" t="n">
        <v>90.7</v>
      </c>
      <c r="O2087" s="3" t="n"/>
      <c r="P2087" s="3">
        <f>IF(L2087&lt;&gt;"",L2087/1.4,"")</f>
        <v/>
      </c>
      <c r="Q2087" s="3">
        <f>IF(L2087&lt;&gt;"",L2087/1.56,"")</f>
        <v/>
      </c>
      <c r="R2087" s="3">
        <f>IF(M2087&lt;&gt;"",M2087/1.4,"")</f>
        <v/>
      </c>
      <c r="S2087" s="3">
        <f>IF(M2087&lt;&gt;"",M2087/1.56,"")</f>
        <v/>
      </c>
      <c r="T2087" s="3">
        <f>IF(N2087&lt;&gt;"",N2087,IF(O2087&lt;&gt;"",O2087,IF(L2087&lt;&gt;"",L2087/1.56,IF(M2087&lt;&gt;"",M2087/1.56,""))))</f>
        <v/>
      </c>
      <c r="U2087" s="3" t="n">
        <v>510</v>
      </c>
      <c r="V2087" s="3" t="n">
        <v>330</v>
      </c>
      <c r="W2087" s="3" t="n"/>
      <c r="X2087" s="4" t="n"/>
      <c r="Y2087" s="5" t="n">
        <v>0.147</v>
      </c>
      <c r="Z2087" s="4">
        <f>IF(L2087&lt;&gt;"",SQRT(3)*G2087*L2087/1000,"")</f>
        <v/>
      </c>
      <c r="AA2087" t="inlineStr">
        <is>
          <t>Source=Copeland 2D/3D/4D/4R/6D/8D/9R compressors (pdf) p112; PWS_RLA=45.5</t>
        </is>
      </c>
      <c r="AB2087" t="inlineStr">
        <is>
          <t>Copeland_RLA_230_460_3ph_60Hz.xlsx</t>
        </is>
      </c>
      <c r="AC2087" t="inlineStr">
        <is>
          <t>Recip_2D-9R</t>
        </is>
      </c>
    </row>
    <row r="2088">
      <c r="A2088" t="inlineStr">
        <is>
          <t>COPELAND</t>
        </is>
      </c>
      <c r="B2088" t="inlineStr">
        <is>
          <t>8DP3R56M0-TSK</t>
        </is>
      </c>
      <c r="D2088" t="inlineStr">
        <is>
          <t>Reciprocating Semi-hermetic</t>
        </is>
      </c>
      <c r="E2088" s="2" t="n">
        <v>3</v>
      </c>
      <c r="F2088" s="2" t="n">
        <v>60</v>
      </c>
      <c r="G2088" s="2" t="n">
        <v>230</v>
      </c>
      <c r="H2088" t="inlineStr">
        <is>
          <t>208/230</t>
        </is>
      </c>
      <c r="I2088" s="2" t="n">
        <v>208</v>
      </c>
      <c r="J2088" s="2" t="n">
        <v>230</v>
      </c>
      <c r="L2088" s="3" t="n"/>
      <c r="M2088" s="3" t="n"/>
      <c r="N2088" s="3" t="n">
        <v>180</v>
      </c>
      <c r="O2088" s="3" t="n"/>
      <c r="P2088" s="3">
        <f>IF(L2088&lt;&gt;"",L2088/1.4,"")</f>
        <v/>
      </c>
      <c r="Q2088" s="3">
        <f>IF(L2088&lt;&gt;"",L2088/1.56,"")</f>
        <v/>
      </c>
      <c r="R2088" s="3">
        <f>IF(M2088&lt;&gt;"",M2088/1.4,"")</f>
        <v/>
      </c>
      <c r="S2088" s="3">
        <f>IF(M2088&lt;&gt;"",M2088/1.56,"")</f>
        <v/>
      </c>
      <c r="T2088" s="3">
        <f>IF(N2088&lt;&gt;"",N2088,IF(O2088&lt;&gt;"",O2088,IF(L2088&lt;&gt;"",L2088/1.56,IF(M2088&lt;&gt;"",M2088/1.56,""))))</f>
        <v/>
      </c>
      <c r="U2088" s="3" t="n">
        <v>1070</v>
      </c>
      <c r="V2088" s="3" t="n">
        <v>654</v>
      </c>
      <c r="W2088" s="3" t="n"/>
      <c r="X2088" s="4" t="n"/>
      <c r="Y2088" s="5" t="n">
        <v>0.039</v>
      </c>
      <c r="Z2088" s="4">
        <f>IF(L2088&lt;&gt;"",SQRT(3)*G2088*L2088/1000,"")</f>
        <v/>
      </c>
      <c r="AA2088" t="inlineStr">
        <is>
          <t>Source=Copeland 2D/3D/4D/4R/6D/8D/9R compressors (pdf) p112; PWS_RLA=90.0</t>
        </is>
      </c>
      <c r="AB2088" t="inlineStr">
        <is>
          <t>Copeland_RLA_230_460_3ph_60Hz.xlsx</t>
        </is>
      </c>
      <c r="AC2088" t="inlineStr">
        <is>
          <t>Recip_2D-9R</t>
        </is>
      </c>
    </row>
    <row r="2089">
      <c r="A2089" t="inlineStr">
        <is>
          <t>COPELAND</t>
        </is>
      </c>
      <c r="B2089" t="inlineStr">
        <is>
          <t>8DP3R56M0-TSK</t>
        </is>
      </c>
      <c r="D2089" t="inlineStr">
        <is>
          <t>Reciprocating Semi-hermetic</t>
        </is>
      </c>
      <c r="E2089" s="2" t="n">
        <v>3</v>
      </c>
      <c r="F2089" s="2" t="n">
        <v>60</v>
      </c>
      <c r="G2089" s="2" t="n">
        <v>460</v>
      </c>
      <c r="H2089" t="inlineStr">
        <is>
          <t>460</t>
        </is>
      </c>
      <c r="I2089" s="2" t="n">
        <v>460</v>
      </c>
      <c r="J2089" s="2" t="n">
        <v>460</v>
      </c>
      <c r="L2089" s="3" t="n"/>
      <c r="M2089" s="3" t="n"/>
      <c r="N2089" s="3" t="n">
        <v>90</v>
      </c>
      <c r="O2089" s="3" t="n"/>
      <c r="P2089" s="3">
        <f>IF(L2089&lt;&gt;"",L2089/1.4,"")</f>
        <v/>
      </c>
      <c r="Q2089" s="3">
        <f>IF(L2089&lt;&gt;"",L2089/1.56,"")</f>
        <v/>
      </c>
      <c r="R2089" s="3">
        <f>IF(M2089&lt;&gt;"",M2089/1.4,"")</f>
        <v/>
      </c>
      <c r="S2089" s="3">
        <f>IF(M2089&lt;&gt;"",M2089/1.56,"")</f>
        <v/>
      </c>
      <c r="T2089" s="3">
        <f>IF(N2089&lt;&gt;"",N2089,IF(O2089&lt;&gt;"",O2089,IF(L2089&lt;&gt;"",L2089/1.56,IF(M2089&lt;&gt;"",M2089/1.56,""))))</f>
        <v/>
      </c>
      <c r="U2089" s="3" t="n">
        <v>535</v>
      </c>
      <c r="V2089" s="3" t="n"/>
      <c r="W2089" s="3" t="n"/>
      <c r="X2089" s="4" t="n"/>
      <c r="Y2089" s="5" t="n">
        <v>0.156</v>
      </c>
      <c r="Z2089" s="4">
        <f>IF(L2089&lt;&gt;"",SQRT(3)*G2089*L2089/1000,"")</f>
        <v/>
      </c>
      <c r="AA2089" t="inlineStr">
        <is>
          <t>Source=Copeland 2D/3D/4D/4R/6D/8D/9R compressors (pdf) p112</t>
        </is>
      </c>
      <c r="AB2089" t="inlineStr">
        <is>
          <t>Copeland_RLA_230_460_3ph_60Hz.xlsx</t>
        </is>
      </c>
      <c r="AC2089" t="inlineStr">
        <is>
          <t>Recip_2D-9R</t>
        </is>
      </c>
    </row>
    <row r="2090">
      <c r="A2090" t="inlineStr">
        <is>
          <t>COPELAND</t>
        </is>
      </c>
      <c r="B2090" t="inlineStr">
        <is>
          <t>8DP3R56ME-FSD</t>
        </is>
      </c>
      <c r="D2090" t="inlineStr">
        <is>
          <t>Reciprocating Semi-hermetic</t>
        </is>
      </c>
      <c r="E2090" s="2" t="n">
        <v>3</v>
      </c>
      <c r="F2090" s="2" t="n">
        <v>60</v>
      </c>
      <c r="G2090" s="2" t="n">
        <v>460</v>
      </c>
      <c r="H2090" t="inlineStr">
        <is>
          <t>460</t>
        </is>
      </c>
      <c r="I2090" s="2" t="n">
        <v>460</v>
      </c>
      <c r="J2090" s="2" t="n">
        <v>460</v>
      </c>
      <c r="L2090" s="3" t="n"/>
      <c r="M2090" s="3" t="n"/>
      <c r="N2090" s="3" t="n">
        <v>90.7</v>
      </c>
      <c r="O2090" s="3" t="n"/>
      <c r="P2090" s="3">
        <f>IF(L2090&lt;&gt;"",L2090/1.4,"")</f>
        <v/>
      </c>
      <c r="Q2090" s="3">
        <f>IF(L2090&lt;&gt;"",L2090/1.56,"")</f>
        <v/>
      </c>
      <c r="R2090" s="3">
        <f>IF(M2090&lt;&gt;"",M2090/1.4,"")</f>
        <v/>
      </c>
      <c r="S2090" s="3">
        <f>IF(M2090&lt;&gt;"",M2090/1.56,"")</f>
        <v/>
      </c>
      <c r="T2090" s="3">
        <f>IF(N2090&lt;&gt;"",N2090,IF(O2090&lt;&gt;"",O2090,IF(L2090&lt;&gt;"",L2090/1.56,IF(M2090&lt;&gt;"",M2090/1.56,""))))</f>
        <v/>
      </c>
      <c r="U2090" s="3" t="n">
        <v>510</v>
      </c>
      <c r="V2090" s="3" t="n">
        <v>330</v>
      </c>
      <c r="W2090" s="3" t="n"/>
      <c r="X2090" s="4" t="n"/>
      <c r="Y2090" s="5" t="n">
        <v>0.147</v>
      </c>
      <c r="Z2090" s="4">
        <f>IF(L2090&lt;&gt;"",SQRT(3)*G2090*L2090/1000,"")</f>
        <v/>
      </c>
      <c r="AA2090" t="inlineStr">
        <is>
          <t>Source=Copeland 2D/3D/4D/4R/6D/8D/9R compressors (pdf) p112; PWS_RLA=45.5</t>
        </is>
      </c>
      <c r="AB2090" t="inlineStr">
        <is>
          <t>Copeland_RLA_230_460_3ph_60Hz.xlsx</t>
        </is>
      </c>
      <c r="AC2090" t="inlineStr">
        <is>
          <t>Recip_2D-9R</t>
        </is>
      </c>
    </row>
    <row r="2091">
      <c r="A2091" t="inlineStr">
        <is>
          <t>COPELAND</t>
        </is>
      </c>
      <c r="B2091" t="inlineStr">
        <is>
          <t>8DP3R56ME-TSK</t>
        </is>
      </c>
      <c r="D2091" t="inlineStr">
        <is>
          <t>Reciprocating Semi-hermetic</t>
        </is>
      </c>
      <c r="E2091" s="2" t="n">
        <v>3</v>
      </c>
      <c r="F2091" s="2" t="n">
        <v>60</v>
      </c>
      <c r="G2091" s="2" t="n">
        <v>230</v>
      </c>
      <c r="H2091" t="inlineStr">
        <is>
          <t>208/230</t>
        </is>
      </c>
      <c r="I2091" s="2" t="n">
        <v>208</v>
      </c>
      <c r="J2091" s="2" t="n">
        <v>230</v>
      </c>
      <c r="L2091" s="3" t="n"/>
      <c r="M2091" s="3" t="n"/>
      <c r="N2091" s="3" t="n">
        <v>180</v>
      </c>
      <c r="O2091" s="3" t="n"/>
      <c r="P2091" s="3">
        <f>IF(L2091&lt;&gt;"",L2091/1.4,"")</f>
        <v/>
      </c>
      <c r="Q2091" s="3">
        <f>IF(L2091&lt;&gt;"",L2091/1.56,"")</f>
        <v/>
      </c>
      <c r="R2091" s="3">
        <f>IF(M2091&lt;&gt;"",M2091/1.4,"")</f>
        <v/>
      </c>
      <c r="S2091" s="3">
        <f>IF(M2091&lt;&gt;"",M2091/1.56,"")</f>
        <v/>
      </c>
      <c r="T2091" s="3">
        <f>IF(N2091&lt;&gt;"",N2091,IF(O2091&lt;&gt;"",O2091,IF(L2091&lt;&gt;"",L2091/1.56,IF(M2091&lt;&gt;"",M2091/1.56,""))))</f>
        <v/>
      </c>
      <c r="U2091" s="3" t="n">
        <v>1070</v>
      </c>
      <c r="V2091" s="3" t="n">
        <v>654</v>
      </c>
      <c r="W2091" s="3" t="n"/>
      <c r="X2091" s="4" t="n"/>
      <c r="Y2091" s="5" t="n">
        <v>0.039</v>
      </c>
      <c r="Z2091" s="4">
        <f>IF(L2091&lt;&gt;"",SQRT(3)*G2091*L2091/1000,"")</f>
        <v/>
      </c>
      <c r="AA2091" t="inlineStr">
        <is>
          <t>Source=Copeland 2D/3D/4D/4R/6D/8D/9R compressors (pdf) p112; PWS_RLA=90.0</t>
        </is>
      </c>
      <c r="AB2091" t="inlineStr">
        <is>
          <t>Copeland_RLA_230_460_3ph_60Hz.xlsx</t>
        </is>
      </c>
      <c r="AC2091" t="inlineStr">
        <is>
          <t>Recip_2D-9R</t>
        </is>
      </c>
    </row>
    <row r="2092">
      <c r="A2092" t="inlineStr">
        <is>
          <t>COPELAND</t>
        </is>
      </c>
      <c r="B2092" t="inlineStr">
        <is>
          <t>8DP3R56ME-TSK</t>
        </is>
      </c>
      <c r="D2092" t="inlineStr">
        <is>
          <t>Reciprocating Semi-hermetic</t>
        </is>
      </c>
      <c r="E2092" s="2" t="n">
        <v>3</v>
      </c>
      <c r="F2092" s="2" t="n">
        <v>60</v>
      </c>
      <c r="G2092" s="2" t="n">
        <v>460</v>
      </c>
      <c r="H2092" t="inlineStr">
        <is>
          <t>460</t>
        </is>
      </c>
      <c r="I2092" s="2" t="n">
        <v>460</v>
      </c>
      <c r="J2092" s="2" t="n">
        <v>460</v>
      </c>
      <c r="L2092" s="3" t="n"/>
      <c r="M2092" s="3" t="n"/>
      <c r="N2092" s="3" t="n">
        <v>90</v>
      </c>
      <c r="O2092" s="3" t="n"/>
      <c r="P2092" s="3">
        <f>IF(L2092&lt;&gt;"",L2092/1.4,"")</f>
        <v/>
      </c>
      <c r="Q2092" s="3">
        <f>IF(L2092&lt;&gt;"",L2092/1.56,"")</f>
        <v/>
      </c>
      <c r="R2092" s="3">
        <f>IF(M2092&lt;&gt;"",M2092/1.4,"")</f>
        <v/>
      </c>
      <c r="S2092" s="3">
        <f>IF(M2092&lt;&gt;"",M2092/1.56,"")</f>
        <v/>
      </c>
      <c r="T2092" s="3">
        <f>IF(N2092&lt;&gt;"",N2092,IF(O2092&lt;&gt;"",O2092,IF(L2092&lt;&gt;"",L2092/1.56,IF(M2092&lt;&gt;"",M2092/1.56,""))))</f>
        <v/>
      </c>
      <c r="U2092" s="3" t="n">
        <v>535</v>
      </c>
      <c r="V2092" s="3" t="n"/>
      <c r="W2092" s="3" t="n"/>
      <c r="X2092" s="4" t="n"/>
      <c r="Y2092" s="5" t="n">
        <v>0.156</v>
      </c>
      <c r="Z2092" s="4">
        <f>IF(L2092&lt;&gt;"",SQRT(3)*G2092*L2092/1000,"")</f>
        <v/>
      </c>
      <c r="AA2092" t="inlineStr">
        <is>
          <t>Source=Copeland 2D/3D/4D/4R/6D/8D/9R compressors (pdf) p112</t>
        </is>
      </c>
      <c r="AB2092" t="inlineStr">
        <is>
          <t>Copeland_RLA_230_460_3ph_60Hz.xlsx</t>
        </is>
      </c>
      <c r="AC2092" t="inlineStr">
        <is>
          <t>Recip_2D-9R</t>
        </is>
      </c>
    </row>
    <row r="2093">
      <c r="A2093" t="inlineStr">
        <is>
          <t>COPELAND</t>
        </is>
      </c>
      <c r="B2093" t="inlineStr">
        <is>
          <t>8DP3R56ML-FSD</t>
        </is>
      </c>
      <c r="D2093" t="inlineStr">
        <is>
          <t>Reciprocating Semi-hermetic</t>
        </is>
      </c>
      <c r="E2093" s="2" t="n">
        <v>3</v>
      </c>
      <c r="F2093" s="2" t="n">
        <v>60</v>
      </c>
      <c r="G2093" s="2" t="n">
        <v>460</v>
      </c>
      <c r="H2093" t="inlineStr">
        <is>
          <t>460</t>
        </is>
      </c>
      <c r="I2093" s="2" t="n">
        <v>460</v>
      </c>
      <c r="J2093" s="2" t="n">
        <v>460</v>
      </c>
      <c r="L2093" s="3" t="n"/>
      <c r="M2093" s="3" t="n"/>
      <c r="N2093" s="3" t="n">
        <v>90.7</v>
      </c>
      <c r="O2093" s="3" t="n"/>
      <c r="P2093" s="3">
        <f>IF(L2093&lt;&gt;"",L2093/1.4,"")</f>
        <v/>
      </c>
      <c r="Q2093" s="3">
        <f>IF(L2093&lt;&gt;"",L2093/1.56,"")</f>
        <v/>
      </c>
      <c r="R2093" s="3">
        <f>IF(M2093&lt;&gt;"",M2093/1.4,"")</f>
        <v/>
      </c>
      <c r="S2093" s="3">
        <f>IF(M2093&lt;&gt;"",M2093/1.56,"")</f>
        <v/>
      </c>
      <c r="T2093" s="3">
        <f>IF(N2093&lt;&gt;"",N2093,IF(O2093&lt;&gt;"",O2093,IF(L2093&lt;&gt;"",L2093/1.56,IF(M2093&lt;&gt;"",M2093/1.56,""))))</f>
        <v/>
      </c>
      <c r="U2093" s="3" t="n">
        <v>510</v>
      </c>
      <c r="V2093" s="3" t="n">
        <v>330</v>
      </c>
      <c r="W2093" s="3" t="n"/>
      <c r="X2093" s="4" t="n"/>
      <c r="Y2093" s="5" t="n">
        <v>0.147</v>
      </c>
      <c r="Z2093" s="4">
        <f>IF(L2093&lt;&gt;"",SQRT(3)*G2093*L2093/1000,"")</f>
        <v/>
      </c>
      <c r="AA2093" t="inlineStr">
        <is>
          <t>Source=Copeland 2D/3D/4D/4R/6D/8D/9R compressors (pdf) p112; PWS_RLA=45.5</t>
        </is>
      </c>
      <c r="AB2093" t="inlineStr">
        <is>
          <t>Copeland_RLA_230_460_3ph_60Hz.xlsx</t>
        </is>
      </c>
      <c r="AC2093" t="inlineStr">
        <is>
          <t>Recip_2D-9R</t>
        </is>
      </c>
    </row>
    <row r="2094">
      <c r="A2094" t="inlineStr">
        <is>
          <t>COPELAND</t>
        </is>
      </c>
      <c r="B2094" t="inlineStr">
        <is>
          <t>8DP3R56ML-TSK</t>
        </is>
      </c>
      <c r="D2094" t="inlineStr">
        <is>
          <t>Reciprocating Semi-hermetic</t>
        </is>
      </c>
      <c r="E2094" s="2" t="n">
        <v>3</v>
      </c>
      <c r="F2094" s="2" t="n">
        <v>60</v>
      </c>
      <c r="G2094" s="2" t="n">
        <v>230</v>
      </c>
      <c r="H2094" t="inlineStr">
        <is>
          <t>208/230</t>
        </is>
      </c>
      <c r="I2094" s="2" t="n">
        <v>208</v>
      </c>
      <c r="J2094" s="2" t="n">
        <v>230</v>
      </c>
      <c r="L2094" s="3" t="n"/>
      <c r="M2094" s="3" t="n"/>
      <c r="N2094" s="3" t="n">
        <v>180</v>
      </c>
      <c r="O2094" s="3" t="n"/>
      <c r="P2094" s="3">
        <f>IF(L2094&lt;&gt;"",L2094/1.4,"")</f>
        <v/>
      </c>
      <c r="Q2094" s="3">
        <f>IF(L2094&lt;&gt;"",L2094/1.56,"")</f>
        <v/>
      </c>
      <c r="R2094" s="3">
        <f>IF(M2094&lt;&gt;"",M2094/1.4,"")</f>
        <v/>
      </c>
      <c r="S2094" s="3">
        <f>IF(M2094&lt;&gt;"",M2094/1.56,"")</f>
        <v/>
      </c>
      <c r="T2094" s="3">
        <f>IF(N2094&lt;&gt;"",N2094,IF(O2094&lt;&gt;"",O2094,IF(L2094&lt;&gt;"",L2094/1.56,IF(M2094&lt;&gt;"",M2094/1.56,""))))</f>
        <v/>
      </c>
      <c r="U2094" s="3" t="n">
        <v>1070</v>
      </c>
      <c r="V2094" s="3" t="n">
        <v>654</v>
      </c>
      <c r="W2094" s="3" t="n"/>
      <c r="X2094" s="4" t="n"/>
      <c r="Y2094" s="5" t="n">
        <v>0.039</v>
      </c>
      <c r="Z2094" s="4">
        <f>IF(L2094&lt;&gt;"",SQRT(3)*G2094*L2094/1000,"")</f>
        <v/>
      </c>
      <c r="AA2094" t="inlineStr">
        <is>
          <t>Source=Copeland 2D/3D/4D/4R/6D/8D/9R compressors (pdf) p112; PWS_RLA=90.0</t>
        </is>
      </c>
      <c r="AB2094" t="inlineStr">
        <is>
          <t>Copeland_RLA_230_460_3ph_60Hz.xlsx</t>
        </is>
      </c>
      <c r="AC2094" t="inlineStr">
        <is>
          <t>Recip_2D-9R</t>
        </is>
      </c>
    </row>
    <row r="2095">
      <c r="A2095" t="inlineStr">
        <is>
          <t>COPELAND</t>
        </is>
      </c>
      <c r="B2095" t="inlineStr">
        <is>
          <t>8DP3R56ML-TSK</t>
        </is>
      </c>
      <c r="D2095" t="inlineStr">
        <is>
          <t>Reciprocating Semi-hermetic</t>
        </is>
      </c>
      <c r="E2095" s="2" t="n">
        <v>3</v>
      </c>
      <c r="F2095" s="2" t="n">
        <v>60</v>
      </c>
      <c r="G2095" s="2" t="n">
        <v>460</v>
      </c>
      <c r="H2095" t="inlineStr">
        <is>
          <t>460</t>
        </is>
      </c>
      <c r="I2095" s="2" t="n">
        <v>460</v>
      </c>
      <c r="J2095" s="2" t="n">
        <v>460</v>
      </c>
      <c r="L2095" s="3" t="n"/>
      <c r="M2095" s="3" t="n"/>
      <c r="N2095" s="3" t="n">
        <v>90</v>
      </c>
      <c r="O2095" s="3" t="n"/>
      <c r="P2095" s="3">
        <f>IF(L2095&lt;&gt;"",L2095/1.4,"")</f>
        <v/>
      </c>
      <c r="Q2095" s="3">
        <f>IF(L2095&lt;&gt;"",L2095/1.56,"")</f>
        <v/>
      </c>
      <c r="R2095" s="3">
        <f>IF(M2095&lt;&gt;"",M2095/1.4,"")</f>
        <v/>
      </c>
      <c r="S2095" s="3">
        <f>IF(M2095&lt;&gt;"",M2095/1.56,"")</f>
        <v/>
      </c>
      <c r="T2095" s="3">
        <f>IF(N2095&lt;&gt;"",N2095,IF(O2095&lt;&gt;"",O2095,IF(L2095&lt;&gt;"",L2095/1.56,IF(M2095&lt;&gt;"",M2095/1.56,""))))</f>
        <v/>
      </c>
      <c r="U2095" s="3" t="n">
        <v>535</v>
      </c>
      <c r="V2095" s="3" t="n"/>
      <c r="W2095" s="3" t="n"/>
      <c r="X2095" s="4" t="n"/>
      <c r="Y2095" s="5" t="n">
        <v>0.156</v>
      </c>
      <c r="Z2095" s="4">
        <f>IF(L2095&lt;&gt;"",SQRT(3)*G2095*L2095/1000,"")</f>
        <v/>
      </c>
      <c r="AA2095" t="inlineStr">
        <is>
          <t>Source=Copeland 2D/3D/4D/4R/6D/8D/9R compressors (pdf) p112</t>
        </is>
      </c>
      <c r="AB2095" t="inlineStr">
        <is>
          <t>Copeland_RLA_230_460_3ph_60Hz.xlsx</t>
        </is>
      </c>
      <c r="AC2095" t="inlineStr">
        <is>
          <t>Recip_2D-9R</t>
        </is>
      </c>
    </row>
    <row r="2096">
      <c r="A2096" t="inlineStr">
        <is>
          <t>COPELAND</t>
        </is>
      </c>
      <c r="B2096" t="inlineStr">
        <is>
          <t>8DPG-5000-FSD</t>
        </is>
      </c>
      <c r="D2096" t="inlineStr">
        <is>
          <t>Reciprocating Semi-hermetic</t>
        </is>
      </c>
      <c r="E2096" s="2" t="n">
        <v>3</v>
      </c>
      <c r="F2096" s="2" t="n">
        <v>60</v>
      </c>
      <c r="G2096" s="2" t="n">
        <v>460</v>
      </c>
      <c r="H2096" t="inlineStr">
        <is>
          <t>460</t>
        </is>
      </c>
      <c r="I2096" s="2" t="n">
        <v>460</v>
      </c>
      <c r="J2096" s="2" t="n">
        <v>460</v>
      </c>
      <c r="L2096" s="3" t="n"/>
      <c r="M2096" s="3" t="n"/>
      <c r="N2096" s="3" t="n">
        <v>90.7</v>
      </c>
      <c r="O2096" s="3" t="n"/>
      <c r="P2096" s="3">
        <f>IF(L2096&lt;&gt;"",L2096/1.4,"")</f>
        <v/>
      </c>
      <c r="Q2096" s="3">
        <f>IF(L2096&lt;&gt;"",L2096/1.56,"")</f>
        <v/>
      </c>
      <c r="R2096" s="3">
        <f>IF(M2096&lt;&gt;"",M2096/1.4,"")</f>
        <v/>
      </c>
      <c r="S2096" s="3">
        <f>IF(M2096&lt;&gt;"",M2096/1.56,"")</f>
        <v/>
      </c>
      <c r="T2096" s="3">
        <f>IF(N2096&lt;&gt;"",N2096,IF(O2096&lt;&gt;"",O2096,IF(L2096&lt;&gt;"",L2096/1.56,IF(M2096&lt;&gt;"",M2096/1.56,""))))</f>
        <v/>
      </c>
      <c r="U2096" s="3" t="n">
        <v>510</v>
      </c>
      <c r="V2096" s="3" t="n">
        <v>330</v>
      </c>
      <c r="W2096" s="3" t="n"/>
      <c r="X2096" s="4" t="n"/>
      <c r="Y2096" s="5" t="n">
        <v>0.147</v>
      </c>
      <c r="Z2096" s="4">
        <f>IF(L2096&lt;&gt;"",SQRT(3)*G2096*L2096/1000,"")</f>
        <v/>
      </c>
      <c r="AA2096" t="inlineStr">
        <is>
          <t>Source=Copeland 2D/3D/4D/4R/6D/8D/9R compressors (pdf) p112; PWS_RLA=45.5</t>
        </is>
      </c>
      <c r="AB2096" t="inlineStr">
        <is>
          <t>Copeland_RLA_230_460_3ph_60Hz.xlsx</t>
        </is>
      </c>
      <c r="AC2096" t="inlineStr">
        <is>
          <t>Recip_2D-9R</t>
        </is>
      </c>
    </row>
    <row r="2097">
      <c r="A2097" t="inlineStr">
        <is>
          <t>COPELAND</t>
        </is>
      </c>
      <c r="B2097" t="inlineStr">
        <is>
          <t>8DS1-6000-FSD</t>
        </is>
      </c>
      <c r="D2097" t="inlineStr">
        <is>
          <t>Reciprocating Semi-hermetic</t>
        </is>
      </c>
      <c r="E2097" s="2" t="n">
        <v>3</v>
      </c>
      <c r="F2097" s="2" t="n">
        <v>60</v>
      </c>
      <c r="G2097" s="2" t="n">
        <v>460</v>
      </c>
      <c r="H2097" t="inlineStr">
        <is>
          <t>460</t>
        </is>
      </c>
      <c r="I2097" s="2" t="n">
        <v>460</v>
      </c>
      <c r="J2097" s="2" t="n">
        <v>460</v>
      </c>
      <c r="L2097" s="3" t="n"/>
      <c r="M2097" s="3" t="n"/>
      <c r="N2097" s="3" t="n">
        <v>96.40000000000001</v>
      </c>
      <c r="O2097" s="3" t="n"/>
      <c r="P2097" s="3">
        <f>IF(L2097&lt;&gt;"",L2097/1.4,"")</f>
        <v/>
      </c>
      <c r="Q2097" s="3">
        <f>IF(L2097&lt;&gt;"",L2097/1.56,"")</f>
        <v/>
      </c>
      <c r="R2097" s="3">
        <f>IF(M2097&lt;&gt;"",M2097/1.4,"")</f>
        <v/>
      </c>
      <c r="S2097" s="3">
        <f>IF(M2097&lt;&gt;"",M2097/1.56,"")</f>
        <v/>
      </c>
      <c r="T2097" s="3">
        <f>IF(N2097&lt;&gt;"",N2097,IF(O2097&lt;&gt;"",O2097,IF(L2097&lt;&gt;"",L2097/1.56,IF(M2097&lt;&gt;"",M2097/1.56,""))))</f>
        <v/>
      </c>
      <c r="U2097" s="3" t="n">
        <v>510</v>
      </c>
      <c r="V2097" s="3" t="n">
        <v>330</v>
      </c>
      <c r="W2097" s="3" t="n"/>
      <c r="X2097" s="4" t="n"/>
      <c r="Y2097" s="5" t="n">
        <v>0.147</v>
      </c>
      <c r="Z2097" s="4">
        <f>IF(L2097&lt;&gt;"",SQRT(3)*G2097*L2097/1000,"")</f>
        <v/>
      </c>
      <c r="AA2097" t="inlineStr">
        <is>
          <t>Source=Copeland 2D/3D/4D/4R/6D/8D/9R compressors (pdf) p112; PWS_RLA=48.3</t>
        </is>
      </c>
      <c r="AB2097" t="inlineStr">
        <is>
          <t>Copeland_RLA_230_460_3ph_60Hz.xlsx</t>
        </is>
      </c>
      <c r="AC2097" t="inlineStr">
        <is>
          <t>Recip_2D-9R</t>
        </is>
      </c>
    </row>
    <row r="2098">
      <c r="A2098" t="inlineStr">
        <is>
          <t>COPELAND</t>
        </is>
      </c>
      <c r="B2098" t="inlineStr">
        <is>
          <t>8DS1-6000-TSK</t>
        </is>
      </c>
      <c r="D2098" t="inlineStr">
        <is>
          <t>Reciprocating Semi-hermetic</t>
        </is>
      </c>
      <c r="E2098" s="2" t="n">
        <v>3</v>
      </c>
      <c r="F2098" s="2" t="n">
        <v>60</v>
      </c>
      <c r="G2098" s="2" t="n">
        <v>230</v>
      </c>
      <c r="H2098" t="inlineStr">
        <is>
          <t>208/230</t>
        </is>
      </c>
      <c r="I2098" s="2" t="n">
        <v>208</v>
      </c>
      <c r="J2098" s="2" t="n">
        <v>230</v>
      </c>
      <c r="L2098" s="3" t="n"/>
      <c r="M2098" s="3" t="n"/>
      <c r="N2098" s="3" t="n">
        <v>224.3</v>
      </c>
      <c r="O2098" s="3" t="n"/>
      <c r="P2098" s="3">
        <f>IF(L2098&lt;&gt;"",L2098/1.4,"")</f>
        <v/>
      </c>
      <c r="Q2098" s="3">
        <f>IF(L2098&lt;&gt;"",L2098/1.56,"")</f>
        <v/>
      </c>
      <c r="R2098" s="3">
        <f>IF(M2098&lt;&gt;"",M2098/1.4,"")</f>
        <v/>
      </c>
      <c r="S2098" s="3">
        <f>IF(M2098&lt;&gt;"",M2098/1.56,"")</f>
        <v/>
      </c>
      <c r="T2098" s="3">
        <f>IF(N2098&lt;&gt;"",N2098,IF(O2098&lt;&gt;"",O2098,IF(L2098&lt;&gt;"",L2098/1.56,IF(M2098&lt;&gt;"",M2098/1.56,""))))</f>
        <v/>
      </c>
      <c r="U2098" s="3" t="n">
        <v>1070</v>
      </c>
      <c r="V2098" s="3" t="n">
        <v>654</v>
      </c>
      <c r="W2098" s="3" t="n"/>
      <c r="X2098" s="4" t="n"/>
      <c r="Y2098" s="5" t="n">
        <v>0.039</v>
      </c>
      <c r="Z2098" s="4">
        <f>IF(L2098&lt;&gt;"",SQRT(3)*G2098*L2098/1000,"")</f>
        <v/>
      </c>
      <c r="AA2098" t="inlineStr">
        <is>
          <t>Source=Copeland 2D/3D/4D/4R/6D/8D/9R compressors (pdf) p112; PWS_RLA=112.0</t>
        </is>
      </c>
      <c r="AB2098" t="inlineStr">
        <is>
          <t>Copeland_RLA_230_460_3ph_60Hz.xlsx</t>
        </is>
      </c>
      <c r="AC2098" t="inlineStr">
        <is>
          <t>Recip_2D-9R</t>
        </is>
      </c>
    </row>
    <row r="2099">
      <c r="A2099" t="inlineStr">
        <is>
          <t>COPELAND</t>
        </is>
      </c>
      <c r="B2099" t="inlineStr">
        <is>
          <t>8DS1-6000-TSK</t>
        </is>
      </c>
      <c r="D2099" t="inlineStr">
        <is>
          <t>Reciprocating Semi-hermetic</t>
        </is>
      </c>
      <c r="E2099" s="2" t="n">
        <v>3</v>
      </c>
      <c r="F2099" s="2" t="n">
        <v>60</v>
      </c>
      <c r="G2099" s="2" t="n">
        <v>460</v>
      </c>
      <c r="H2099" t="inlineStr">
        <is>
          <t>460</t>
        </is>
      </c>
      <c r="I2099" s="2" t="n">
        <v>460</v>
      </c>
      <c r="J2099" s="2" t="n">
        <v>460</v>
      </c>
      <c r="L2099" s="3" t="n"/>
      <c r="M2099" s="3" t="n"/>
      <c r="N2099" s="3" t="n">
        <v>112.1</v>
      </c>
      <c r="O2099" s="3" t="n"/>
      <c r="P2099" s="3">
        <f>IF(L2099&lt;&gt;"",L2099/1.4,"")</f>
        <v/>
      </c>
      <c r="Q2099" s="3">
        <f>IF(L2099&lt;&gt;"",L2099/1.56,"")</f>
        <v/>
      </c>
      <c r="R2099" s="3">
        <f>IF(M2099&lt;&gt;"",M2099/1.4,"")</f>
        <v/>
      </c>
      <c r="S2099" s="3">
        <f>IF(M2099&lt;&gt;"",M2099/1.56,"")</f>
        <v/>
      </c>
      <c r="T2099" s="3">
        <f>IF(N2099&lt;&gt;"",N2099,IF(O2099&lt;&gt;"",O2099,IF(L2099&lt;&gt;"",L2099/1.56,IF(M2099&lt;&gt;"",M2099/1.56,""))))</f>
        <v/>
      </c>
      <c r="U2099" s="3" t="n">
        <v>535</v>
      </c>
      <c r="V2099" s="3" t="n"/>
      <c r="W2099" s="3" t="n"/>
      <c r="X2099" s="4" t="n"/>
      <c r="Y2099" s="5" t="n">
        <v>0.156</v>
      </c>
      <c r="Z2099" s="4">
        <f>IF(L2099&lt;&gt;"",SQRT(3)*G2099*L2099/1000,"")</f>
        <v/>
      </c>
      <c r="AA2099" t="inlineStr">
        <is>
          <t>Source=Copeland 2D/3D/4D/4R/6D/8D/9R compressors (pdf) p112</t>
        </is>
      </c>
      <c r="AB2099" t="inlineStr">
        <is>
          <t>Copeland_RLA_230_460_3ph_60Hz.xlsx</t>
        </is>
      </c>
      <c r="AC2099" t="inlineStr">
        <is>
          <t>Recip_2D-9R</t>
        </is>
      </c>
    </row>
    <row r="2100">
      <c r="A2100" t="inlineStr">
        <is>
          <t>COPELAND</t>
        </is>
      </c>
      <c r="B2100" t="inlineStr">
        <is>
          <t>8DS1R67M0-FSD</t>
        </is>
      </c>
      <c r="D2100" t="inlineStr">
        <is>
          <t>Reciprocating Semi-hermetic</t>
        </is>
      </c>
      <c r="E2100" s="2" t="n">
        <v>3</v>
      </c>
      <c r="F2100" s="2" t="n">
        <v>60</v>
      </c>
      <c r="G2100" s="2" t="n">
        <v>460</v>
      </c>
      <c r="H2100" t="inlineStr">
        <is>
          <t>460</t>
        </is>
      </c>
      <c r="I2100" s="2" t="n">
        <v>460</v>
      </c>
      <c r="J2100" s="2" t="n">
        <v>460</v>
      </c>
      <c r="L2100" s="3" t="n"/>
      <c r="M2100" s="3" t="n"/>
      <c r="N2100" s="3" t="n">
        <v>96.40000000000001</v>
      </c>
      <c r="O2100" s="3" t="n"/>
      <c r="P2100" s="3">
        <f>IF(L2100&lt;&gt;"",L2100/1.4,"")</f>
        <v/>
      </c>
      <c r="Q2100" s="3">
        <f>IF(L2100&lt;&gt;"",L2100/1.56,"")</f>
        <v/>
      </c>
      <c r="R2100" s="3">
        <f>IF(M2100&lt;&gt;"",M2100/1.4,"")</f>
        <v/>
      </c>
      <c r="S2100" s="3">
        <f>IF(M2100&lt;&gt;"",M2100/1.56,"")</f>
        <v/>
      </c>
      <c r="T2100" s="3">
        <f>IF(N2100&lt;&gt;"",N2100,IF(O2100&lt;&gt;"",O2100,IF(L2100&lt;&gt;"",L2100/1.56,IF(M2100&lt;&gt;"",M2100/1.56,""))))</f>
        <v/>
      </c>
      <c r="U2100" s="3" t="n">
        <v>510</v>
      </c>
      <c r="V2100" s="3" t="n">
        <v>330</v>
      </c>
      <c r="W2100" s="3" t="n"/>
      <c r="X2100" s="4" t="n"/>
      <c r="Y2100" s="5" t="n">
        <v>0.147</v>
      </c>
      <c r="Z2100" s="4">
        <f>IF(L2100&lt;&gt;"",SQRT(3)*G2100*L2100/1000,"")</f>
        <v/>
      </c>
      <c r="AA2100" t="inlineStr">
        <is>
          <t>Source=Copeland 2D/3D/4D/4R/6D/8D/9R compressors (pdf) p112; PWS_RLA=48.3</t>
        </is>
      </c>
      <c r="AB2100" t="inlineStr">
        <is>
          <t>Copeland_RLA_230_460_3ph_60Hz.xlsx</t>
        </is>
      </c>
      <c r="AC2100" t="inlineStr">
        <is>
          <t>Recip_2D-9R</t>
        </is>
      </c>
    </row>
    <row r="2101">
      <c r="A2101" t="inlineStr">
        <is>
          <t>COPELAND</t>
        </is>
      </c>
      <c r="B2101" t="inlineStr">
        <is>
          <t>8DS1R67M0-TSK</t>
        </is>
      </c>
      <c r="D2101" t="inlineStr">
        <is>
          <t>Reciprocating Semi-hermetic</t>
        </is>
      </c>
      <c r="E2101" s="2" t="n">
        <v>3</v>
      </c>
      <c r="F2101" s="2" t="n">
        <v>60</v>
      </c>
      <c r="G2101" s="2" t="n">
        <v>230</v>
      </c>
      <c r="H2101" t="inlineStr">
        <is>
          <t>208/230</t>
        </is>
      </c>
      <c r="I2101" s="2" t="n">
        <v>208</v>
      </c>
      <c r="J2101" s="2" t="n">
        <v>230</v>
      </c>
      <c r="L2101" s="3" t="n"/>
      <c r="M2101" s="3" t="n"/>
      <c r="N2101" s="3" t="n">
        <v>224.3</v>
      </c>
      <c r="O2101" s="3" t="n"/>
      <c r="P2101" s="3">
        <f>IF(L2101&lt;&gt;"",L2101/1.4,"")</f>
        <v/>
      </c>
      <c r="Q2101" s="3">
        <f>IF(L2101&lt;&gt;"",L2101/1.56,"")</f>
        <v/>
      </c>
      <c r="R2101" s="3">
        <f>IF(M2101&lt;&gt;"",M2101/1.4,"")</f>
        <v/>
      </c>
      <c r="S2101" s="3">
        <f>IF(M2101&lt;&gt;"",M2101/1.56,"")</f>
        <v/>
      </c>
      <c r="T2101" s="3">
        <f>IF(N2101&lt;&gt;"",N2101,IF(O2101&lt;&gt;"",O2101,IF(L2101&lt;&gt;"",L2101/1.56,IF(M2101&lt;&gt;"",M2101/1.56,""))))</f>
        <v/>
      </c>
      <c r="U2101" s="3" t="n">
        <v>1070</v>
      </c>
      <c r="V2101" s="3" t="n">
        <v>654</v>
      </c>
      <c r="W2101" s="3" t="n"/>
      <c r="X2101" s="4" t="n"/>
      <c r="Y2101" s="5" t="n">
        <v>0.039</v>
      </c>
      <c r="Z2101" s="4">
        <f>IF(L2101&lt;&gt;"",SQRT(3)*G2101*L2101/1000,"")</f>
        <v/>
      </c>
      <c r="AA2101" t="inlineStr">
        <is>
          <t>Source=Copeland 2D/3D/4D/4R/6D/8D/9R compressors (pdf) p113; PWS_RLA=112.0</t>
        </is>
      </c>
      <c r="AB2101" t="inlineStr">
        <is>
          <t>Copeland_RLA_230_460_3ph_60Hz.xlsx</t>
        </is>
      </c>
      <c r="AC2101" t="inlineStr">
        <is>
          <t>Recip_2D-9R</t>
        </is>
      </c>
    </row>
    <row r="2102">
      <c r="A2102" t="inlineStr">
        <is>
          <t>COPELAND</t>
        </is>
      </c>
      <c r="B2102" t="inlineStr">
        <is>
          <t>8DS1R67M0-TSK</t>
        </is>
      </c>
      <c r="D2102" t="inlineStr">
        <is>
          <t>Reciprocating Semi-hermetic</t>
        </is>
      </c>
      <c r="E2102" s="2" t="n">
        <v>3</v>
      </c>
      <c r="F2102" s="2" t="n">
        <v>60</v>
      </c>
      <c r="G2102" s="2" t="n">
        <v>460</v>
      </c>
      <c r="H2102" t="inlineStr">
        <is>
          <t>460</t>
        </is>
      </c>
      <c r="I2102" s="2" t="n">
        <v>460</v>
      </c>
      <c r="J2102" s="2" t="n">
        <v>460</v>
      </c>
      <c r="L2102" s="3" t="n"/>
      <c r="M2102" s="3" t="n"/>
      <c r="N2102" s="3" t="n">
        <v>112.1</v>
      </c>
      <c r="O2102" s="3" t="n"/>
      <c r="P2102" s="3">
        <f>IF(L2102&lt;&gt;"",L2102/1.4,"")</f>
        <v/>
      </c>
      <c r="Q2102" s="3">
        <f>IF(L2102&lt;&gt;"",L2102/1.56,"")</f>
        <v/>
      </c>
      <c r="R2102" s="3">
        <f>IF(M2102&lt;&gt;"",M2102/1.4,"")</f>
        <v/>
      </c>
      <c r="S2102" s="3">
        <f>IF(M2102&lt;&gt;"",M2102/1.56,"")</f>
        <v/>
      </c>
      <c r="T2102" s="3">
        <f>IF(N2102&lt;&gt;"",N2102,IF(O2102&lt;&gt;"",O2102,IF(L2102&lt;&gt;"",L2102/1.56,IF(M2102&lt;&gt;"",M2102/1.56,""))))</f>
        <v/>
      </c>
      <c r="U2102" s="3" t="n">
        <v>535</v>
      </c>
      <c r="V2102" s="3" t="n"/>
      <c r="W2102" s="3" t="n"/>
      <c r="X2102" s="4" t="n"/>
      <c r="Y2102" s="5" t="n">
        <v>0.156</v>
      </c>
      <c r="Z2102" s="4">
        <f>IF(L2102&lt;&gt;"",SQRT(3)*G2102*L2102/1000,"")</f>
        <v/>
      </c>
      <c r="AA2102" t="inlineStr">
        <is>
          <t>Source=Copeland 2D/3D/4D/4R/6D/8D/9R compressors (pdf) p113</t>
        </is>
      </c>
      <c r="AB2102" t="inlineStr">
        <is>
          <t>Copeland_RLA_230_460_3ph_60Hz.xlsx</t>
        </is>
      </c>
      <c r="AC2102" t="inlineStr">
        <is>
          <t>Recip_2D-9R</t>
        </is>
      </c>
    </row>
    <row r="2103">
      <c r="A2103" t="inlineStr">
        <is>
          <t>COPELAND</t>
        </is>
      </c>
      <c r="B2103" t="inlineStr">
        <is>
          <t>8DS3-6000-FSD</t>
        </is>
      </c>
      <c r="D2103" t="inlineStr">
        <is>
          <t>Reciprocating Semi-hermetic</t>
        </is>
      </c>
      <c r="E2103" s="2" t="n">
        <v>3</v>
      </c>
      <c r="F2103" s="2" t="n">
        <v>60</v>
      </c>
      <c r="G2103" s="2" t="n">
        <v>460</v>
      </c>
      <c r="H2103" t="inlineStr">
        <is>
          <t>460</t>
        </is>
      </c>
      <c r="I2103" s="2" t="n">
        <v>460</v>
      </c>
      <c r="J2103" s="2" t="n">
        <v>460</v>
      </c>
      <c r="L2103" s="3" t="n"/>
      <c r="M2103" s="3" t="n"/>
      <c r="N2103" s="3" t="n">
        <v>96.40000000000001</v>
      </c>
      <c r="O2103" s="3" t="n"/>
      <c r="P2103" s="3">
        <f>IF(L2103&lt;&gt;"",L2103/1.4,"")</f>
        <v/>
      </c>
      <c r="Q2103" s="3">
        <f>IF(L2103&lt;&gt;"",L2103/1.56,"")</f>
        <v/>
      </c>
      <c r="R2103" s="3">
        <f>IF(M2103&lt;&gt;"",M2103/1.4,"")</f>
        <v/>
      </c>
      <c r="S2103" s="3">
        <f>IF(M2103&lt;&gt;"",M2103/1.56,"")</f>
        <v/>
      </c>
      <c r="T2103" s="3">
        <f>IF(N2103&lt;&gt;"",N2103,IF(O2103&lt;&gt;"",O2103,IF(L2103&lt;&gt;"",L2103/1.56,IF(M2103&lt;&gt;"",M2103/1.56,""))))</f>
        <v/>
      </c>
      <c r="U2103" s="3" t="n">
        <v>510</v>
      </c>
      <c r="V2103" s="3" t="n">
        <v>330</v>
      </c>
      <c r="W2103" s="3" t="n"/>
      <c r="X2103" s="4" t="n"/>
      <c r="Y2103" s="5" t="n">
        <v>0.147</v>
      </c>
      <c r="Z2103" s="4">
        <f>IF(L2103&lt;&gt;"",SQRT(3)*G2103*L2103/1000,"")</f>
        <v/>
      </c>
      <c r="AA2103" t="inlineStr">
        <is>
          <t>Source=Copeland 2D/3D/4D/4R/6D/8D/9R compressors (pdf) p113; PWS_RLA=48.3</t>
        </is>
      </c>
      <c r="AB2103" t="inlineStr">
        <is>
          <t>Copeland_RLA_230_460_3ph_60Hz.xlsx</t>
        </is>
      </c>
      <c r="AC2103" t="inlineStr">
        <is>
          <t>Recip_2D-9R</t>
        </is>
      </c>
    </row>
    <row r="2104">
      <c r="A2104" t="inlineStr">
        <is>
          <t>COPELAND</t>
        </is>
      </c>
      <c r="B2104" t="inlineStr">
        <is>
          <t>8DS3-6000-TSK</t>
        </is>
      </c>
      <c r="D2104" t="inlineStr">
        <is>
          <t>Reciprocating Semi-hermetic</t>
        </is>
      </c>
      <c r="E2104" s="2" t="n">
        <v>3</v>
      </c>
      <c r="F2104" s="2" t="n">
        <v>60</v>
      </c>
      <c r="G2104" s="2" t="n">
        <v>230</v>
      </c>
      <c r="H2104" t="inlineStr">
        <is>
          <t>208/230</t>
        </is>
      </c>
      <c r="I2104" s="2" t="n">
        <v>208</v>
      </c>
      <c r="J2104" s="2" t="n">
        <v>230</v>
      </c>
      <c r="L2104" s="3" t="n"/>
      <c r="M2104" s="3" t="n"/>
      <c r="N2104" s="3" t="n">
        <v>224.3</v>
      </c>
      <c r="O2104" s="3" t="n"/>
      <c r="P2104" s="3">
        <f>IF(L2104&lt;&gt;"",L2104/1.4,"")</f>
        <v/>
      </c>
      <c r="Q2104" s="3">
        <f>IF(L2104&lt;&gt;"",L2104/1.56,"")</f>
        <v/>
      </c>
      <c r="R2104" s="3">
        <f>IF(M2104&lt;&gt;"",M2104/1.4,"")</f>
        <v/>
      </c>
      <c r="S2104" s="3">
        <f>IF(M2104&lt;&gt;"",M2104/1.56,"")</f>
        <v/>
      </c>
      <c r="T2104" s="3">
        <f>IF(N2104&lt;&gt;"",N2104,IF(O2104&lt;&gt;"",O2104,IF(L2104&lt;&gt;"",L2104/1.56,IF(M2104&lt;&gt;"",M2104/1.56,""))))</f>
        <v/>
      </c>
      <c r="U2104" s="3" t="n">
        <v>1070</v>
      </c>
      <c r="V2104" s="3" t="n">
        <v>654</v>
      </c>
      <c r="W2104" s="3" t="n"/>
      <c r="X2104" s="4" t="n"/>
      <c r="Y2104" s="5" t="n">
        <v>0.039</v>
      </c>
      <c r="Z2104" s="4">
        <f>IF(L2104&lt;&gt;"",SQRT(3)*G2104*L2104/1000,"")</f>
        <v/>
      </c>
      <c r="AA2104" t="inlineStr">
        <is>
          <t>Source=Copeland 2D/3D/4D/4R/6D/8D/9R compressors (pdf) p113; PWS_RLA=112.0</t>
        </is>
      </c>
      <c r="AB2104" t="inlineStr">
        <is>
          <t>Copeland_RLA_230_460_3ph_60Hz.xlsx</t>
        </is>
      </c>
      <c r="AC2104" t="inlineStr">
        <is>
          <t>Recip_2D-9R</t>
        </is>
      </c>
    </row>
    <row r="2105">
      <c r="A2105" t="inlineStr">
        <is>
          <t>COPELAND</t>
        </is>
      </c>
      <c r="B2105" t="inlineStr">
        <is>
          <t>8DS3-6000-TSK</t>
        </is>
      </c>
      <c r="D2105" t="inlineStr">
        <is>
          <t>Reciprocating Semi-hermetic</t>
        </is>
      </c>
      <c r="E2105" s="2" t="n">
        <v>3</v>
      </c>
      <c r="F2105" s="2" t="n">
        <v>60</v>
      </c>
      <c r="G2105" s="2" t="n">
        <v>460</v>
      </c>
      <c r="H2105" t="inlineStr">
        <is>
          <t>460</t>
        </is>
      </c>
      <c r="I2105" s="2" t="n">
        <v>460</v>
      </c>
      <c r="J2105" s="2" t="n">
        <v>460</v>
      </c>
      <c r="L2105" s="3" t="n"/>
      <c r="M2105" s="3" t="n"/>
      <c r="N2105" s="3" t="n">
        <v>112.1</v>
      </c>
      <c r="O2105" s="3" t="n"/>
      <c r="P2105" s="3">
        <f>IF(L2105&lt;&gt;"",L2105/1.4,"")</f>
        <v/>
      </c>
      <c r="Q2105" s="3">
        <f>IF(L2105&lt;&gt;"",L2105/1.56,"")</f>
        <v/>
      </c>
      <c r="R2105" s="3">
        <f>IF(M2105&lt;&gt;"",M2105/1.4,"")</f>
        <v/>
      </c>
      <c r="S2105" s="3">
        <f>IF(M2105&lt;&gt;"",M2105/1.56,"")</f>
        <v/>
      </c>
      <c r="T2105" s="3">
        <f>IF(N2105&lt;&gt;"",N2105,IF(O2105&lt;&gt;"",O2105,IF(L2105&lt;&gt;"",L2105/1.56,IF(M2105&lt;&gt;"",M2105/1.56,""))))</f>
        <v/>
      </c>
      <c r="U2105" s="3" t="n">
        <v>535</v>
      </c>
      <c r="V2105" s="3" t="n"/>
      <c r="W2105" s="3" t="n"/>
      <c r="X2105" s="4" t="n"/>
      <c r="Y2105" s="5" t="n">
        <v>0.156</v>
      </c>
      <c r="Z2105" s="4">
        <f>IF(L2105&lt;&gt;"",SQRT(3)*G2105*L2105/1000,"")</f>
        <v/>
      </c>
      <c r="AA2105" t="inlineStr">
        <is>
          <t>Source=Copeland 2D/3D/4D/4R/6D/8D/9R compressors (pdf) p113</t>
        </is>
      </c>
      <c r="AB2105" t="inlineStr">
        <is>
          <t>Copeland_RLA_230_460_3ph_60Hz.xlsx</t>
        </is>
      </c>
      <c r="AC2105" t="inlineStr">
        <is>
          <t>Recip_2D-9R</t>
        </is>
      </c>
    </row>
    <row r="2106">
      <c r="A2106" t="inlineStr">
        <is>
          <t>COPELAND</t>
        </is>
      </c>
      <c r="B2106" t="inlineStr">
        <is>
          <t>8DS3-600E-FSD</t>
        </is>
      </c>
      <c r="D2106" t="inlineStr">
        <is>
          <t>Reciprocating Semi-hermetic</t>
        </is>
      </c>
      <c r="E2106" s="2" t="n">
        <v>3</v>
      </c>
      <c r="F2106" s="2" t="n">
        <v>60</v>
      </c>
      <c r="G2106" s="2" t="n">
        <v>460</v>
      </c>
      <c r="H2106" t="inlineStr">
        <is>
          <t>460</t>
        </is>
      </c>
      <c r="I2106" s="2" t="n">
        <v>460</v>
      </c>
      <c r="J2106" s="2" t="n">
        <v>460</v>
      </c>
      <c r="L2106" s="3" t="n"/>
      <c r="M2106" s="3" t="n"/>
      <c r="N2106" s="3" t="n">
        <v>96.40000000000001</v>
      </c>
      <c r="O2106" s="3" t="n"/>
      <c r="P2106" s="3">
        <f>IF(L2106&lt;&gt;"",L2106/1.4,"")</f>
        <v/>
      </c>
      <c r="Q2106" s="3">
        <f>IF(L2106&lt;&gt;"",L2106/1.56,"")</f>
        <v/>
      </c>
      <c r="R2106" s="3">
        <f>IF(M2106&lt;&gt;"",M2106/1.4,"")</f>
        <v/>
      </c>
      <c r="S2106" s="3">
        <f>IF(M2106&lt;&gt;"",M2106/1.56,"")</f>
        <v/>
      </c>
      <c r="T2106" s="3">
        <f>IF(N2106&lt;&gt;"",N2106,IF(O2106&lt;&gt;"",O2106,IF(L2106&lt;&gt;"",L2106/1.56,IF(M2106&lt;&gt;"",M2106/1.56,""))))</f>
        <v/>
      </c>
      <c r="U2106" s="3" t="n">
        <v>510</v>
      </c>
      <c r="V2106" s="3" t="n">
        <v>330</v>
      </c>
      <c r="W2106" s="3" t="n"/>
      <c r="X2106" s="4" t="n"/>
      <c r="Y2106" s="5" t="n">
        <v>0.147</v>
      </c>
      <c r="Z2106" s="4">
        <f>IF(L2106&lt;&gt;"",SQRT(3)*G2106*L2106/1000,"")</f>
        <v/>
      </c>
      <c r="AA2106" t="inlineStr">
        <is>
          <t>Source=Copeland 2D/3D/4D/4R/6D/8D/9R compressors (pdf) p113; PWS_RLA=48.3</t>
        </is>
      </c>
      <c r="AB2106" t="inlineStr">
        <is>
          <t>Copeland_RLA_230_460_3ph_60Hz.xlsx</t>
        </is>
      </c>
      <c r="AC2106" t="inlineStr">
        <is>
          <t>Recip_2D-9R</t>
        </is>
      </c>
    </row>
    <row r="2107">
      <c r="A2107" t="inlineStr">
        <is>
          <t>COPELAND</t>
        </is>
      </c>
      <c r="B2107" t="inlineStr">
        <is>
          <t>8DS3-600E-TSK</t>
        </is>
      </c>
      <c r="D2107" t="inlineStr">
        <is>
          <t>Reciprocating Semi-hermetic</t>
        </is>
      </c>
      <c r="E2107" s="2" t="n">
        <v>3</v>
      </c>
      <c r="F2107" s="2" t="n">
        <v>60</v>
      </c>
      <c r="G2107" s="2" t="n">
        <v>230</v>
      </c>
      <c r="H2107" t="inlineStr">
        <is>
          <t>208/230</t>
        </is>
      </c>
      <c r="I2107" s="2" t="n">
        <v>208</v>
      </c>
      <c r="J2107" s="2" t="n">
        <v>230</v>
      </c>
      <c r="L2107" s="3" t="n"/>
      <c r="M2107" s="3" t="n"/>
      <c r="N2107" s="3" t="n">
        <v>224.3</v>
      </c>
      <c r="O2107" s="3" t="n"/>
      <c r="P2107" s="3">
        <f>IF(L2107&lt;&gt;"",L2107/1.4,"")</f>
        <v/>
      </c>
      <c r="Q2107" s="3">
        <f>IF(L2107&lt;&gt;"",L2107/1.56,"")</f>
        <v/>
      </c>
      <c r="R2107" s="3">
        <f>IF(M2107&lt;&gt;"",M2107/1.4,"")</f>
        <v/>
      </c>
      <c r="S2107" s="3">
        <f>IF(M2107&lt;&gt;"",M2107/1.56,"")</f>
        <v/>
      </c>
      <c r="T2107" s="3">
        <f>IF(N2107&lt;&gt;"",N2107,IF(O2107&lt;&gt;"",O2107,IF(L2107&lt;&gt;"",L2107/1.56,IF(M2107&lt;&gt;"",M2107/1.56,""))))</f>
        <v/>
      </c>
      <c r="U2107" s="3" t="n">
        <v>1070</v>
      </c>
      <c r="V2107" s="3" t="n">
        <v>654</v>
      </c>
      <c r="W2107" s="3" t="n"/>
      <c r="X2107" s="4" t="n"/>
      <c r="Y2107" s="5" t="n">
        <v>0.039</v>
      </c>
      <c r="Z2107" s="4">
        <f>IF(L2107&lt;&gt;"",SQRT(3)*G2107*L2107/1000,"")</f>
        <v/>
      </c>
      <c r="AA2107" t="inlineStr">
        <is>
          <t>Source=Copeland 2D/3D/4D/4R/6D/8D/9R compressors (pdf) p113; PWS_RLA=112.0</t>
        </is>
      </c>
      <c r="AB2107" t="inlineStr">
        <is>
          <t>Copeland_RLA_230_460_3ph_60Hz.xlsx</t>
        </is>
      </c>
      <c r="AC2107" t="inlineStr">
        <is>
          <t>Recip_2D-9R</t>
        </is>
      </c>
    </row>
    <row r="2108">
      <c r="A2108" t="inlineStr">
        <is>
          <t>COPELAND</t>
        </is>
      </c>
      <c r="B2108" t="inlineStr">
        <is>
          <t>8DS3-600E-TSK</t>
        </is>
      </c>
      <c r="D2108" t="inlineStr">
        <is>
          <t>Reciprocating Semi-hermetic</t>
        </is>
      </c>
      <c r="E2108" s="2" t="n">
        <v>3</v>
      </c>
      <c r="F2108" s="2" t="n">
        <v>60</v>
      </c>
      <c r="G2108" s="2" t="n">
        <v>460</v>
      </c>
      <c r="H2108" t="inlineStr">
        <is>
          <t>460</t>
        </is>
      </c>
      <c r="I2108" s="2" t="n">
        <v>460</v>
      </c>
      <c r="J2108" s="2" t="n">
        <v>460</v>
      </c>
      <c r="L2108" s="3" t="n"/>
      <c r="M2108" s="3" t="n"/>
      <c r="N2108" s="3" t="n">
        <v>112.1</v>
      </c>
      <c r="O2108" s="3" t="n"/>
      <c r="P2108" s="3">
        <f>IF(L2108&lt;&gt;"",L2108/1.4,"")</f>
        <v/>
      </c>
      <c r="Q2108" s="3">
        <f>IF(L2108&lt;&gt;"",L2108/1.56,"")</f>
        <v/>
      </c>
      <c r="R2108" s="3">
        <f>IF(M2108&lt;&gt;"",M2108/1.4,"")</f>
        <v/>
      </c>
      <c r="S2108" s="3">
        <f>IF(M2108&lt;&gt;"",M2108/1.56,"")</f>
        <v/>
      </c>
      <c r="T2108" s="3">
        <f>IF(N2108&lt;&gt;"",N2108,IF(O2108&lt;&gt;"",O2108,IF(L2108&lt;&gt;"",L2108/1.56,IF(M2108&lt;&gt;"",M2108/1.56,""))))</f>
        <v/>
      </c>
      <c r="U2108" s="3" t="n">
        <v>535</v>
      </c>
      <c r="V2108" s="3" t="n"/>
      <c r="W2108" s="3" t="n"/>
      <c r="X2108" s="4" t="n"/>
      <c r="Y2108" s="5" t="n">
        <v>0.156</v>
      </c>
      <c r="Z2108" s="4">
        <f>IF(L2108&lt;&gt;"",SQRT(3)*G2108*L2108/1000,"")</f>
        <v/>
      </c>
      <c r="AA2108" t="inlineStr">
        <is>
          <t>Source=Copeland 2D/3D/4D/4R/6D/8D/9R compressors (pdf) p113</t>
        </is>
      </c>
      <c r="AB2108" t="inlineStr">
        <is>
          <t>Copeland_RLA_230_460_3ph_60Hz.xlsx</t>
        </is>
      </c>
      <c r="AC2108" t="inlineStr">
        <is>
          <t>Recip_2D-9R</t>
        </is>
      </c>
    </row>
    <row r="2109">
      <c r="A2109" t="inlineStr">
        <is>
          <t>COPELAND</t>
        </is>
      </c>
      <c r="B2109" t="inlineStr">
        <is>
          <t>8DS3-600L-FSD</t>
        </is>
      </c>
      <c r="D2109" t="inlineStr">
        <is>
          <t>Reciprocating Semi-hermetic</t>
        </is>
      </c>
      <c r="E2109" s="2" t="n">
        <v>3</v>
      </c>
      <c r="F2109" s="2" t="n">
        <v>60</v>
      </c>
      <c r="G2109" s="2" t="n">
        <v>460</v>
      </c>
      <c r="H2109" t="inlineStr">
        <is>
          <t>460</t>
        </is>
      </c>
      <c r="I2109" s="2" t="n">
        <v>460</v>
      </c>
      <c r="J2109" s="2" t="n">
        <v>460</v>
      </c>
      <c r="L2109" s="3" t="n"/>
      <c r="M2109" s="3" t="n"/>
      <c r="N2109" s="3" t="n">
        <v>96.40000000000001</v>
      </c>
      <c r="O2109" s="3" t="n"/>
      <c r="P2109" s="3">
        <f>IF(L2109&lt;&gt;"",L2109/1.4,"")</f>
        <v/>
      </c>
      <c r="Q2109" s="3">
        <f>IF(L2109&lt;&gt;"",L2109/1.56,"")</f>
        <v/>
      </c>
      <c r="R2109" s="3">
        <f>IF(M2109&lt;&gt;"",M2109/1.4,"")</f>
        <v/>
      </c>
      <c r="S2109" s="3">
        <f>IF(M2109&lt;&gt;"",M2109/1.56,"")</f>
        <v/>
      </c>
      <c r="T2109" s="3">
        <f>IF(N2109&lt;&gt;"",N2109,IF(O2109&lt;&gt;"",O2109,IF(L2109&lt;&gt;"",L2109/1.56,IF(M2109&lt;&gt;"",M2109/1.56,""))))</f>
        <v/>
      </c>
      <c r="U2109" s="3" t="n">
        <v>510</v>
      </c>
      <c r="V2109" s="3" t="n">
        <v>330</v>
      </c>
      <c r="W2109" s="3" t="n"/>
      <c r="X2109" s="4" t="n"/>
      <c r="Y2109" s="5" t="n">
        <v>0.147</v>
      </c>
      <c r="Z2109" s="4">
        <f>IF(L2109&lt;&gt;"",SQRT(3)*G2109*L2109/1000,"")</f>
        <v/>
      </c>
      <c r="AA2109" t="inlineStr">
        <is>
          <t>Source=Copeland 2D/3D/4D/4R/6D/8D/9R compressors (pdf) p113; PWS_RLA=48.3</t>
        </is>
      </c>
      <c r="AB2109" t="inlineStr">
        <is>
          <t>Copeland_RLA_230_460_3ph_60Hz.xlsx</t>
        </is>
      </c>
      <c r="AC2109" t="inlineStr">
        <is>
          <t>Recip_2D-9R</t>
        </is>
      </c>
    </row>
    <row r="2110">
      <c r="A2110" t="inlineStr">
        <is>
          <t>COPELAND</t>
        </is>
      </c>
      <c r="B2110" t="inlineStr">
        <is>
          <t>8DS3-600L-TSK</t>
        </is>
      </c>
      <c r="D2110" t="inlineStr">
        <is>
          <t>Reciprocating Semi-hermetic</t>
        </is>
      </c>
      <c r="E2110" s="2" t="n">
        <v>3</v>
      </c>
      <c r="F2110" s="2" t="n">
        <v>60</v>
      </c>
      <c r="G2110" s="2" t="n">
        <v>230</v>
      </c>
      <c r="H2110" t="inlineStr">
        <is>
          <t>208/230</t>
        </is>
      </c>
      <c r="I2110" s="2" t="n">
        <v>208</v>
      </c>
      <c r="J2110" s="2" t="n">
        <v>230</v>
      </c>
      <c r="L2110" s="3" t="n"/>
      <c r="M2110" s="3" t="n"/>
      <c r="N2110" s="3" t="n">
        <v>224.3</v>
      </c>
      <c r="O2110" s="3" t="n"/>
      <c r="P2110" s="3">
        <f>IF(L2110&lt;&gt;"",L2110/1.4,"")</f>
        <v/>
      </c>
      <c r="Q2110" s="3">
        <f>IF(L2110&lt;&gt;"",L2110/1.56,"")</f>
        <v/>
      </c>
      <c r="R2110" s="3">
        <f>IF(M2110&lt;&gt;"",M2110/1.4,"")</f>
        <v/>
      </c>
      <c r="S2110" s="3">
        <f>IF(M2110&lt;&gt;"",M2110/1.56,"")</f>
        <v/>
      </c>
      <c r="T2110" s="3">
        <f>IF(N2110&lt;&gt;"",N2110,IF(O2110&lt;&gt;"",O2110,IF(L2110&lt;&gt;"",L2110/1.56,IF(M2110&lt;&gt;"",M2110/1.56,""))))</f>
        <v/>
      </c>
      <c r="U2110" s="3" t="n">
        <v>1070</v>
      </c>
      <c r="V2110" s="3" t="n">
        <v>654</v>
      </c>
      <c r="W2110" s="3" t="n"/>
      <c r="X2110" s="4" t="n"/>
      <c r="Y2110" s="5" t="n">
        <v>0.039</v>
      </c>
      <c r="Z2110" s="4">
        <f>IF(L2110&lt;&gt;"",SQRT(3)*G2110*L2110/1000,"")</f>
        <v/>
      </c>
      <c r="AA2110" t="inlineStr">
        <is>
          <t>Source=Copeland 2D/3D/4D/4R/6D/8D/9R compressors (pdf) p113; PWS_RLA=112.0</t>
        </is>
      </c>
      <c r="AB2110" t="inlineStr">
        <is>
          <t>Copeland_RLA_230_460_3ph_60Hz.xlsx</t>
        </is>
      </c>
      <c r="AC2110" t="inlineStr">
        <is>
          <t>Recip_2D-9R</t>
        </is>
      </c>
    </row>
    <row r="2111">
      <c r="A2111" t="inlineStr">
        <is>
          <t>COPELAND</t>
        </is>
      </c>
      <c r="B2111" t="inlineStr">
        <is>
          <t>8DS3-600L-TSK</t>
        </is>
      </c>
      <c r="D2111" t="inlineStr">
        <is>
          <t>Reciprocating Semi-hermetic</t>
        </is>
      </c>
      <c r="E2111" s="2" t="n">
        <v>3</v>
      </c>
      <c r="F2111" s="2" t="n">
        <v>60</v>
      </c>
      <c r="G2111" s="2" t="n">
        <v>460</v>
      </c>
      <c r="H2111" t="inlineStr">
        <is>
          <t>460</t>
        </is>
      </c>
      <c r="I2111" s="2" t="n">
        <v>460</v>
      </c>
      <c r="J2111" s="2" t="n">
        <v>460</v>
      </c>
      <c r="L2111" s="3" t="n"/>
      <c r="M2111" s="3" t="n"/>
      <c r="N2111" s="3" t="n">
        <v>112.1</v>
      </c>
      <c r="O2111" s="3" t="n"/>
      <c r="P2111" s="3">
        <f>IF(L2111&lt;&gt;"",L2111/1.4,"")</f>
        <v/>
      </c>
      <c r="Q2111" s="3">
        <f>IF(L2111&lt;&gt;"",L2111/1.56,"")</f>
        <v/>
      </c>
      <c r="R2111" s="3">
        <f>IF(M2111&lt;&gt;"",M2111/1.4,"")</f>
        <v/>
      </c>
      <c r="S2111" s="3">
        <f>IF(M2111&lt;&gt;"",M2111/1.56,"")</f>
        <v/>
      </c>
      <c r="T2111" s="3">
        <f>IF(N2111&lt;&gt;"",N2111,IF(O2111&lt;&gt;"",O2111,IF(L2111&lt;&gt;"",L2111/1.56,IF(M2111&lt;&gt;"",M2111/1.56,""))))</f>
        <v/>
      </c>
      <c r="U2111" s="3" t="n">
        <v>535</v>
      </c>
      <c r="V2111" s="3" t="n"/>
      <c r="W2111" s="3" t="n"/>
      <c r="X2111" s="4" t="n"/>
      <c r="Y2111" s="5" t="n">
        <v>0.156</v>
      </c>
      <c r="Z2111" s="4">
        <f>IF(L2111&lt;&gt;"",SQRT(3)*G2111*L2111/1000,"")</f>
        <v/>
      </c>
      <c r="AA2111" t="inlineStr">
        <is>
          <t>Source=Copeland 2D/3D/4D/4R/6D/8D/9R compressors (pdf) p113</t>
        </is>
      </c>
      <c r="AB2111" t="inlineStr">
        <is>
          <t>Copeland_RLA_230_460_3ph_60Hz.xlsx</t>
        </is>
      </c>
      <c r="AC2111" t="inlineStr">
        <is>
          <t>Recip_2D-9R</t>
        </is>
      </c>
    </row>
    <row r="2112">
      <c r="A2112" t="inlineStr">
        <is>
          <t>COPELAND</t>
        </is>
      </c>
      <c r="B2112" t="inlineStr">
        <is>
          <t>8DS3R67M0-FSD</t>
        </is>
      </c>
      <c r="D2112" t="inlineStr">
        <is>
          <t>Reciprocating Semi-hermetic</t>
        </is>
      </c>
      <c r="E2112" s="2" t="n">
        <v>3</v>
      </c>
      <c r="F2112" s="2" t="n">
        <v>60</v>
      </c>
      <c r="G2112" s="2" t="n">
        <v>460</v>
      </c>
      <c r="H2112" t="inlineStr">
        <is>
          <t>460</t>
        </is>
      </c>
      <c r="I2112" s="2" t="n">
        <v>460</v>
      </c>
      <c r="J2112" s="2" t="n">
        <v>460</v>
      </c>
      <c r="L2112" s="3" t="n"/>
      <c r="M2112" s="3" t="n"/>
      <c r="N2112" s="3" t="n">
        <v>96.40000000000001</v>
      </c>
      <c r="O2112" s="3" t="n"/>
      <c r="P2112" s="3">
        <f>IF(L2112&lt;&gt;"",L2112/1.4,"")</f>
        <v/>
      </c>
      <c r="Q2112" s="3">
        <f>IF(L2112&lt;&gt;"",L2112/1.56,"")</f>
        <v/>
      </c>
      <c r="R2112" s="3">
        <f>IF(M2112&lt;&gt;"",M2112/1.4,"")</f>
        <v/>
      </c>
      <c r="S2112" s="3">
        <f>IF(M2112&lt;&gt;"",M2112/1.56,"")</f>
        <v/>
      </c>
      <c r="T2112" s="3">
        <f>IF(N2112&lt;&gt;"",N2112,IF(O2112&lt;&gt;"",O2112,IF(L2112&lt;&gt;"",L2112/1.56,IF(M2112&lt;&gt;"",M2112/1.56,""))))</f>
        <v/>
      </c>
      <c r="U2112" s="3" t="n">
        <v>510</v>
      </c>
      <c r="V2112" s="3" t="n">
        <v>330</v>
      </c>
      <c r="W2112" s="3" t="n"/>
      <c r="X2112" s="4" t="n"/>
      <c r="Y2112" s="5" t="n">
        <v>0.147</v>
      </c>
      <c r="Z2112" s="4">
        <f>IF(L2112&lt;&gt;"",SQRT(3)*G2112*L2112/1000,"")</f>
        <v/>
      </c>
      <c r="AA2112" t="inlineStr">
        <is>
          <t>Source=Copeland 2D/3D/4D/4R/6D/8D/9R compressors (pdf) p113; PWS_RLA=48.3</t>
        </is>
      </c>
      <c r="AB2112" t="inlineStr">
        <is>
          <t>Copeland_RLA_230_460_3ph_60Hz.xlsx</t>
        </is>
      </c>
      <c r="AC2112" t="inlineStr">
        <is>
          <t>Recip_2D-9R</t>
        </is>
      </c>
    </row>
    <row r="2113">
      <c r="A2113" t="inlineStr">
        <is>
          <t>COPELAND</t>
        </is>
      </c>
      <c r="B2113" t="inlineStr">
        <is>
          <t>8DS3R67M0-TSK</t>
        </is>
      </c>
      <c r="D2113" t="inlineStr">
        <is>
          <t>Reciprocating Semi-hermetic</t>
        </is>
      </c>
      <c r="E2113" s="2" t="n">
        <v>3</v>
      </c>
      <c r="F2113" s="2" t="n">
        <v>60</v>
      </c>
      <c r="G2113" s="2" t="n">
        <v>230</v>
      </c>
      <c r="H2113" t="inlineStr">
        <is>
          <t>208/230</t>
        </is>
      </c>
      <c r="I2113" s="2" t="n">
        <v>208</v>
      </c>
      <c r="J2113" s="2" t="n">
        <v>230</v>
      </c>
      <c r="L2113" s="3" t="n"/>
      <c r="M2113" s="3" t="n"/>
      <c r="N2113" s="3" t="n">
        <v>224.3</v>
      </c>
      <c r="O2113" s="3" t="n"/>
      <c r="P2113" s="3">
        <f>IF(L2113&lt;&gt;"",L2113/1.4,"")</f>
        <v/>
      </c>
      <c r="Q2113" s="3">
        <f>IF(L2113&lt;&gt;"",L2113/1.56,"")</f>
        <v/>
      </c>
      <c r="R2113" s="3">
        <f>IF(M2113&lt;&gt;"",M2113/1.4,"")</f>
        <v/>
      </c>
      <c r="S2113" s="3">
        <f>IF(M2113&lt;&gt;"",M2113/1.56,"")</f>
        <v/>
      </c>
      <c r="T2113" s="3">
        <f>IF(N2113&lt;&gt;"",N2113,IF(O2113&lt;&gt;"",O2113,IF(L2113&lt;&gt;"",L2113/1.56,IF(M2113&lt;&gt;"",M2113/1.56,""))))</f>
        <v/>
      </c>
      <c r="U2113" s="3" t="n">
        <v>1070</v>
      </c>
      <c r="V2113" s="3" t="n">
        <v>654</v>
      </c>
      <c r="W2113" s="3" t="n"/>
      <c r="X2113" s="4" t="n"/>
      <c r="Y2113" s="5" t="n">
        <v>0.039</v>
      </c>
      <c r="Z2113" s="4">
        <f>IF(L2113&lt;&gt;"",SQRT(3)*G2113*L2113/1000,"")</f>
        <v/>
      </c>
      <c r="AA2113" t="inlineStr">
        <is>
          <t>Source=Copeland 2D/3D/4D/4R/6D/8D/9R compressors (pdf) p113; PWS_RLA=112.0</t>
        </is>
      </c>
      <c r="AB2113" t="inlineStr">
        <is>
          <t>Copeland_RLA_230_460_3ph_60Hz.xlsx</t>
        </is>
      </c>
      <c r="AC2113" t="inlineStr">
        <is>
          <t>Recip_2D-9R</t>
        </is>
      </c>
    </row>
    <row r="2114">
      <c r="A2114" t="inlineStr">
        <is>
          <t>COPELAND</t>
        </is>
      </c>
      <c r="B2114" t="inlineStr">
        <is>
          <t>8DS3R67M0-TSK</t>
        </is>
      </c>
      <c r="D2114" t="inlineStr">
        <is>
          <t>Reciprocating Semi-hermetic</t>
        </is>
      </c>
      <c r="E2114" s="2" t="n">
        <v>3</v>
      </c>
      <c r="F2114" s="2" t="n">
        <v>60</v>
      </c>
      <c r="G2114" s="2" t="n">
        <v>460</v>
      </c>
      <c r="H2114" t="inlineStr">
        <is>
          <t>460</t>
        </is>
      </c>
      <c r="I2114" s="2" t="n">
        <v>460</v>
      </c>
      <c r="J2114" s="2" t="n">
        <v>460</v>
      </c>
      <c r="L2114" s="3" t="n"/>
      <c r="M2114" s="3" t="n"/>
      <c r="N2114" s="3" t="n">
        <v>112.1</v>
      </c>
      <c r="O2114" s="3" t="n"/>
      <c r="P2114" s="3">
        <f>IF(L2114&lt;&gt;"",L2114/1.4,"")</f>
        <v/>
      </c>
      <c r="Q2114" s="3">
        <f>IF(L2114&lt;&gt;"",L2114/1.56,"")</f>
        <v/>
      </c>
      <c r="R2114" s="3">
        <f>IF(M2114&lt;&gt;"",M2114/1.4,"")</f>
        <v/>
      </c>
      <c r="S2114" s="3">
        <f>IF(M2114&lt;&gt;"",M2114/1.56,"")</f>
        <v/>
      </c>
      <c r="T2114" s="3">
        <f>IF(N2114&lt;&gt;"",N2114,IF(O2114&lt;&gt;"",O2114,IF(L2114&lt;&gt;"",L2114/1.56,IF(M2114&lt;&gt;"",M2114/1.56,""))))</f>
        <v/>
      </c>
      <c r="U2114" s="3" t="n">
        <v>535</v>
      </c>
      <c r="V2114" s="3" t="n"/>
      <c r="W2114" s="3" t="n"/>
      <c r="X2114" s="4" t="n"/>
      <c r="Y2114" s="5" t="n">
        <v>0.156</v>
      </c>
      <c r="Z2114" s="4">
        <f>IF(L2114&lt;&gt;"",SQRT(3)*G2114*L2114/1000,"")</f>
        <v/>
      </c>
      <c r="AA2114" t="inlineStr">
        <is>
          <t>Source=Copeland 2D/3D/4D/4R/6D/8D/9R compressors (pdf) p113</t>
        </is>
      </c>
      <c r="AB2114" t="inlineStr">
        <is>
          <t>Copeland_RLA_230_460_3ph_60Hz.xlsx</t>
        </is>
      </c>
      <c r="AC2114" t="inlineStr">
        <is>
          <t>Recip_2D-9R</t>
        </is>
      </c>
    </row>
    <row r="2115">
      <c r="A2115" t="inlineStr">
        <is>
          <t>COPELAND</t>
        </is>
      </c>
      <c r="B2115" t="inlineStr">
        <is>
          <t>8DS3R67ME-FSD</t>
        </is>
      </c>
      <c r="D2115" t="inlineStr">
        <is>
          <t>Reciprocating Semi-hermetic</t>
        </is>
      </c>
      <c r="E2115" s="2" t="n">
        <v>3</v>
      </c>
      <c r="F2115" s="2" t="n">
        <v>60</v>
      </c>
      <c r="G2115" s="2" t="n">
        <v>460</v>
      </c>
      <c r="H2115" t="inlineStr">
        <is>
          <t>460</t>
        </is>
      </c>
      <c r="I2115" s="2" t="n">
        <v>460</v>
      </c>
      <c r="J2115" s="2" t="n">
        <v>460</v>
      </c>
      <c r="L2115" s="3" t="n"/>
      <c r="M2115" s="3" t="n"/>
      <c r="N2115" s="3" t="n">
        <v>96.40000000000001</v>
      </c>
      <c r="O2115" s="3" t="n"/>
      <c r="P2115" s="3">
        <f>IF(L2115&lt;&gt;"",L2115/1.4,"")</f>
        <v/>
      </c>
      <c r="Q2115" s="3">
        <f>IF(L2115&lt;&gt;"",L2115/1.56,"")</f>
        <v/>
      </c>
      <c r="R2115" s="3">
        <f>IF(M2115&lt;&gt;"",M2115/1.4,"")</f>
        <v/>
      </c>
      <c r="S2115" s="3">
        <f>IF(M2115&lt;&gt;"",M2115/1.56,"")</f>
        <v/>
      </c>
      <c r="T2115" s="3">
        <f>IF(N2115&lt;&gt;"",N2115,IF(O2115&lt;&gt;"",O2115,IF(L2115&lt;&gt;"",L2115/1.56,IF(M2115&lt;&gt;"",M2115/1.56,""))))</f>
        <v/>
      </c>
      <c r="U2115" s="3" t="n">
        <v>510</v>
      </c>
      <c r="V2115" s="3" t="n">
        <v>330</v>
      </c>
      <c r="W2115" s="3" t="n"/>
      <c r="X2115" s="4" t="n"/>
      <c r="Y2115" s="5" t="n">
        <v>0.147</v>
      </c>
      <c r="Z2115" s="4">
        <f>IF(L2115&lt;&gt;"",SQRT(3)*G2115*L2115/1000,"")</f>
        <v/>
      </c>
      <c r="AA2115" t="inlineStr">
        <is>
          <t>Source=Copeland 2D/3D/4D/4R/6D/8D/9R compressors (pdf) p113; PWS_RLA=48.3</t>
        </is>
      </c>
      <c r="AB2115" t="inlineStr">
        <is>
          <t>Copeland_RLA_230_460_3ph_60Hz.xlsx</t>
        </is>
      </c>
      <c r="AC2115" t="inlineStr">
        <is>
          <t>Recip_2D-9R</t>
        </is>
      </c>
    </row>
    <row r="2116">
      <c r="A2116" t="inlineStr">
        <is>
          <t>COPELAND</t>
        </is>
      </c>
      <c r="B2116" t="inlineStr">
        <is>
          <t>8DS3R67ME-TSK</t>
        </is>
      </c>
      <c r="D2116" t="inlineStr">
        <is>
          <t>Reciprocating Semi-hermetic</t>
        </is>
      </c>
      <c r="E2116" s="2" t="n">
        <v>3</v>
      </c>
      <c r="F2116" s="2" t="n">
        <v>60</v>
      </c>
      <c r="G2116" s="2" t="n">
        <v>230</v>
      </c>
      <c r="H2116" t="inlineStr">
        <is>
          <t>208/230</t>
        </is>
      </c>
      <c r="I2116" s="2" t="n">
        <v>208</v>
      </c>
      <c r="J2116" s="2" t="n">
        <v>230</v>
      </c>
      <c r="L2116" s="3" t="n"/>
      <c r="M2116" s="3" t="n"/>
      <c r="N2116" s="3" t="n">
        <v>224.3</v>
      </c>
      <c r="O2116" s="3" t="n"/>
      <c r="P2116" s="3">
        <f>IF(L2116&lt;&gt;"",L2116/1.4,"")</f>
        <v/>
      </c>
      <c r="Q2116" s="3">
        <f>IF(L2116&lt;&gt;"",L2116/1.56,"")</f>
        <v/>
      </c>
      <c r="R2116" s="3">
        <f>IF(M2116&lt;&gt;"",M2116/1.4,"")</f>
        <v/>
      </c>
      <c r="S2116" s="3">
        <f>IF(M2116&lt;&gt;"",M2116/1.56,"")</f>
        <v/>
      </c>
      <c r="T2116" s="3">
        <f>IF(N2116&lt;&gt;"",N2116,IF(O2116&lt;&gt;"",O2116,IF(L2116&lt;&gt;"",L2116/1.56,IF(M2116&lt;&gt;"",M2116/1.56,""))))</f>
        <v/>
      </c>
      <c r="U2116" s="3" t="n">
        <v>1070</v>
      </c>
      <c r="V2116" s="3" t="n">
        <v>654</v>
      </c>
      <c r="W2116" s="3" t="n"/>
      <c r="X2116" s="4" t="n"/>
      <c r="Y2116" s="5" t="n">
        <v>0.039</v>
      </c>
      <c r="Z2116" s="4">
        <f>IF(L2116&lt;&gt;"",SQRT(3)*G2116*L2116/1000,"")</f>
        <v/>
      </c>
      <c r="AA2116" t="inlineStr">
        <is>
          <t>Source=Copeland 2D/3D/4D/4R/6D/8D/9R compressors (pdf) p114; PWS_RLA=112.0</t>
        </is>
      </c>
      <c r="AB2116" t="inlineStr">
        <is>
          <t>Copeland_RLA_230_460_3ph_60Hz.xlsx</t>
        </is>
      </c>
      <c r="AC2116" t="inlineStr">
        <is>
          <t>Recip_2D-9R</t>
        </is>
      </c>
    </row>
    <row r="2117">
      <c r="A2117" t="inlineStr">
        <is>
          <t>COPELAND</t>
        </is>
      </c>
      <c r="B2117" t="inlineStr">
        <is>
          <t>8DS3R67ME-TSK</t>
        </is>
      </c>
      <c r="D2117" t="inlineStr">
        <is>
          <t>Reciprocating Semi-hermetic</t>
        </is>
      </c>
      <c r="E2117" s="2" t="n">
        <v>3</v>
      </c>
      <c r="F2117" s="2" t="n">
        <v>60</v>
      </c>
      <c r="G2117" s="2" t="n">
        <v>460</v>
      </c>
      <c r="H2117" t="inlineStr">
        <is>
          <t>460</t>
        </is>
      </c>
      <c r="I2117" s="2" t="n">
        <v>460</v>
      </c>
      <c r="J2117" s="2" t="n">
        <v>460</v>
      </c>
      <c r="L2117" s="3" t="n"/>
      <c r="M2117" s="3" t="n"/>
      <c r="N2117" s="3" t="n">
        <v>112.1</v>
      </c>
      <c r="O2117" s="3" t="n"/>
      <c r="P2117" s="3">
        <f>IF(L2117&lt;&gt;"",L2117/1.4,"")</f>
        <v/>
      </c>
      <c r="Q2117" s="3">
        <f>IF(L2117&lt;&gt;"",L2117/1.56,"")</f>
        <v/>
      </c>
      <c r="R2117" s="3">
        <f>IF(M2117&lt;&gt;"",M2117/1.4,"")</f>
        <v/>
      </c>
      <c r="S2117" s="3">
        <f>IF(M2117&lt;&gt;"",M2117/1.56,"")</f>
        <v/>
      </c>
      <c r="T2117" s="3">
        <f>IF(N2117&lt;&gt;"",N2117,IF(O2117&lt;&gt;"",O2117,IF(L2117&lt;&gt;"",L2117/1.56,IF(M2117&lt;&gt;"",M2117/1.56,""))))</f>
        <v/>
      </c>
      <c r="U2117" s="3" t="n">
        <v>535</v>
      </c>
      <c r="V2117" s="3" t="n"/>
      <c r="W2117" s="3" t="n"/>
      <c r="X2117" s="4" t="n"/>
      <c r="Y2117" s="5" t="n">
        <v>0.156</v>
      </c>
      <c r="Z2117" s="4">
        <f>IF(L2117&lt;&gt;"",SQRT(3)*G2117*L2117/1000,"")</f>
        <v/>
      </c>
      <c r="AA2117" t="inlineStr">
        <is>
          <t>Source=Copeland 2D/3D/4D/4R/6D/8D/9R compressors (pdf) p114</t>
        </is>
      </c>
      <c r="AB2117" t="inlineStr">
        <is>
          <t>Copeland_RLA_230_460_3ph_60Hz.xlsx</t>
        </is>
      </c>
      <c r="AC2117" t="inlineStr">
        <is>
          <t>Recip_2D-9R</t>
        </is>
      </c>
    </row>
    <row r="2118">
      <c r="A2118" t="inlineStr">
        <is>
          <t>COPELAND</t>
        </is>
      </c>
      <c r="B2118" t="inlineStr">
        <is>
          <t>8DS3R67ML-FSD</t>
        </is>
      </c>
      <c r="D2118" t="inlineStr">
        <is>
          <t>Reciprocating Semi-hermetic</t>
        </is>
      </c>
      <c r="E2118" s="2" t="n">
        <v>3</v>
      </c>
      <c r="F2118" s="2" t="n">
        <v>60</v>
      </c>
      <c r="G2118" s="2" t="n">
        <v>460</v>
      </c>
      <c r="H2118" t="inlineStr">
        <is>
          <t>460</t>
        </is>
      </c>
      <c r="I2118" s="2" t="n">
        <v>460</v>
      </c>
      <c r="J2118" s="2" t="n">
        <v>460</v>
      </c>
      <c r="L2118" s="3" t="n"/>
      <c r="M2118" s="3" t="n"/>
      <c r="N2118" s="3" t="n">
        <v>96.40000000000001</v>
      </c>
      <c r="O2118" s="3" t="n"/>
      <c r="P2118" s="3">
        <f>IF(L2118&lt;&gt;"",L2118/1.4,"")</f>
        <v/>
      </c>
      <c r="Q2118" s="3">
        <f>IF(L2118&lt;&gt;"",L2118/1.56,"")</f>
        <v/>
      </c>
      <c r="R2118" s="3">
        <f>IF(M2118&lt;&gt;"",M2118/1.4,"")</f>
        <v/>
      </c>
      <c r="S2118" s="3">
        <f>IF(M2118&lt;&gt;"",M2118/1.56,"")</f>
        <v/>
      </c>
      <c r="T2118" s="3">
        <f>IF(N2118&lt;&gt;"",N2118,IF(O2118&lt;&gt;"",O2118,IF(L2118&lt;&gt;"",L2118/1.56,IF(M2118&lt;&gt;"",M2118/1.56,""))))</f>
        <v/>
      </c>
      <c r="U2118" s="3" t="n">
        <v>510</v>
      </c>
      <c r="V2118" s="3" t="n">
        <v>330</v>
      </c>
      <c r="W2118" s="3" t="n"/>
      <c r="X2118" s="4" t="n"/>
      <c r="Y2118" s="5" t="n">
        <v>0.147</v>
      </c>
      <c r="Z2118" s="4">
        <f>IF(L2118&lt;&gt;"",SQRT(3)*G2118*L2118/1000,"")</f>
        <v/>
      </c>
      <c r="AA2118" t="inlineStr">
        <is>
          <t>Source=Copeland 2D/3D/4D/4R/6D/8D/9R compressors (pdf) p114; PWS_RLA=48.3</t>
        </is>
      </c>
      <c r="AB2118" t="inlineStr">
        <is>
          <t>Copeland_RLA_230_460_3ph_60Hz.xlsx</t>
        </is>
      </c>
      <c r="AC2118" t="inlineStr">
        <is>
          <t>Recip_2D-9R</t>
        </is>
      </c>
    </row>
    <row r="2119">
      <c r="A2119" t="inlineStr">
        <is>
          <t>COPELAND</t>
        </is>
      </c>
      <c r="B2119" t="inlineStr">
        <is>
          <t>8DS3R67ML-TSK</t>
        </is>
      </c>
      <c r="D2119" t="inlineStr">
        <is>
          <t>Reciprocating Semi-hermetic</t>
        </is>
      </c>
      <c r="E2119" s="2" t="n">
        <v>3</v>
      </c>
      <c r="F2119" s="2" t="n">
        <v>60</v>
      </c>
      <c r="G2119" s="2" t="n">
        <v>230</v>
      </c>
      <c r="H2119" t="inlineStr">
        <is>
          <t>208/230</t>
        </is>
      </c>
      <c r="I2119" s="2" t="n">
        <v>208</v>
      </c>
      <c r="J2119" s="2" t="n">
        <v>230</v>
      </c>
      <c r="L2119" s="3" t="n"/>
      <c r="M2119" s="3" t="n"/>
      <c r="N2119" s="3" t="n">
        <v>224.3</v>
      </c>
      <c r="O2119" s="3" t="n"/>
      <c r="P2119" s="3">
        <f>IF(L2119&lt;&gt;"",L2119/1.4,"")</f>
        <v/>
      </c>
      <c r="Q2119" s="3">
        <f>IF(L2119&lt;&gt;"",L2119/1.56,"")</f>
        <v/>
      </c>
      <c r="R2119" s="3">
        <f>IF(M2119&lt;&gt;"",M2119/1.4,"")</f>
        <v/>
      </c>
      <c r="S2119" s="3">
        <f>IF(M2119&lt;&gt;"",M2119/1.56,"")</f>
        <v/>
      </c>
      <c r="T2119" s="3">
        <f>IF(N2119&lt;&gt;"",N2119,IF(O2119&lt;&gt;"",O2119,IF(L2119&lt;&gt;"",L2119/1.56,IF(M2119&lt;&gt;"",M2119/1.56,""))))</f>
        <v/>
      </c>
      <c r="U2119" s="3" t="n">
        <v>1070</v>
      </c>
      <c r="V2119" s="3" t="n">
        <v>654</v>
      </c>
      <c r="W2119" s="3" t="n"/>
      <c r="X2119" s="4" t="n"/>
      <c r="Y2119" s="5" t="n">
        <v>0.039</v>
      </c>
      <c r="Z2119" s="4">
        <f>IF(L2119&lt;&gt;"",SQRT(3)*G2119*L2119/1000,"")</f>
        <v/>
      </c>
      <c r="AA2119" t="inlineStr">
        <is>
          <t>Source=Copeland 2D/3D/4D/4R/6D/8D/9R compressors (pdf) p114; PWS_RLA=112.0</t>
        </is>
      </c>
      <c r="AB2119" t="inlineStr">
        <is>
          <t>Copeland_RLA_230_460_3ph_60Hz.xlsx</t>
        </is>
      </c>
      <c r="AC2119" t="inlineStr">
        <is>
          <t>Recip_2D-9R</t>
        </is>
      </c>
    </row>
    <row r="2120">
      <c r="A2120" t="inlineStr">
        <is>
          <t>COPELAND</t>
        </is>
      </c>
      <c r="B2120" t="inlineStr">
        <is>
          <t>8DS3R67ML-TSK</t>
        </is>
      </c>
      <c r="D2120" t="inlineStr">
        <is>
          <t>Reciprocating Semi-hermetic</t>
        </is>
      </c>
      <c r="E2120" s="2" t="n">
        <v>3</v>
      </c>
      <c r="F2120" s="2" t="n">
        <v>60</v>
      </c>
      <c r="G2120" s="2" t="n">
        <v>460</v>
      </c>
      <c r="H2120" t="inlineStr">
        <is>
          <t>460</t>
        </is>
      </c>
      <c r="I2120" s="2" t="n">
        <v>460</v>
      </c>
      <c r="J2120" s="2" t="n">
        <v>460</v>
      </c>
      <c r="L2120" s="3" t="n"/>
      <c r="M2120" s="3" t="n"/>
      <c r="N2120" s="3" t="n">
        <v>112.1</v>
      </c>
      <c r="O2120" s="3" t="n"/>
      <c r="P2120" s="3">
        <f>IF(L2120&lt;&gt;"",L2120/1.4,"")</f>
        <v/>
      </c>
      <c r="Q2120" s="3">
        <f>IF(L2120&lt;&gt;"",L2120/1.56,"")</f>
        <v/>
      </c>
      <c r="R2120" s="3">
        <f>IF(M2120&lt;&gt;"",M2120/1.4,"")</f>
        <v/>
      </c>
      <c r="S2120" s="3">
        <f>IF(M2120&lt;&gt;"",M2120/1.56,"")</f>
        <v/>
      </c>
      <c r="T2120" s="3">
        <f>IF(N2120&lt;&gt;"",N2120,IF(O2120&lt;&gt;"",O2120,IF(L2120&lt;&gt;"",L2120/1.56,IF(M2120&lt;&gt;"",M2120/1.56,""))))</f>
        <v/>
      </c>
      <c r="U2120" s="3" t="n">
        <v>535</v>
      </c>
      <c r="V2120" s="3" t="n"/>
      <c r="W2120" s="3" t="n"/>
      <c r="X2120" s="4" t="n"/>
      <c r="Y2120" s="5" t="n">
        <v>0.156</v>
      </c>
      <c r="Z2120" s="4">
        <f>IF(L2120&lt;&gt;"",SQRT(3)*G2120*L2120/1000,"")</f>
        <v/>
      </c>
      <c r="AA2120" t="inlineStr">
        <is>
          <t>Source=Copeland 2D/3D/4D/4R/6D/8D/9R compressors (pdf) p114</t>
        </is>
      </c>
      <c r="AB2120" t="inlineStr">
        <is>
          <t>Copeland_RLA_230_460_3ph_60Hz.xlsx</t>
        </is>
      </c>
      <c r="AC2120" t="inlineStr">
        <is>
          <t>Recip_2D-9R</t>
        </is>
      </c>
    </row>
    <row r="2121">
      <c r="A2121" t="inlineStr">
        <is>
          <t>COPELAND</t>
        </is>
      </c>
      <c r="B2121" t="inlineStr">
        <is>
          <t>9RS1-1505-TSC</t>
        </is>
      </c>
      <c r="D2121" t="inlineStr">
        <is>
          <t>Reciprocating Semi-hermetic</t>
        </is>
      </c>
      <c r="E2121" s="2" t="n">
        <v>3</v>
      </c>
      <c r="F2121" s="2" t="n">
        <v>60</v>
      </c>
      <c r="G2121" s="2" t="n">
        <v>230</v>
      </c>
      <c r="H2121" t="inlineStr">
        <is>
          <t>208/230</t>
        </is>
      </c>
      <c r="I2121" s="2" t="n">
        <v>208</v>
      </c>
      <c r="J2121" s="2" t="n">
        <v>230</v>
      </c>
      <c r="L2121" s="3" t="n"/>
      <c r="M2121" s="3" t="n"/>
      <c r="N2121" s="3" t="n">
        <v>56.4</v>
      </c>
      <c r="O2121" s="3" t="n"/>
      <c r="P2121" s="3">
        <f>IF(L2121&lt;&gt;"",L2121/1.4,"")</f>
        <v/>
      </c>
      <c r="Q2121" s="3">
        <f>IF(L2121&lt;&gt;"",L2121/1.56,"")</f>
        <v/>
      </c>
      <c r="R2121" s="3">
        <f>IF(M2121&lt;&gt;"",M2121/1.4,"")</f>
        <v/>
      </c>
      <c r="S2121" s="3">
        <f>IF(M2121&lt;&gt;"",M2121/1.56,"")</f>
        <v/>
      </c>
      <c r="T2121" s="3">
        <f>IF(N2121&lt;&gt;"",N2121,IF(O2121&lt;&gt;"",O2121,IF(L2121&lt;&gt;"",L2121/1.56,IF(M2121&lt;&gt;"",M2121/1.56,""))))</f>
        <v/>
      </c>
      <c r="U2121" s="3" t="n">
        <v>284</v>
      </c>
      <c r="V2121" s="3" t="n"/>
      <c r="W2121" s="3" t="n"/>
      <c r="X2121" s="4" t="n"/>
      <c r="Y2121" s="5" t="n">
        <v>0</v>
      </c>
      <c r="Z2121" s="4">
        <f>IF(L2121&lt;&gt;"",SQRT(3)*G2121*L2121/1000,"")</f>
        <v/>
      </c>
      <c r="AA2121" t="inlineStr">
        <is>
          <t>Source=Copeland 2D/3D/4D/4R/6D/8D/9R compressors (pdf) p114</t>
        </is>
      </c>
      <c r="AB2121" t="inlineStr">
        <is>
          <t>Copeland_RLA_230_460_3ph_60Hz.xlsx</t>
        </is>
      </c>
      <c r="AC2121" t="inlineStr">
        <is>
          <t>Recip_2D-9R</t>
        </is>
      </c>
    </row>
    <row r="2122">
      <c r="A2122" t="inlineStr">
        <is>
          <t>COPELAND</t>
        </is>
      </c>
      <c r="B2122" t="inlineStr">
        <is>
          <t>9RS1-150A-TSC</t>
        </is>
      </c>
      <c r="D2122" t="inlineStr">
        <is>
          <t>Reciprocating Semi-hermetic</t>
        </is>
      </c>
      <c r="E2122" s="2" t="n">
        <v>3</v>
      </c>
      <c r="F2122" s="2" t="n">
        <v>60</v>
      </c>
      <c r="G2122" s="2" t="n">
        <v>230</v>
      </c>
      <c r="H2122" t="inlineStr">
        <is>
          <t>208/230</t>
        </is>
      </c>
      <c r="I2122" s="2" t="n">
        <v>208</v>
      </c>
      <c r="J2122" s="2" t="n">
        <v>230</v>
      </c>
      <c r="L2122" s="3" t="n"/>
      <c r="M2122" s="3" t="n"/>
      <c r="N2122" s="3" t="n">
        <v>56.4</v>
      </c>
      <c r="O2122" s="3" t="n"/>
      <c r="P2122" s="3">
        <f>IF(L2122&lt;&gt;"",L2122/1.4,"")</f>
        <v/>
      </c>
      <c r="Q2122" s="3">
        <f>IF(L2122&lt;&gt;"",L2122/1.56,"")</f>
        <v/>
      </c>
      <c r="R2122" s="3">
        <f>IF(M2122&lt;&gt;"",M2122/1.4,"")</f>
        <v/>
      </c>
      <c r="S2122" s="3">
        <f>IF(M2122&lt;&gt;"",M2122/1.56,"")</f>
        <v/>
      </c>
      <c r="T2122" s="3">
        <f>IF(N2122&lt;&gt;"",N2122,IF(O2122&lt;&gt;"",O2122,IF(L2122&lt;&gt;"",L2122/1.56,IF(M2122&lt;&gt;"",M2122/1.56,""))))</f>
        <v/>
      </c>
      <c r="U2122" s="3" t="n">
        <v>284</v>
      </c>
      <c r="V2122" s="3" t="n"/>
      <c r="W2122" s="3" t="n"/>
      <c r="X2122" s="4" t="n"/>
      <c r="Y2122" s="5" t="n">
        <v>0</v>
      </c>
      <c r="Z2122" s="4">
        <f>IF(L2122&lt;&gt;"",SQRT(3)*G2122*L2122/1000,"")</f>
        <v/>
      </c>
      <c r="AA2122" t="inlineStr">
        <is>
          <t>Source=Copeland 2D/3D/4D/4R/6D/8D/9R compressors (pdf) p114</t>
        </is>
      </c>
      <c r="AB2122" t="inlineStr">
        <is>
          <t>Copeland_RLA_230_460_3ph_60Hz.xlsx</t>
        </is>
      </c>
      <c r="AC2122" t="inlineStr">
        <is>
          <t>Recip_2D-9R</t>
        </is>
      </c>
    </row>
    <row r="2123">
      <c r="A2123" t="inlineStr">
        <is>
          <t>COPELAND</t>
        </is>
      </c>
      <c r="B2123" t="inlineStr">
        <is>
          <t>9RT1-1505-TSC</t>
        </is>
      </c>
      <c r="D2123" t="inlineStr">
        <is>
          <t>Reciprocating Semi-hermetic</t>
        </is>
      </c>
      <c r="E2123" s="2" t="n">
        <v>3</v>
      </c>
      <c r="F2123" s="2" t="n">
        <v>60</v>
      </c>
      <c r="G2123" s="2" t="n">
        <v>230</v>
      </c>
      <c r="H2123" t="inlineStr">
        <is>
          <t>208/230</t>
        </is>
      </c>
      <c r="I2123" s="2" t="n">
        <v>208</v>
      </c>
      <c r="J2123" s="2" t="n">
        <v>230</v>
      </c>
      <c r="L2123" s="3" t="n"/>
      <c r="M2123" s="3" t="n"/>
      <c r="N2123" s="3" t="n">
        <v>56.4</v>
      </c>
      <c r="O2123" s="3" t="n"/>
      <c r="P2123" s="3">
        <f>IF(L2123&lt;&gt;"",L2123/1.4,"")</f>
        <v/>
      </c>
      <c r="Q2123" s="3">
        <f>IF(L2123&lt;&gt;"",L2123/1.56,"")</f>
        <v/>
      </c>
      <c r="R2123" s="3">
        <f>IF(M2123&lt;&gt;"",M2123/1.4,"")</f>
        <v/>
      </c>
      <c r="S2123" s="3">
        <f>IF(M2123&lt;&gt;"",M2123/1.56,"")</f>
        <v/>
      </c>
      <c r="T2123" s="3">
        <f>IF(N2123&lt;&gt;"",N2123,IF(O2123&lt;&gt;"",O2123,IF(L2123&lt;&gt;"",L2123/1.56,IF(M2123&lt;&gt;"",M2123/1.56,""))))</f>
        <v/>
      </c>
      <c r="U2123" s="3" t="n">
        <v>284</v>
      </c>
      <c r="V2123" s="3" t="n"/>
      <c r="W2123" s="3" t="n"/>
      <c r="X2123" s="4" t="n"/>
      <c r="Y2123" s="5" t="n">
        <v>0</v>
      </c>
      <c r="Z2123" s="4">
        <f>IF(L2123&lt;&gt;"",SQRT(3)*G2123*L2123/1000,"")</f>
        <v/>
      </c>
      <c r="AA2123" t="inlineStr">
        <is>
          <t>Source=Copeland 2D/3D/4D/4R/6D/8D/9R compressors (pdf) p114</t>
        </is>
      </c>
      <c r="AB2123" t="inlineStr">
        <is>
          <t>Copeland_RLA_230_460_3ph_60Hz.xlsx</t>
        </is>
      </c>
      <c r="AC2123" t="inlineStr">
        <is>
          <t>Recip_2D-9R</t>
        </is>
      </c>
    </row>
    <row r="2124">
      <c r="A2124" t="inlineStr">
        <is>
          <t>COPELAND</t>
        </is>
      </c>
      <c r="B2124" t="inlineStr">
        <is>
          <t>MRH4-0760-FSC</t>
        </is>
      </c>
      <c r="D2124" t="inlineStr">
        <is>
          <t>Reciprocating Semi-hermetic</t>
        </is>
      </c>
      <c r="E2124" s="2" t="n">
        <v>3</v>
      </c>
      <c r="F2124" s="2" t="n">
        <v>60</v>
      </c>
      <c r="G2124" s="2" t="n">
        <v>230</v>
      </c>
      <c r="H2124" t="inlineStr">
        <is>
          <t>230</t>
        </is>
      </c>
      <c r="I2124" s="2" t="n">
        <v>230</v>
      </c>
      <c r="J2124" s="2" t="n">
        <v>230</v>
      </c>
      <c r="L2124" s="3" t="n"/>
      <c r="M2124" s="3" t="n"/>
      <c r="N2124" s="3" t="n"/>
      <c r="O2124" s="3" t="n"/>
      <c r="P2124" s="3">
        <f>IF(L2124&lt;&gt;"",L2124/1.4,"")</f>
        <v/>
      </c>
      <c r="Q2124" s="3">
        <f>IF(L2124&lt;&gt;"",L2124/1.56,"")</f>
        <v/>
      </c>
      <c r="R2124" s="3">
        <f>IF(M2124&lt;&gt;"",M2124/1.4,"")</f>
        <v/>
      </c>
      <c r="S2124" s="3">
        <f>IF(M2124&lt;&gt;"",M2124/1.56,"")</f>
        <v/>
      </c>
      <c r="T2124" s="3">
        <f>IF(N2124&lt;&gt;"",N2124,IF(O2124&lt;&gt;"",O2124,IF(L2124&lt;&gt;"",L2124/1.56,IF(M2124&lt;&gt;"",M2124/1.56,""))))</f>
        <v/>
      </c>
      <c r="U2124" s="3" t="n">
        <v>130</v>
      </c>
      <c r="V2124" s="3" t="n">
        <v>85</v>
      </c>
      <c r="W2124" s="3" t="n"/>
      <c r="X2124" s="4" t="n"/>
      <c r="Y2124" s="5" t="n">
        <v>0.41</v>
      </c>
      <c r="Z2124" s="4">
        <f>IF(L2124&lt;&gt;"",SQRT(3)*G2124*L2124/1000,"")</f>
        <v/>
      </c>
      <c r="AA2124" t="inlineStr">
        <is>
          <t>Source=Copeland 2D/3D/4D/4R/6D/8D/9R compressors (pdf) p114; PWS_RLA=16.3</t>
        </is>
      </c>
      <c r="AB2124" t="inlineStr">
        <is>
          <t>Copeland_RLA_230_460_3ph_60Hz.xlsx</t>
        </is>
      </c>
      <c r="AC2124" t="inlineStr">
        <is>
          <t>Recip_2D-9R</t>
        </is>
      </c>
    </row>
    <row r="2125">
      <c r="A2125" t="inlineStr">
        <is>
          <t>COPELAND</t>
        </is>
      </c>
      <c r="B2125" t="inlineStr">
        <is>
          <t>ZF06KQE</t>
        </is>
      </c>
      <c r="C2125" t="inlineStr">
        <is>
          <t>TFC</t>
        </is>
      </c>
      <c r="D2125" t="inlineStr">
        <is>
          <t>Copeland Scroll ZFKQ</t>
        </is>
      </c>
      <c r="E2125" s="2" t="n">
        <v>3</v>
      </c>
      <c r="F2125" s="2" t="n">
        <v>60</v>
      </c>
      <c r="G2125" s="2" t="n">
        <v>230</v>
      </c>
      <c r="H2125" t="inlineStr">
        <is>
          <t>208-230</t>
        </is>
      </c>
      <c r="I2125" s="2" t="n">
        <v>208</v>
      </c>
      <c r="J2125" s="2" t="n">
        <v>230</v>
      </c>
      <c r="L2125" s="3" t="n">
        <v>13</v>
      </c>
      <c r="M2125" s="3" t="n">
        <v>10</v>
      </c>
      <c r="N2125" s="3" t="n"/>
      <c r="O2125" s="3" t="n"/>
      <c r="P2125" s="3">
        <f>IF(L2125&lt;&gt;"",L2125/1.4,"")</f>
        <v/>
      </c>
      <c r="Q2125" s="3">
        <f>IF(L2125&lt;&gt;"",L2125/1.56,"")</f>
        <v/>
      </c>
      <c r="R2125" s="3">
        <f>IF(M2125&lt;&gt;"",M2125/1.4,"")</f>
        <v/>
      </c>
      <c r="S2125" s="3">
        <f>IF(M2125&lt;&gt;"",M2125/1.56,"")</f>
        <v/>
      </c>
      <c r="T2125" s="3">
        <f>IF(N2125&lt;&gt;"",N2125,IF(O2125&lt;&gt;"",O2125,IF(L2125&lt;&gt;"",L2125/1.56,IF(M2125&lt;&gt;"",M2125/1.56,""))))</f>
        <v/>
      </c>
      <c r="U2125" s="3" t="n">
        <v>55</v>
      </c>
      <c r="V2125" s="3" t="n"/>
      <c r="W2125" s="3" t="n"/>
      <c r="X2125" s="4" t="n"/>
      <c r="Y2125" s="5" t="n">
        <v>1.79</v>
      </c>
      <c r="Z2125" s="4">
        <f>IF(L2125&lt;&gt;"",SQRT(3)*G2125*L2125/1000,"")</f>
        <v/>
      </c>
      <c r="AA2125" t="inlineStr">
        <is>
          <t>Nominal_HP=2.0</t>
        </is>
      </c>
      <c r="AB2125" t="inlineStr">
        <is>
          <t>Copeland_RLA_230_460_3ph_60Hz.xlsx</t>
        </is>
      </c>
      <c r="AC2125" t="inlineStr">
        <is>
          <t>Scroll_ZFKQ</t>
        </is>
      </c>
    </row>
    <row r="2126">
      <c r="A2126" t="inlineStr">
        <is>
          <t>COPELAND</t>
        </is>
      </c>
      <c r="B2126" t="inlineStr">
        <is>
          <t>ZF06KQE</t>
        </is>
      </c>
      <c r="C2126" t="inlineStr">
        <is>
          <t>TFD</t>
        </is>
      </c>
      <c r="D2126" t="inlineStr">
        <is>
          <t>Copeland Scroll ZFKQ</t>
        </is>
      </c>
      <c r="E2126" s="2" t="n">
        <v>3</v>
      </c>
      <c r="F2126" s="2" t="n">
        <v>60</v>
      </c>
      <c r="G2126" s="2" t="n">
        <v>460</v>
      </c>
      <c r="H2126" t="inlineStr">
        <is>
          <t>460</t>
        </is>
      </c>
      <c r="I2126" s="2" t="n">
        <v>460</v>
      </c>
      <c r="J2126" s="2" t="n">
        <v>460</v>
      </c>
      <c r="L2126" s="3" t="n">
        <v>6</v>
      </c>
      <c r="M2126" s="3" t="n">
        <v>5</v>
      </c>
      <c r="N2126" s="3" t="n"/>
      <c r="O2126" s="3" t="n"/>
      <c r="P2126" s="3">
        <f>IF(L2126&lt;&gt;"",L2126/1.4,"")</f>
        <v/>
      </c>
      <c r="Q2126" s="3">
        <f>IF(L2126&lt;&gt;"",L2126/1.56,"")</f>
        <v/>
      </c>
      <c r="R2126" s="3">
        <f>IF(M2126&lt;&gt;"",M2126/1.4,"")</f>
        <v/>
      </c>
      <c r="S2126" s="3">
        <f>IF(M2126&lt;&gt;"",M2126/1.56,"")</f>
        <v/>
      </c>
      <c r="T2126" s="3">
        <f>IF(N2126&lt;&gt;"",N2126,IF(O2126&lt;&gt;"",O2126,IF(L2126&lt;&gt;"",L2126/1.56,IF(M2126&lt;&gt;"",M2126/1.56,""))))</f>
        <v/>
      </c>
      <c r="U2126" s="3" t="n">
        <v>27</v>
      </c>
      <c r="V2126" s="3" t="n"/>
      <c r="W2126" s="3" t="n"/>
      <c r="X2126" s="4" t="n"/>
      <c r="Y2126" s="5" t="n">
        <v>7.15</v>
      </c>
      <c r="Z2126" s="4">
        <f>IF(L2126&lt;&gt;"",SQRT(3)*G2126*L2126/1000,"")</f>
        <v/>
      </c>
      <c r="AA2126" t="inlineStr">
        <is>
          <t>Nominal_HP=2.0</t>
        </is>
      </c>
      <c r="AB2126" t="inlineStr">
        <is>
          <t>Copeland_RLA_230_460_3ph_60Hz.xlsx</t>
        </is>
      </c>
      <c r="AC2126" t="inlineStr">
        <is>
          <t>Scroll_ZFKQ</t>
        </is>
      </c>
    </row>
    <row r="2127">
      <c r="A2127" t="inlineStr">
        <is>
          <t>COPELAND</t>
        </is>
      </c>
      <c r="B2127" t="inlineStr">
        <is>
          <t>ZF08KQE</t>
        </is>
      </c>
      <c r="C2127" t="inlineStr">
        <is>
          <t>TFC</t>
        </is>
      </c>
      <c r="D2127" t="inlineStr">
        <is>
          <t>Copeland Scroll ZFKQ</t>
        </is>
      </c>
      <c r="E2127" s="2" t="n">
        <v>3</v>
      </c>
      <c r="F2127" s="2" t="n">
        <v>60</v>
      </c>
      <c r="G2127" s="2" t="n">
        <v>230</v>
      </c>
      <c r="H2127" t="inlineStr">
        <is>
          <t>208-230</t>
        </is>
      </c>
      <c r="I2127" s="2" t="n">
        <v>208</v>
      </c>
      <c r="J2127" s="2" t="n">
        <v>230</v>
      </c>
      <c r="L2127" s="3" t="n">
        <v>13.5</v>
      </c>
      <c r="M2127" s="3" t="n">
        <v>12</v>
      </c>
      <c r="N2127" s="3" t="n"/>
      <c r="O2127" s="3" t="n"/>
      <c r="P2127" s="3">
        <f>IF(L2127&lt;&gt;"",L2127/1.4,"")</f>
        <v/>
      </c>
      <c r="Q2127" s="3">
        <f>IF(L2127&lt;&gt;"",L2127/1.56,"")</f>
        <v/>
      </c>
      <c r="R2127" s="3">
        <f>IF(M2127&lt;&gt;"",M2127/1.4,"")</f>
        <v/>
      </c>
      <c r="S2127" s="3">
        <f>IF(M2127&lt;&gt;"",M2127/1.56,"")</f>
        <v/>
      </c>
      <c r="T2127" s="3">
        <f>IF(N2127&lt;&gt;"",N2127,IF(O2127&lt;&gt;"",O2127,IF(L2127&lt;&gt;"",L2127/1.56,IF(M2127&lt;&gt;"",M2127/1.56,""))))</f>
        <v/>
      </c>
      <c r="U2127" s="3" t="n">
        <v>63</v>
      </c>
      <c r="V2127" s="3" t="n"/>
      <c r="W2127" s="3" t="n"/>
      <c r="X2127" s="4" t="n"/>
      <c r="Y2127" s="5" t="n">
        <v>1.46</v>
      </c>
      <c r="Z2127" s="4">
        <f>IF(L2127&lt;&gt;"",SQRT(3)*G2127*L2127/1000,"")</f>
        <v/>
      </c>
      <c r="AA2127" t="inlineStr">
        <is>
          <t>Nominal_HP=2.5</t>
        </is>
      </c>
      <c r="AB2127" t="inlineStr">
        <is>
          <t>Copeland_RLA_230_460_3ph_60Hz.xlsx</t>
        </is>
      </c>
      <c r="AC2127" t="inlineStr">
        <is>
          <t>Scroll_ZFKQ</t>
        </is>
      </c>
    </row>
    <row r="2128">
      <c r="A2128" t="inlineStr">
        <is>
          <t>COPELAND</t>
        </is>
      </c>
      <c r="B2128" t="inlineStr">
        <is>
          <t>ZF08KQE</t>
        </is>
      </c>
      <c r="C2128" t="inlineStr">
        <is>
          <t>TFD</t>
        </is>
      </c>
      <c r="D2128" t="inlineStr">
        <is>
          <t>Copeland Scroll ZFKQ</t>
        </is>
      </c>
      <c r="E2128" s="2" t="n">
        <v>3</v>
      </c>
      <c r="F2128" s="2" t="n">
        <v>60</v>
      </c>
      <c r="G2128" s="2" t="n">
        <v>460</v>
      </c>
      <c r="H2128" t="inlineStr">
        <is>
          <t>460</t>
        </is>
      </c>
      <c r="I2128" s="2" t="n">
        <v>460</v>
      </c>
      <c r="J2128" s="2" t="n">
        <v>460</v>
      </c>
      <c r="L2128" s="3" t="n">
        <v>7</v>
      </c>
      <c r="M2128" s="3" t="n">
        <v>6</v>
      </c>
      <c r="N2128" s="3" t="n"/>
      <c r="O2128" s="3" t="n"/>
      <c r="P2128" s="3">
        <f>IF(L2128&lt;&gt;"",L2128/1.4,"")</f>
        <v/>
      </c>
      <c r="Q2128" s="3">
        <f>IF(L2128&lt;&gt;"",L2128/1.56,"")</f>
        <v/>
      </c>
      <c r="R2128" s="3">
        <f>IF(M2128&lt;&gt;"",M2128/1.4,"")</f>
        <v/>
      </c>
      <c r="S2128" s="3">
        <f>IF(M2128&lt;&gt;"",M2128/1.56,"")</f>
        <v/>
      </c>
      <c r="T2128" s="3">
        <f>IF(N2128&lt;&gt;"",N2128,IF(O2128&lt;&gt;"",O2128,IF(L2128&lt;&gt;"",L2128/1.56,IF(M2128&lt;&gt;"",M2128/1.56,""))))</f>
        <v/>
      </c>
      <c r="U2128" s="3" t="n">
        <v>31</v>
      </c>
      <c r="V2128" s="3" t="n"/>
      <c r="W2128" s="3" t="n"/>
      <c r="X2128" s="4" t="n"/>
      <c r="Y2128" s="5" t="n">
        <v>5.94</v>
      </c>
      <c r="Z2128" s="4">
        <f>IF(L2128&lt;&gt;"",SQRT(3)*G2128*L2128/1000,"")</f>
        <v/>
      </c>
      <c r="AA2128" t="inlineStr">
        <is>
          <t>Nominal_HP=2.5</t>
        </is>
      </c>
      <c r="AB2128" t="inlineStr">
        <is>
          <t>Copeland_RLA_230_460_3ph_60Hz.xlsx</t>
        </is>
      </c>
      <c r="AC2128" t="inlineStr">
        <is>
          <t>Scroll_ZFKQ</t>
        </is>
      </c>
    </row>
    <row r="2129">
      <c r="A2129" t="inlineStr">
        <is>
          <t>COPELAND</t>
        </is>
      </c>
      <c r="B2129" t="inlineStr">
        <is>
          <t>ZF09KQE</t>
        </is>
      </c>
      <c r="C2129" t="inlineStr">
        <is>
          <t>TFC</t>
        </is>
      </c>
      <c r="D2129" t="inlineStr">
        <is>
          <t>Copeland Scroll ZFKQ</t>
        </is>
      </c>
      <c r="E2129" s="2" t="n">
        <v>3</v>
      </c>
      <c r="F2129" s="2" t="n">
        <v>60</v>
      </c>
      <c r="G2129" s="2" t="n">
        <v>230</v>
      </c>
      <c r="H2129" t="inlineStr">
        <is>
          <t>208-230</t>
        </is>
      </c>
      <c r="I2129" s="2" t="n">
        <v>208</v>
      </c>
      <c r="J2129" s="2" t="n">
        <v>230</v>
      </c>
      <c r="L2129" s="3" t="n">
        <v>13.5</v>
      </c>
      <c r="M2129" s="3" t="n">
        <v>13</v>
      </c>
      <c r="N2129" s="3" t="n"/>
      <c r="O2129" s="3" t="n"/>
      <c r="P2129" s="3">
        <f>IF(L2129&lt;&gt;"",L2129/1.4,"")</f>
        <v/>
      </c>
      <c r="Q2129" s="3">
        <f>IF(L2129&lt;&gt;"",L2129/1.56,"")</f>
        <v/>
      </c>
      <c r="R2129" s="3">
        <f>IF(M2129&lt;&gt;"",M2129/1.4,"")</f>
        <v/>
      </c>
      <c r="S2129" s="3">
        <f>IF(M2129&lt;&gt;"",M2129/1.56,"")</f>
        <v/>
      </c>
      <c r="T2129" s="3">
        <f>IF(N2129&lt;&gt;"",N2129,IF(O2129&lt;&gt;"",O2129,IF(L2129&lt;&gt;"",L2129/1.56,IF(M2129&lt;&gt;"",M2129/1.56,""))))</f>
        <v/>
      </c>
      <c r="U2129" s="3" t="n">
        <v>77</v>
      </c>
      <c r="V2129" s="3" t="n"/>
      <c r="W2129" s="3" t="n"/>
      <c r="X2129" s="4" t="n"/>
      <c r="Y2129" s="5" t="n">
        <v>1.23</v>
      </c>
      <c r="Z2129" s="4">
        <f>IF(L2129&lt;&gt;"",SQRT(3)*G2129*L2129/1000,"")</f>
        <v/>
      </c>
      <c r="AA2129" t="inlineStr">
        <is>
          <t>Nominal_HP=3.0</t>
        </is>
      </c>
      <c r="AB2129" t="inlineStr">
        <is>
          <t>Copeland_RLA_230_460_3ph_60Hz.xlsx</t>
        </is>
      </c>
      <c r="AC2129" t="inlineStr">
        <is>
          <t>Scroll_ZFKQ</t>
        </is>
      </c>
    </row>
    <row r="2130">
      <c r="A2130" t="inlineStr">
        <is>
          <t>COPELAND</t>
        </is>
      </c>
      <c r="B2130" t="inlineStr">
        <is>
          <t>ZF09KQE</t>
        </is>
      </c>
      <c r="C2130" t="inlineStr">
        <is>
          <t>TFD</t>
        </is>
      </c>
      <c r="D2130" t="inlineStr">
        <is>
          <t>Copeland Scroll ZFKQ</t>
        </is>
      </c>
      <c r="E2130" s="2" t="n">
        <v>3</v>
      </c>
      <c r="F2130" s="2" t="n">
        <v>60</v>
      </c>
      <c r="G2130" s="2" t="n">
        <v>460</v>
      </c>
      <c r="H2130" t="inlineStr">
        <is>
          <t>460</t>
        </is>
      </c>
      <c r="I2130" s="2" t="n">
        <v>460</v>
      </c>
      <c r="J2130" s="2" t="n">
        <v>460</v>
      </c>
      <c r="L2130" s="3" t="n">
        <v>7</v>
      </c>
      <c r="M2130" s="3" t="n">
        <v>6</v>
      </c>
      <c r="N2130" s="3" t="n"/>
      <c r="O2130" s="3" t="n"/>
      <c r="P2130" s="3">
        <f>IF(L2130&lt;&gt;"",L2130/1.4,"")</f>
        <v/>
      </c>
      <c r="Q2130" s="3">
        <f>IF(L2130&lt;&gt;"",L2130/1.56,"")</f>
        <v/>
      </c>
      <c r="R2130" s="3">
        <f>IF(M2130&lt;&gt;"",M2130/1.4,"")</f>
        <v/>
      </c>
      <c r="S2130" s="3">
        <f>IF(M2130&lt;&gt;"",M2130/1.56,"")</f>
        <v/>
      </c>
      <c r="T2130" s="3">
        <f>IF(N2130&lt;&gt;"",N2130,IF(O2130&lt;&gt;"",O2130,IF(L2130&lt;&gt;"",L2130/1.56,IF(M2130&lt;&gt;"",M2130/1.56,""))))</f>
        <v/>
      </c>
      <c r="U2130" s="3" t="n">
        <v>39</v>
      </c>
      <c r="V2130" s="3" t="n"/>
      <c r="W2130" s="3" t="n"/>
      <c r="X2130" s="4" t="n"/>
      <c r="Y2130" s="5" t="n">
        <v>4.83</v>
      </c>
      <c r="Z2130" s="4">
        <f>IF(L2130&lt;&gt;"",SQRT(3)*G2130*L2130/1000,"")</f>
        <v/>
      </c>
      <c r="AA2130" t="inlineStr">
        <is>
          <t>Nominal_HP=3.0</t>
        </is>
      </c>
      <c r="AB2130" t="inlineStr">
        <is>
          <t>Copeland_RLA_230_460_3ph_60Hz.xlsx</t>
        </is>
      </c>
      <c r="AC2130" t="inlineStr">
        <is>
          <t>Scroll_ZFKQ</t>
        </is>
      </c>
    </row>
    <row r="2131">
      <c r="A2131" t="inlineStr">
        <is>
          <t>COPELAND</t>
        </is>
      </c>
      <c r="B2131" t="inlineStr">
        <is>
          <t>ZF11KQE</t>
        </is>
      </c>
      <c r="C2131" t="inlineStr">
        <is>
          <t>TFC</t>
        </is>
      </c>
      <c r="D2131" t="inlineStr">
        <is>
          <t>Copeland Scroll ZFKQ</t>
        </is>
      </c>
      <c r="E2131" s="2" t="n">
        <v>3</v>
      </c>
      <c r="F2131" s="2" t="n">
        <v>60</v>
      </c>
      <c r="G2131" s="2" t="n">
        <v>230</v>
      </c>
      <c r="H2131" t="inlineStr">
        <is>
          <t>208-230</t>
        </is>
      </c>
      <c r="I2131" s="2" t="n">
        <v>208</v>
      </c>
      <c r="J2131" s="2" t="n">
        <v>230</v>
      </c>
      <c r="L2131" s="3" t="n">
        <v>17</v>
      </c>
      <c r="M2131" s="3" t="n">
        <v>14.5</v>
      </c>
      <c r="N2131" s="3" t="n"/>
      <c r="O2131" s="3" t="n"/>
      <c r="P2131" s="3">
        <f>IF(L2131&lt;&gt;"",L2131/1.4,"")</f>
        <v/>
      </c>
      <c r="Q2131" s="3">
        <f>IF(L2131&lt;&gt;"",L2131/1.56,"")</f>
        <v/>
      </c>
      <c r="R2131" s="3">
        <f>IF(M2131&lt;&gt;"",M2131/1.4,"")</f>
        <v/>
      </c>
      <c r="S2131" s="3">
        <f>IF(M2131&lt;&gt;"",M2131/1.56,"")</f>
        <v/>
      </c>
      <c r="T2131" s="3">
        <f>IF(N2131&lt;&gt;"",N2131,IF(O2131&lt;&gt;"",O2131,IF(L2131&lt;&gt;"",L2131/1.56,IF(M2131&lt;&gt;"",M2131/1.56,""))))</f>
        <v/>
      </c>
      <c r="U2131" s="3" t="n">
        <v>88</v>
      </c>
      <c r="V2131" s="3" t="n"/>
      <c r="W2131" s="3" t="n"/>
      <c r="X2131" s="4" t="n"/>
      <c r="Y2131" s="5" t="n">
        <v>1</v>
      </c>
      <c r="Z2131" s="4">
        <f>IF(L2131&lt;&gt;"",SQRT(3)*G2131*L2131/1000,"")</f>
        <v/>
      </c>
      <c r="AA2131" t="inlineStr">
        <is>
          <t>Nominal_HP=3.5</t>
        </is>
      </c>
      <c r="AB2131" t="inlineStr">
        <is>
          <t>Copeland_RLA_230_460_3ph_60Hz.xlsx</t>
        </is>
      </c>
      <c r="AC2131" t="inlineStr">
        <is>
          <t>Scroll_ZFKQ</t>
        </is>
      </c>
    </row>
    <row r="2132">
      <c r="A2132" t="inlineStr">
        <is>
          <t>COPELAND</t>
        </is>
      </c>
      <c r="B2132" t="inlineStr">
        <is>
          <t>ZF11KQE</t>
        </is>
      </c>
      <c r="C2132" t="inlineStr">
        <is>
          <t>TFD</t>
        </is>
      </c>
      <c r="D2132" t="inlineStr">
        <is>
          <t>Copeland Scroll ZFKQ</t>
        </is>
      </c>
      <c r="E2132" s="2" t="n">
        <v>3</v>
      </c>
      <c r="F2132" s="2" t="n">
        <v>60</v>
      </c>
      <c r="G2132" s="2" t="n">
        <v>460</v>
      </c>
      <c r="H2132" t="inlineStr">
        <is>
          <t>460</t>
        </is>
      </c>
      <c r="I2132" s="2" t="n">
        <v>460</v>
      </c>
      <c r="J2132" s="2" t="n">
        <v>460</v>
      </c>
      <c r="L2132" s="3" t="n">
        <v>9</v>
      </c>
      <c r="M2132" s="3" t="n">
        <v>7.1</v>
      </c>
      <c r="N2132" s="3" t="n"/>
      <c r="O2132" s="3" t="n"/>
      <c r="P2132" s="3">
        <f>IF(L2132&lt;&gt;"",L2132/1.4,"")</f>
        <v/>
      </c>
      <c r="Q2132" s="3">
        <f>IF(L2132&lt;&gt;"",L2132/1.56,"")</f>
        <v/>
      </c>
      <c r="R2132" s="3">
        <f>IF(M2132&lt;&gt;"",M2132/1.4,"")</f>
        <v/>
      </c>
      <c r="S2132" s="3">
        <f>IF(M2132&lt;&gt;"",M2132/1.56,"")</f>
        <v/>
      </c>
      <c r="T2132" s="3">
        <f>IF(N2132&lt;&gt;"",N2132,IF(O2132&lt;&gt;"",O2132,IF(L2132&lt;&gt;"",L2132/1.56,IF(M2132&lt;&gt;"",M2132/1.56,""))))</f>
        <v/>
      </c>
      <c r="U2132" s="3" t="n">
        <v>44</v>
      </c>
      <c r="V2132" s="3" t="n"/>
      <c r="W2132" s="3" t="n"/>
      <c r="X2132" s="4" t="n"/>
      <c r="Y2132" s="5" t="n">
        <v>4.03</v>
      </c>
      <c r="Z2132" s="4">
        <f>IF(L2132&lt;&gt;"",SQRT(3)*G2132*L2132/1000,"")</f>
        <v/>
      </c>
      <c r="AA2132" t="inlineStr">
        <is>
          <t>Nominal_HP=3.5</t>
        </is>
      </c>
      <c r="AB2132" t="inlineStr">
        <is>
          <t>Copeland_RLA_230_460_3ph_60Hz.xlsx</t>
        </is>
      </c>
      <c r="AC2132" t="inlineStr">
        <is>
          <t>Scroll_ZFKQ</t>
        </is>
      </c>
    </row>
    <row r="2133">
      <c r="A2133" t="inlineStr">
        <is>
          <t>COPELAND</t>
        </is>
      </c>
      <c r="B2133" t="inlineStr">
        <is>
          <t>ZF13KQE</t>
        </is>
      </c>
      <c r="C2133" t="inlineStr">
        <is>
          <t>TFC</t>
        </is>
      </c>
      <c r="D2133" t="inlineStr">
        <is>
          <t>Copeland Scroll ZFKQ</t>
        </is>
      </c>
      <c r="E2133" s="2" t="n">
        <v>3</v>
      </c>
      <c r="F2133" s="2" t="n">
        <v>60</v>
      </c>
      <c r="G2133" s="2" t="n">
        <v>230</v>
      </c>
      <c r="H2133" t="inlineStr">
        <is>
          <t>208-230</t>
        </is>
      </c>
      <c r="I2133" s="2" t="n">
        <v>208</v>
      </c>
      <c r="J2133" s="2" t="n">
        <v>230</v>
      </c>
      <c r="L2133" s="3" t="n">
        <v>18.5</v>
      </c>
      <c r="M2133" s="3" t="n">
        <v>16</v>
      </c>
      <c r="N2133" s="3" t="n"/>
      <c r="O2133" s="3" t="n"/>
      <c r="P2133" s="3">
        <f>IF(L2133&lt;&gt;"",L2133/1.4,"")</f>
        <v/>
      </c>
      <c r="Q2133" s="3">
        <f>IF(L2133&lt;&gt;"",L2133/1.56,"")</f>
        <v/>
      </c>
      <c r="R2133" s="3">
        <f>IF(M2133&lt;&gt;"",M2133/1.4,"")</f>
        <v/>
      </c>
      <c r="S2133" s="3">
        <f>IF(M2133&lt;&gt;"",M2133/1.56,"")</f>
        <v/>
      </c>
      <c r="T2133" s="3">
        <f>IF(N2133&lt;&gt;"",N2133,IF(O2133&lt;&gt;"",O2133,IF(L2133&lt;&gt;"",L2133/1.56,IF(M2133&lt;&gt;"",M2133/1.56,""))))</f>
        <v/>
      </c>
      <c r="U2133" s="3" t="n">
        <v>99</v>
      </c>
      <c r="V2133" s="3" t="n"/>
      <c r="W2133" s="3" t="n"/>
      <c r="X2133" s="4" t="n"/>
      <c r="Y2133" s="5" t="n">
        <v>0.91</v>
      </c>
      <c r="Z2133" s="4">
        <f>IF(L2133&lt;&gt;"",SQRT(3)*G2133*L2133/1000,"")</f>
        <v/>
      </c>
      <c r="AA2133" t="inlineStr">
        <is>
          <t>Nominal_HP=4.0</t>
        </is>
      </c>
      <c r="AB2133" t="inlineStr">
        <is>
          <t>Copeland_RLA_230_460_3ph_60Hz.xlsx</t>
        </is>
      </c>
      <c r="AC2133" t="inlineStr">
        <is>
          <t>Scroll_ZFKQ</t>
        </is>
      </c>
    </row>
    <row r="2134">
      <c r="A2134" t="inlineStr">
        <is>
          <t>COPELAND</t>
        </is>
      </c>
      <c r="B2134" t="inlineStr">
        <is>
          <t>ZF13KQE</t>
        </is>
      </c>
      <c r="C2134" t="inlineStr">
        <is>
          <t>TFD</t>
        </is>
      </c>
      <c r="D2134" t="inlineStr">
        <is>
          <t>Copeland Scroll ZFKQ</t>
        </is>
      </c>
      <c r="E2134" s="2" t="n">
        <v>3</v>
      </c>
      <c r="F2134" s="2" t="n">
        <v>60</v>
      </c>
      <c r="G2134" s="2" t="n">
        <v>460</v>
      </c>
      <c r="H2134" t="inlineStr">
        <is>
          <t>460</t>
        </is>
      </c>
      <c r="I2134" s="2" t="n">
        <v>460</v>
      </c>
      <c r="J2134" s="2" t="n">
        <v>460</v>
      </c>
      <c r="L2134" s="3" t="n">
        <v>10</v>
      </c>
      <c r="M2134" s="3" t="n">
        <v>8</v>
      </c>
      <c r="N2134" s="3" t="n"/>
      <c r="O2134" s="3" t="n"/>
      <c r="P2134" s="3">
        <f>IF(L2134&lt;&gt;"",L2134/1.4,"")</f>
        <v/>
      </c>
      <c r="Q2134" s="3">
        <f>IF(L2134&lt;&gt;"",L2134/1.56,"")</f>
        <v/>
      </c>
      <c r="R2134" s="3">
        <f>IF(M2134&lt;&gt;"",M2134/1.4,"")</f>
        <v/>
      </c>
      <c r="S2134" s="3">
        <f>IF(M2134&lt;&gt;"",M2134/1.56,"")</f>
        <v/>
      </c>
      <c r="T2134" s="3">
        <f>IF(N2134&lt;&gt;"",N2134,IF(O2134&lt;&gt;"",O2134,IF(L2134&lt;&gt;"",L2134/1.56,IF(M2134&lt;&gt;"",M2134/1.56,""))))</f>
        <v/>
      </c>
      <c r="U2134" s="3" t="n">
        <v>49.5</v>
      </c>
      <c r="V2134" s="3" t="n"/>
      <c r="W2134" s="3" t="n"/>
      <c r="X2134" s="4" t="n"/>
      <c r="Y2134" s="5" t="n">
        <v>3.64</v>
      </c>
      <c r="Z2134" s="4">
        <f>IF(L2134&lt;&gt;"",SQRT(3)*G2134*L2134/1000,"")</f>
        <v/>
      </c>
      <c r="AA2134" t="inlineStr">
        <is>
          <t>Nominal_HP=4.0</t>
        </is>
      </c>
      <c r="AB2134" t="inlineStr">
        <is>
          <t>Copeland_RLA_230_460_3ph_60Hz.xlsx</t>
        </is>
      </c>
      <c r="AC2134" t="inlineStr">
        <is>
          <t>Scroll_ZFKQ</t>
        </is>
      </c>
    </row>
    <row r="2135">
      <c r="A2135" t="inlineStr">
        <is>
          <t>COPELAND</t>
        </is>
      </c>
      <c r="B2135" t="inlineStr">
        <is>
          <t>ZF15KQE</t>
        </is>
      </c>
      <c r="C2135" t="inlineStr">
        <is>
          <t>TFC</t>
        </is>
      </c>
      <c r="D2135" t="inlineStr">
        <is>
          <t>Copeland Scroll ZFKQ</t>
        </is>
      </c>
      <c r="E2135" s="2" t="n">
        <v>3</v>
      </c>
      <c r="F2135" s="2" t="n">
        <v>60</v>
      </c>
      <c r="G2135" s="2" t="n">
        <v>230</v>
      </c>
      <c r="H2135" t="inlineStr">
        <is>
          <t>208-230</t>
        </is>
      </c>
      <c r="I2135" s="2" t="n">
        <v>208</v>
      </c>
      <c r="J2135" s="2" t="n">
        <v>230</v>
      </c>
      <c r="L2135" s="3" t="n">
        <v>26.5</v>
      </c>
      <c r="M2135" s="3" t="n">
        <v>22</v>
      </c>
      <c r="N2135" s="3" t="n"/>
      <c r="O2135" s="3" t="n"/>
      <c r="P2135" s="3">
        <f>IF(L2135&lt;&gt;"",L2135/1.4,"")</f>
        <v/>
      </c>
      <c r="Q2135" s="3">
        <f>IF(L2135&lt;&gt;"",L2135/1.56,"")</f>
        <v/>
      </c>
      <c r="R2135" s="3">
        <f>IF(M2135&lt;&gt;"",M2135/1.4,"")</f>
        <v/>
      </c>
      <c r="S2135" s="3">
        <f>IF(M2135&lt;&gt;"",M2135/1.56,"")</f>
        <v/>
      </c>
      <c r="T2135" s="3">
        <f>IF(N2135&lt;&gt;"",N2135,IF(O2135&lt;&gt;"",O2135,IF(L2135&lt;&gt;"",L2135/1.56,IF(M2135&lt;&gt;"",M2135/1.56,""))))</f>
        <v/>
      </c>
      <c r="U2135" s="3" t="n">
        <v>123</v>
      </c>
      <c r="V2135" s="3" t="n"/>
      <c r="W2135" s="3" t="n"/>
      <c r="X2135" s="4" t="n"/>
      <c r="Y2135" s="5" t="n">
        <v>0.6899999999999999</v>
      </c>
      <c r="Z2135" s="4">
        <f>IF(L2135&lt;&gt;"",SQRT(3)*G2135*L2135/1000,"")</f>
        <v/>
      </c>
      <c r="AA2135" t="inlineStr">
        <is>
          <t>Nominal_HP=5.0</t>
        </is>
      </c>
      <c r="AB2135" t="inlineStr">
        <is>
          <t>Copeland_RLA_230_460_3ph_60Hz.xlsx</t>
        </is>
      </c>
      <c r="AC2135" t="inlineStr">
        <is>
          <t>Scroll_ZFKQ</t>
        </is>
      </c>
    </row>
    <row r="2136">
      <c r="A2136" t="inlineStr">
        <is>
          <t>COPELAND</t>
        </is>
      </c>
      <c r="B2136" t="inlineStr">
        <is>
          <t>ZF15KQE</t>
        </is>
      </c>
      <c r="C2136" t="inlineStr">
        <is>
          <t>TFD</t>
        </is>
      </c>
      <c r="D2136" t="inlineStr">
        <is>
          <t>Copeland Scroll ZFKQ</t>
        </is>
      </c>
      <c r="E2136" s="2" t="n">
        <v>3</v>
      </c>
      <c r="F2136" s="2" t="n">
        <v>60</v>
      </c>
      <c r="G2136" s="2" t="n">
        <v>460</v>
      </c>
      <c r="H2136" t="inlineStr">
        <is>
          <t>460</t>
        </is>
      </c>
      <c r="I2136" s="2" t="n">
        <v>460</v>
      </c>
      <c r="J2136" s="2" t="n">
        <v>460</v>
      </c>
      <c r="L2136" s="3" t="n">
        <v>12.5</v>
      </c>
      <c r="M2136" s="3" t="n">
        <v>10</v>
      </c>
      <c r="N2136" s="3" t="n"/>
      <c r="O2136" s="3" t="n"/>
      <c r="P2136" s="3">
        <f>IF(L2136&lt;&gt;"",L2136/1.4,"")</f>
        <v/>
      </c>
      <c r="Q2136" s="3">
        <f>IF(L2136&lt;&gt;"",L2136/1.56,"")</f>
        <v/>
      </c>
      <c r="R2136" s="3">
        <f>IF(M2136&lt;&gt;"",M2136/1.4,"")</f>
        <v/>
      </c>
      <c r="S2136" s="3">
        <f>IF(M2136&lt;&gt;"",M2136/1.56,"")</f>
        <v/>
      </c>
      <c r="T2136" s="3">
        <f>IF(N2136&lt;&gt;"",N2136,IF(O2136&lt;&gt;"",O2136,IF(L2136&lt;&gt;"",L2136/1.56,IF(M2136&lt;&gt;"",M2136/1.56,""))))</f>
        <v/>
      </c>
      <c r="U2136" s="3" t="n">
        <v>75</v>
      </c>
      <c r="V2136" s="3" t="n"/>
      <c r="W2136" s="3" t="n"/>
      <c r="X2136" s="4" t="n"/>
      <c r="Y2136" s="5" t="n">
        <v>2.75</v>
      </c>
      <c r="Z2136" s="4">
        <f>IF(L2136&lt;&gt;"",SQRT(3)*G2136*L2136/1000,"")</f>
        <v/>
      </c>
      <c r="AA2136" t="inlineStr">
        <is>
          <t>Nominal_HP=5.0</t>
        </is>
      </c>
      <c r="AB2136" t="inlineStr">
        <is>
          <t>Copeland_RLA_230_460_3ph_60Hz.xlsx</t>
        </is>
      </c>
      <c r="AC2136" t="inlineStr">
        <is>
          <t>Scroll_ZFKQ</t>
        </is>
      </c>
    </row>
    <row r="2137">
      <c r="A2137" t="inlineStr">
        <is>
          <t>COPELAND</t>
        </is>
      </c>
      <c r="B2137" t="inlineStr">
        <is>
          <t>ZF18KQE</t>
        </is>
      </c>
      <c r="C2137" t="inlineStr">
        <is>
          <t>TFC</t>
        </is>
      </c>
      <c r="D2137" t="inlineStr">
        <is>
          <t>Copeland Scroll ZFKQ</t>
        </is>
      </c>
      <c r="E2137" s="2" t="n">
        <v>3</v>
      </c>
      <c r="F2137" s="2" t="n">
        <v>60</v>
      </c>
      <c r="G2137" s="2" t="n">
        <v>230</v>
      </c>
      <c r="H2137" t="inlineStr">
        <is>
          <t>208-230</t>
        </is>
      </c>
      <c r="I2137" s="2" t="n">
        <v>208</v>
      </c>
      <c r="J2137" s="2" t="n">
        <v>230</v>
      </c>
      <c r="L2137" s="3" t="n">
        <v>30.5</v>
      </c>
      <c r="M2137" s="3" t="n">
        <v>25</v>
      </c>
      <c r="N2137" s="3" t="n"/>
      <c r="O2137" s="3" t="n"/>
      <c r="P2137" s="3">
        <f>IF(L2137&lt;&gt;"",L2137/1.4,"")</f>
        <v/>
      </c>
      <c r="Q2137" s="3">
        <f>IF(L2137&lt;&gt;"",L2137/1.56,"")</f>
        <v/>
      </c>
      <c r="R2137" s="3">
        <f>IF(M2137&lt;&gt;"",M2137/1.4,"")</f>
        <v/>
      </c>
      <c r="S2137" s="3">
        <f>IF(M2137&lt;&gt;"",M2137/1.56,"")</f>
        <v/>
      </c>
      <c r="T2137" s="3">
        <f>IF(N2137&lt;&gt;"",N2137,IF(O2137&lt;&gt;"",O2137,IF(L2137&lt;&gt;"",L2137/1.56,IF(M2137&lt;&gt;"",M2137/1.56,""))))</f>
        <v/>
      </c>
      <c r="U2137" s="3" t="n">
        <v>156</v>
      </c>
      <c r="V2137" s="3" t="n"/>
      <c r="W2137" s="3" t="n"/>
      <c r="X2137" s="4" t="n"/>
      <c r="Y2137" s="5" t="n">
        <v>0.5600000000000001</v>
      </c>
      <c r="Z2137" s="4">
        <f>IF(L2137&lt;&gt;"",SQRT(3)*G2137*L2137/1000,"")</f>
        <v/>
      </c>
      <c r="AA2137" t="inlineStr">
        <is>
          <t>Nominal_HP=6.0</t>
        </is>
      </c>
      <c r="AB2137" t="inlineStr">
        <is>
          <t>Copeland_RLA_230_460_3ph_60Hz.xlsx</t>
        </is>
      </c>
      <c r="AC2137" t="inlineStr">
        <is>
          <t>Scroll_ZFKQ</t>
        </is>
      </c>
    </row>
    <row r="2138">
      <c r="A2138" t="inlineStr">
        <is>
          <t>COPELAND</t>
        </is>
      </c>
      <c r="B2138" t="inlineStr">
        <is>
          <t>ZF18KQE</t>
        </is>
      </c>
      <c r="C2138" t="inlineStr">
        <is>
          <t>TFD</t>
        </is>
      </c>
      <c r="D2138" t="inlineStr">
        <is>
          <t>Copeland Scroll ZFKQ</t>
        </is>
      </c>
      <c r="E2138" s="2" t="n">
        <v>3</v>
      </c>
      <c r="F2138" s="2" t="n">
        <v>60</v>
      </c>
      <c r="G2138" s="2" t="n">
        <v>460</v>
      </c>
      <c r="H2138" t="inlineStr">
        <is>
          <t>460</t>
        </is>
      </c>
      <c r="I2138" s="2" t="n">
        <v>460</v>
      </c>
      <c r="J2138" s="2" t="n">
        <v>460</v>
      </c>
      <c r="L2138" s="3" t="n">
        <v>12.5</v>
      </c>
      <c r="M2138" s="3" t="n">
        <v>12.5</v>
      </c>
      <c r="N2138" s="3" t="n"/>
      <c r="O2138" s="3" t="n"/>
      <c r="P2138" s="3">
        <f>IF(L2138&lt;&gt;"",L2138/1.4,"")</f>
        <v/>
      </c>
      <c r="Q2138" s="3">
        <f>IF(L2138&lt;&gt;"",L2138/1.56,"")</f>
        <v/>
      </c>
      <c r="R2138" s="3">
        <f>IF(M2138&lt;&gt;"",M2138/1.4,"")</f>
        <v/>
      </c>
      <c r="S2138" s="3">
        <f>IF(M2138&lt;&gt;"",M2138/1.56,"")</f>
        <v/>
      </c>
      <c r="T2138" s="3">
        <f>IF(N2138&lt;&gt;"",N2138,IF(O2138&lt;&gt;"",O2138,IF(L2138&lt;&gt;"",L2138/1.56,IF(M2138&lt;&gt;"",M2138/1.56,""))))</f>
        <v/>
      </c>
      <c r="U2138" s="3" t="n">
        <v>75</v>
      </c>
      <c r="V2138" s="3" t="n"/>
      <c r="W2138" s="3" t="n"/>
      <c r="X2138" s="4" t="n"/>
      <c r="Y2138" s="5" t="n">
        <v>2.27</v>
      </c>
      <c r="Z2138" s="4">
        <f>IF(L2138&lt;&gt;"",SQRT(3)*G2138*L2138/1000,"")</f>
        <v/>
      </c>
      <c r="AA2138" t="inlineStr">
        <is>
          <t>Nominal_HP=6.0</t>
        </is>
      </c>
      <c r="AB2138" t="inlineStr">
        <is>
          <t>Copeland_RLA_230_460_3ph_60Hz.xlsx</t>
        </is>
      </c>
      <c r="AC2138" t="inlineStr">
        <is>
          <t>Scroll_ZFKQ</t>
        </is>
      </c>
    </row>
    <row r="2139">
      <c r="A2139" t="inlineStr">
        <is>
          <t>COPELAND</t>
        </is>
      </c>
      <c r="B2139" t="inlineStr">
        <is>
          <t>ZF25KQE</t>
        </is>
      </c>
      <c r="C2139" t="inlineStr">
        <is>
          <t>TFC</t>
        </is>
      </c>
      <c r="D2139" t="inlineStr">
        <is>
          <t>Copeland Scroll ZFKQ</t>
        </is>
      </c>
      <c r="E2139" s="2" t="n">
        <v>3</v>
      </c>
      <c r="F2139" s="2" t="n">
        <v>60</v>
      </c>
      <c r="G2139" s="2" t="n">
        <v>230</v>
      </c>
      <c r="H2139" t="inlineStr">
        <is>
          <t>208-230</t>
        </is>
      </c>
      <c r="I2139" s="2" t="n">
        <v>208</v>
      </c>
      <c r="J2139" s="2" t="n">
        <v>230</v>
      </c>
      <c r="L2139" s="3" t="n">
        <v>37.4</v>
      </c>
      <c r="M2139" s="3" t="n">
        <v>28.8</v>
      </c>
      <c r="N2139" s="3" t="n"/>
      <c r="O2139" s="3" t="n"/>
      <c r="P2139" s="3">
        <f>IF(L2139&lt;&gt;"",L2139/1.4,"")</f>
        <v/>
      </c>
      <c r="Q2139" s="3">
        <f>IF(L2139&lt;&gt;"",L2139/1.56,"")</f>
        <v/>
      </c>
      <c r="R2139" s="3">
        <f>IF(M2139&lt;&gt;"",M2139/1.4,"")</f>
        <v/>
      </c>
      <c r="S2139" s="3">
        <f>IF(M2139&lt;&gt;"",M2139/1.56,"")</f>
        <v/>
      </c>
      <c r="T2139" s="3">
        <f>IF(N2139&lt;&gt;"",N2139,IF(O2139&lt;&gt;"",O2139,IF(L2139&lt;&gt;"",L2139/1.56,IF(M2139&lt;&gt;"",M2139/1.56,""))))</f>
        <v/>
      </c>
      <c r="U2139" s="3" t="n">
        <v>224</v>
      </c>
      <c r="V2139" s="3" t="n"/>
      <c r="W2139" s="3" t="n"/>
      <c r="X2139" s="4" t="n"/>
      <c r="Y2139" s="5" t="n">
        <v>0.39</v>
      </c>
      <c r="Z2139" s="4">
        <f>IF(L2139&lt;&gt;"",SQRT(3)*G2139*L2139/1000,"")</f>
        <v/>
      </c>
      <c r="AA2139" t="inlineStr">
        <is>
          <t>Nominal_HP=7.5</t>
        </is>
      </c>
      <c r="AB2139" t="inlineStr">
        <is>
          <t>Copeland_RLA_230_460_3ph_60Hz.xlsx</t>
        </is>
      </c>
      <c r="AC2139" t="inlineStr">
        <is>
          <t>Scroll_ZFKQ</t>
        </is>
      </c>
    </row>
    <row r="2140">
      <c r="A2140" t="inlineStr">
        <is>
          <t>COPELAND</t>
        </is>
      </c>
      <c r="B2140" t="inlineStr">
        <is>
          <t>ZF25KQE</t>
        </is>
      </c>
      <c r="C2140" t="inlineStr">
        <is>
          <t>TFD</t>
        </is>
      </c>
      <c r="D2140" t="inlineStr">
        <is>
          <t>Copeland Scroll ZFKQ</t>
        </is>
      </c>
      <c r="E2140" s="2" t="n">
        <v>3</v>
      </c>
      <c r="F2140" s="2" t="n">
        <v>60</v>
      </c>
      <c r="G2140" s="2" t="n">
        <v>460</v>
      </c>
      <c r="H2140" t="inlineStr">
        <is>
          <t>460</t>
        </is>
      </c>
      <c r="I2140" s="2" t="n">
        <v>460</v>
      </c>
      <c r="J2140" s="2" t="n">
        <v>460</v>
      </c>
      <c r="L2140" s="3" t="n">
        <v>16.6</v>
      </c>
      <c r="M2140" s="3" t="n">
        <v>13.7</v>
      </c>
      <c r="N2140" s="3" t="n"/>
      <c r="O2140" s="3" t="n"/>
      <c r="P2140" s="3">
        <f>IF(L2140&lt;&gt;"",L2140/1.4,"")</f>
        <v/>
      </c>
      <c r="Q2140" s="3">
        <f>IF(L2140&lt;&gt;"",L2140/1.56,"")</f>
        <v/>
      </c>
      <c r="R2140" s="3">
        <f>IF(M2140&lt;&gt;"",M2140/1.4,"")</f>
        <v/>
      </c>
      <c r="S2140" s="3">
        <f>IF(M2140&lt;&gt;"",M2140/1.56,"")</f>
        <v/>
      </c>
      <c r="T2140" s="3">
        <f>IF(N2140&lt;&gt;"",N2140,IF(O2140&lt;&gt;"",O2140,IF(L2140&lt;&gt;"",L2140/1.56,IF(M2140&lt;&gt;"",M2140/1.56,""))))</f>
        <v/>
      </c>
      <c r="U2140" s="3" t="n">
        <v>99</v>
      </c>
      <c r="V2140" s="3" t="n"/>
      <c r="W2140" s="3" t="n"/>
      <c r="X2140" s="4" t="n"/>
      <c r="Y2140" s="5" t="n">
        <v>1.74</v>
      </c>
      <c r="Z2140" s="4">
        <f>IF(L2140&lt;&gt;"",SQRT(3)*G2140*L2140/1000,"")</f>
        <v/>
      </c>
      <c r="AA2140" t="inlineStr">
        <is>
          <t>Nominal_HP=7.5</t>
        </is>
      </c>
      <c r="AB2140" t="inlineStr">
        <is>
          <t>Copeland_RLA_230_460_3ph_60Hz.xlsx</t>
        </is>
      </c>
      <c r="AC2140" t="inlineStr">
        <is>
          <t>Scroll_ZFKQ</t>
        </is>
      </c>
    </row>
    <row r="2141">
      <c r="A2141" t="inlineStr">
        <is>
          <t>COPELAND</t>
        </is>
      </c>
      <c r="B2141" t="inlineStr">
        <is>
          <t>ZF28KQE</t>
        </is>
      </c>
      <c r="C2141" t="inlineStr">
        <is>
          <t>TFC</t>
        </is>
      </c>
      <c r="D2141" t="inlineStr">
        <is>
          <t>Copeland Scroll ZFKQ</t>
        </is>
      </c>
      <c r="E2141" s="2" t="n">
        <v>3</v>
      </c>
      <c r="F2141" s="2" t="n">
        <v>60</v>
      </c>
      <c r="G2141" s="2" t="n">
        <v>230</v>
      </c>
      <c r="H2141" t="inlineStr">
        <is>
          <t>208-230</t>
        </is>
      </c>
      <c r="I2141" s="2" t="n">
        <v>208</v>
      </c>
      <c r="J2141" s="2" t="n">
        <v>230</v>
      </c>
      <c r="L2141" s="3" t="n">
        <v>42.6</v>
      </c>
      <c r="M2141" s="3" t="n">
        <v>38.7</v>
      </c>
      <c r="N2141" s="3" t="n"/>
      <c r="O2141" s="3" t="n"/>
      <c r="P2141" s="3">
        <f>IF(L2141&lt;&gt;"",L2141/1.4,"")</f>
        <v/>
      </c>
      <c r="Q2141" s="3">
        <f>IF(L2141&lt;&gt;"",L2141/1.56,"")</f>
        <v/>
      </c>
      <c r="R2141" s="3">
        <f>IF(M2141&lt;&gt;"",M2141/1.4,"")</f>
        <v/>
      </c>
      <c r="S2141" s="3">
        <f>IF(M2141&lt;&gt;"",M2141/1.56,"")</f>
        <v/>
      </c>
      <c r="T2141" s="3">
        <f>IF(N2141&lt;&gt;"",N2141,IF(O2141&lt;&gt;"",O2141,IF(L2141&lt;&gt;"",L2141/1.56,IF(M2141&lt;&gt;"",M2141/1.56,""))))</f>
        <v/>
      </c>
      <c r="U2141" s="3" t="n">
        <v>199</v>
      </c>
      <c r="V2141" s="3" t="n"/>
      <c r="W2141" s="3" t="n"/>
      <c r="X2141" s="4" t="n"/>
      <c r="Y2141" s="5" t="n">
        <v>0.37</v>
      </c>
      <c r="Z2141" s="4">
        <f>IF(L2141&lt;&gt;"",SQRT(3)*G2141*L2141/1000,"")</f>
        <v/>
      </c>
      <c r="AA2141" t="inlineStr">
        <is>
          <t>Nominal_HP=9.0</t>
        </is>
      </c>
      <c r="AB2141" t="inlineStr">
        <is>
          <t>Copeland_RLA_230_460_3ph_60Hz.xlsx</t>
        </is>
      </c>
      <c r="AC2141" t="inlineStr">
        <is>
          <t>Scroll_ZFKQ</t>
        </is>
      </c>
    </row>
    <row r="2142">
      <c r="A2142" t="inlineStr">
        <is>
          <t>COPELAND</t>
        </is>
      </c>
      <c r="B2142" t="inlineStr">
        <is>
          <t>ZF28KQE</t>
        </is>
      </c>
      <c r="C2142" t="inlineStr">
        <is>
          <t>TFD</t>
        </is>
      </c>
      <c r="D2142" t="inlineStr">
        <is>
          <t>Copeland Scroll ZFKQ</t>
        </is>
      </c>
      <c r="E2142" s="2" t="n">
        <v>3</v>
      </c>
      <c r="F2142" s="2" t="n">
        <v>60</v>
      </c>
      <c r="G2142" s="2" t="n">
        <v>460</v>
      </c>
      <c r="H2142" t="inlineStr">
        <is>
          <t>460</t>
        </is>
      </c>
      <c r="I2142" s="2" t="n">
        <v>460</v>
      </c>
      <c r="J2142" s="2" t="n">
        <v>460</v>
      </c>
      <c r="L2142" s="3" t="n">
        <v>20.1</v>
      </c>
      <c r="M2142" s="3" t="n">
        <v>16.8</v>
      </c>
      <c r="N2142" s="3" t="n"/>
      <c r="O2142" s="3" t="n"/>
      <c r="P2142" s="3">
        <f>IF(L2142&lt;&gt;"",L2142/1.4,"")</f>
        <v/>
      </c>
      <c r="Q2142" s="3">
        <f>IF(L2142&lt;&gt;"",L2142/1.56,"")</f>
        <v/>
      </c>
      <c r="R2142" s="3">
        <f>IF(M2142&lt;&gt;"",M2142/1.4,"")</f>
        <v/>
      </c>
      <c r="S2142" s="3">
        <f>IF(M2142&lt;&gt;"",M2142/1.56,"")</f>
        <v/>
      </c>
      <c r="T2142" s="3">
        <f>IF(N2142&lt;&gt;"",N2142,IF(O2142&lt;&gt;"",O2142,IF(L2142&lt;&gt;"",L2142/1.56,IF(M2142&lt;&gt;"",M2142/1.56,""))))</f>
        <v/>
      </c>
      <c r="U2142" s="3" t="n">
        <v>121.4</v>
      </c>
      <c r="V2142" s="3" t="n"/>
      <c r="W2142" s="3" t="n"/>
      <c r="X2142" s="4" t="n"/>
      <c r="Y2142" s="5" t="n">
        <v>1.63</v>
      </c>
      <c r="Z2142" s="4">
        <f>IF(L2142&lt;&gt;"",SQRT(3)*G2142*L2142/1000,"")</f>
        <v/>
      </c>
      <c r="AA2142" t="inlineStr">
        <is>
          <t>Nominal_HP=9.0</t>
        </is>
      </c>
      <c r="AB2142" t="inlineStr">
        <is>
          <t>Copeland_RLA_230_460_3ph_60Hz.xlsx</t>
        </is>
      </c>
      <c r="AC2142" t="inlineStr">
        <is>
          <t>Scroll_ZFKQ</t>
        </is>
      </c>
    </row>
    <row r="2143">
      <c r="A2143" t="inlineStr">
        <is>
          <t>COPELAND</t>
        </is>
      </c>
      <c r="B2143" t="inlineStr">
        <is>
          <t>ZF34KQE</t>
        </is>
      </c>
      <c r="C2143" t="inlineStr">
        <is>
          <t>TFC</t>
        </is>
      </c>
      <c r="D2143" t="inlineStr">
        <is>
          <t>Copeland Scroll ZFKQ</t>
        </is>
      </c>
      <c r="E2143" s="2" t="n">
        <v>3</v>
      </c>
      <c r="F2143" s="2" t="n">
        <v>60</v>
      </c>
      <c r="G2143" s="2" t="n">
        <v>230</v>
      </c>
      <c r="H2143" t="inlineStr">
        <is>
          <t>208-230</t>
        </is>
      </c>
      <c r="I2143" s="2" t="n">
        <v>208</v>
      </c>
      <c r="J2143" s="2" t="n">
        <v>230</v>
      </c>
      <c r="L2143" s="3" t="n">
        <v>52</v>
      </c>
      <c r="M2143" s="3" t="n">
        <v>51.4</v>
      </c>
      <c r="N2143" s="3" t="n"/>
      <c r="O2143" s="3" t="n"/>
      <c r="P2143" s="3">
        <f>IF(L2143&lt;&gt;"",L2143/1.4,"")</f>
        <v/>
      </c>
      <c r="Q2143" s="3">
        <f>IF(L2143&lt;&gt;"",L2143/1.56,"")</f>
        <v/>
      </c>
      <c r="R2143" s="3">
        <f>IF(M2143&lt;&gt;"",M2143/1.4,"")</f>
        <v/>
      </c>
      <c r="S2143" s="3">
        <f>IF(M2143&lt;&gt;"",M2143/1.56,"")</f>
        <v/>
      </c>
      <c r="T2143" s="3">
        <f>IF(N2143&lt;&gt;"",N2143,IF(O2143&lt;&gt;"",O2143,IF(L2143&lt;&gt;"",L2143/1.56,IF(M2143&lt;&gt;"",M2143/1.56,""))))</f>
        <v/>
      </c>
      <c r="U2143" s="3" t="n">
        <v>239</v>
      </c>
      <c r="V2143" s="3" t="n"/>
      <c r="W2143" s="3" t="n"/>
      <c r="X2143" s="4" t="n"/>
      <c r="Y2143" s="5" t="n">
        <v>0.31</v>
      </c>
      <c r="Z2143" s="4">
        <f>IF(L2143&lt;&gt;"",SQRT(3)*G2143*L2143/1000,"")</f>
        <v/>
      </c>
      <c r="AA2143" t="inlineStr">
        <is>
          <t>Nominal_HP=10.0</t>
        </is>
      </c>
      <c r="AB2143" t="inlineStr">
        <is>
          <t>Copeland_RLA_230_460_3ph_60Hz.xlsx</t>
        </is>
      </c>
      <c r="AC2143" t="inlineStr">
        <is>
          <t>Scroll_ZFKQ</t>
        </is>
      </c>
    </row>
    <row r="2144">
      <c r="A2144" t="inlineStr">
        <is>
          <t>COPELAND</t>
        </is>
      </c>
      <c r="B2144" t="inlineStr">
        <is>
          <t>ZF34KQE</t>
        </is>
      </c>
      <c r="C2144" t="inlineStr">
        <is>
          <t>TFD</t>
        </is>
      </c>
      <c r="D2144" t="inlineStr">
        <is>
          <t>Copeland Scroll ZFKQ</t>
        </is>
      </c>
      <c r="E2144" s="2" t="n">
        <v>3</v>
      </c>
      <c r="F2144" s="2" t="n">
        <v>60</v>
      </c>
      <c r="G2144" s="2" t="n">
        <v>460</v>
      </c>
      <c r="H2144" t="inlineStr">
        <is>
          <t>460</t>
        </is>
      </c>
      <c r="I2144" s="2" t="n">
        <v>460</v>
      </c>
      <c r="J2144" s="2" t="n">
        <v>460</v>
      </c>
      <c r="L2144" s="3" t="n">
        <v>25</v>
      </c>
      <c r="M2144" s="3" t="n">
        <v>25</v>
      </c>
      <c r="N2144" s="3" t="n"/>
      <c r="O2144" s="3" t="n"/>
      <c r="P2144" s="3">
        <f>IF(L2144&lt;&gt;"",L2144/1.4,"")</f>
        <v/>
      </c>
      <c r="Q2144" s="3">
        <f>IF(L2144&lt;&gt;"",L2144/1.56,"")</f>
        <v/>
      </c>
      <c r="R2144" s="3">
        <f>IF(M2144&lt;&gt;"",M2144/1.4,"")</f>
        <v/>
      </c>
      <c r="S2144" s="3">
        <f>IF(M2144&lt;&gt;"",M2144/1.56,"")</f>
        <v/>
      </c>
      <c r="T2144" s="3">
        <f>IF(N2144&lt;&gt;"",N2144,IF(O2144&lt;&gt;"",O2144,IF(L2144&lt;&gt;"",L2144/1.56,IF(M2144&lt;&gt;"",M2144/1.56,""))))</f>
        <v/>
      </c>
      <c r="U2144" s="3" t="n">
        <v>100</v>
      </c>
      <c r="V2144" s="3" t="n"/>
      <c r="W2144" s="3" t="n"/>
      <c r="X2144" s="4" t="n"/>
      <c r="Y2144" s="5" t="n">
        <v>1.24</v>
      </c>
      <c r="Z2144" s="4">
        <f>IF(L2144&lt;&gt;"",SQRT(3)*G2144*L2144/1000,"")</f>
        <v/>
      </c>
      <c r="AA2144" t="inlineStr">
        <is>
          <t>Nominal_HP=10.0</t>
        </is>
      </c>
      <c r="AB2144" t="inlineStr">
        <is>
          <t>Copeland_RLA_230_460_3ph_60Hz.xlsx</t>
        </is>
      </c>
      <c r="AC2144" t="inlineStr">
        <is>
          <t>Scroll_ZFKQ</t>
        </is>
      </c>
    </row>
    <row r="2145">
      <c r="A2145" t="inlineStr">
        <is>
          <t>COPELAND</t>
        </is>
      </c>
      <c r="B2145" t="inlineStr">
        <is>
          <t>ZF41KQE</t>
        </is>
      </c>
      <c r="C2145" t="inlineStr">
        <is>
          <t>TFC</t>
        </is>
      </c>
      <c r="D2145" t="inlineStr">
        <is>
          <t>Copeland Scroll ZFKQ</t>
        </is>
      </c>
      <c r="E2145" s="2" t="n">
        <v>3</v>
      </c>
      <c r="F2145" s="2" t="n">
        <v>60</v>
      </c>
      <c r="G2145" s="2" t="n">
        <v>230</v>
      </c>
      <c r="H2145" t="inlineStr">
        <is>
          <t>208-230</t>
        </is>
      </c>
      <c r="I2145" s="2" t="n">
        <v>208</v>
      </c>
      <c r="J2145" s="2" t="n">
        <v>230</v>
      </c>
      <c r="L2145" s="3" t="n">
        <v>59</v>
      </c>
      <c r="M2145" s="3" t="n">
        <v>57.7</v>
      </c>
      <c r="N2145" s="3" t="n"/>
      <c r="O2145" s="3" t="n"/>
      <c r="P2145" s="3">
        <f>IF(L2145&lt;&gt;"",L2145/1.4,"")</f>
        <v/>
      </c>
      <c r="Q2145" s="3">
        <f>IF(L2145&lt;&gt;"",L2145/1.56,"")</f>
        <v/>
      </c>
      <c r="R2145" s="3">
        <f>IF(M2145&lt;&gt;"",M2145/1.4,"")</f>
        <v/>
      </c>
      <c r="S2145" s="3">
        <f>IF(M2145&lt;&gt;"",M2145/1.56,"")</f>
        <v/>
      </c>
      <c r="T2145" s="3">
        <f>IF(N2145&lt;&gt;"",N2145,IF(O2145&lt;&gt;"",O2145,IF(L2145&lt;&gt;"",L2145/1.56,IF(M2145&lt;&gt;"",M2145/1.56,""))))</f>
        <v/>
      </c>
      <c r="U2145" s="3" t="n">
        <v>248</v>
      </c>
      <c r="V2145" s="3" t="n"/>
      <c r="W2145" s="3" t="n"/>
      <c r="X2145" s="4" t="n"/>
      <c r="Y2145" s="5" t="n">
        <v>0.28</v>
      </c>
      <c r="Z2145" s="4">
        <f>IF(L2145&lt;&gt;"",SQRT(3)*G2145*L2145/1000,"")</f>
        <v/>
      </c>
      <c r="AA2145" t="inlineStr">
        <is>
          <t>Nominal_HP=13.0</t>
        </is>
      </c>
      <c r="AB2145" t="inlineStr">
        <is>
          <t>Copeland_RLA_230_460_3ph_60Hz.xlsx</t>
        </is>
      </c>
      <c r="AC2145" t="inlineStr">
        <is>
          <t>Scroll_ZFKQ</t>
        </is>
      </c>
    </row>
    <row r="2146">
      <c r="A2146" t="inlineStr">
        <is>
          <t>COPELAND</t>
        </is>
      </c>
      <c r="B2146" t="inlineStr">
        <is>
          <t>ZF41KQE</t>
        </is>
      </c>
      <c r="C2146" t="inlineStr">
        <is>
          <t>TFD</t>
        </is>
      </c>
      <c r="D2146" t="inlineStr">
        <is>
          <t>Copeland Scroll ZFKQ</t>
        </is>
      </c>
      <c r="E2146" s="2" t="n">
        <v>3</v>
      </c>
      <c r="F2146" s="2" t="n">
        <v>60</v>
      </c>
      <c r="G2146" s="2" t="n">
        <v>460</v>
      </c>
      <c r="H2146" t="inlineStr">
        <is>
          <t>460</t>
        </is>
      </c>
      <c r="I2146" s="2" t="n">
        <v>460</v>
      </c>
      <c r="J2146" s="2" t="n">
        <v>460</v>
      </c>
      <c r="L2146" s="3" t="n">
        <v>27</v>
      </c>
      <c r="M2146" s="3" t="n">
        <v>29</v>
      </c>
      <c r="N2146" s="3" t="n"/>
      <c r="O2146" s="3" t="n"/>
      <c r="P2146" s="3">
        <f>IF(L2146&lt;&gt;"",L2146/1.4,"")</f>
        <v/>
      </c>
      <c r="Q2146" s="3">
        <f>IF(L2146&lt;&gt;"",L2146/1.56,"")</f>
        <v/>
      </c>
      <c r="R2146" s="3">
        <f>IF(M2146&lt;&gt;"",M2146/1.4,"")</f>
        <v/>
      </c>
      <c r="S2146" s="3">
        <f>IF(M2146&lt;&gt;"",M2146/1.56,"")</f>
        <v/>
      </c>
      <c r="T2146" s="3">
        <f>IF(N2146&lt;&gt;"",N2146,IF(O2146&lt;&gt;"",O2146,IF(L2146&lt;&gt;"",L2146/1.56,IF(M2146&lt;&gt;"",M2146/1.56,""))))</f>
        <v/>
      </c>
      <c r="U2146" s="3" t="n">
        <v>125</v>
      </c>
      <c r="V2146" s="3" t="n"/>
      <c r="W2146" s="3" t="n"/>
      <c r="X2146" s="4" t="n"/>
      <c r="Y2146" s="5" t="n">
        <v>1.24</v>
      </c>
      <c r="Z2146" s="4">
        <f>IF(L2146&lt;&gt;"",SQRT(3)*G2146*L2146/1000,"")</f>
        <v/>
      </c>
      <c r="AA2146" t="inlineStr">
        <is>
          <t>Nominal_HP=13.0</t>
        </is>
      </c>
      <c r="AB2146" t="inlineStr">
        <is>
          <t>Copeland_RLA_230_460_3ph_60Hz.xlsx</t>
        </is>
      </c>
      <c r="AC2146" t="inlineStr">
        <is>
          <t>Scroll_ZFKQ</t>
        </is>
      </c>
    </row>
    <row r="2147">
      <c r="A2147" t="inlineStr">
        <is>
          <t>COPELAND</t>
        </is>
      </c>
      <c r="B2147" t="inlineStr">
        <is>
          <t>ZF49KQE</t>
        </is>
      </c>
      <c r="C2147" t="inlineStr">
        <is>
          <t>TFC</t>
        </is>
      </c>
      <c r="D2147" t="inlineStr">
        <is>
          <t>Copeland Scroll ZFKQ</t>
        </is>
      </c>
      <c r="E2147" s="2" t="n">
        <v>3</v>
      </c>
      <c r="F2147" s="2" t="n">
        <v>60</v>
      </c>
      <c r="G2147" s="2" t="n">
        <v>230</v>
      </c>
      <c r="H2147" t="inlineStr">
        <is>
          <t>208-230</t>
        </is>
      </c>
      <c r="I2147" s="2" t="n">
        <v>208</v>
      </c>
      <c r="J2147" s="2" t="n">
        <v>230</v>
      </c>
      <c r="L2147" s="3" t="n">
        <v>71</v>
      </c>
      <c r="M2147" s="3" t="n">
        <v>67.90000000000001</v>
      </c>
      <c r="N2147" s="3" t="n"/>
      <c r="O2147" s="3" t="n"/>
      <c r="P2147" s="3">
        <f>IF(L2147&lt;&gt;"",L2147/1.4,"")</f>
        <v/>
      </c>
      <c r="Q2147" s="3">
        <f>IF(L2147&lt;&gt;"",L2147/1.56,"")</f>
        <v/>
      </c>
      <c r="R2147" s="3">
        <f>IF(M2147&lt;&gt;"",M2147/1.4,"")</f>
        <v/>
      </c>
      <c r="S2147" s="3">
        <f>IF(M2147&lt;&gt;"",M2147/1.56,"")</f>
        <v/>
      </c>
      <c r="T2147" s="3">
        <f>IF(N2147&lt;&gt;"",N2147,IF(O2147&lt;&gt;"",O2147,IF(L2147&lt;&gt;"",L2147/1.56,IF(M2147&lt;&gt;"",M2147/1.56,""))))</f>
        <v/>
      </c>
      <c r="U2147" s="3" t="n">
        <v>338.7</v>
      </c>
      <c r="V2147" s="3" t="n"/>
      <c r="W2147" s="3" t="n"/>
      <c r="X2147" s="4" t="n"/>
      <c r="Y2147" s="5" t="n">
        <v>0.22</v>
      </c>
      <c r="Z2147" s="4">
        <f>IF(L2147&lt;&gt;"",SQRT(3)*G2147*L2147/1000,"")</f>
        <v/>
      </c>
      <c r="AA2147" t="inlineStr">
        <is>
          <t>Nominal_HP=15.0</t>
        </is>
      </c>
      <c r="AB2147" t="inlineStr">
        <is>
          <t>Copeland_RLA_230_460_3ph_60Hz.xlsx</t>
        </is>
      </c>
      <c r="AC2147" t="inlineStr">
        <is>
          <t>Scroll_ZFKQ</t>
        </is>
      </c>
    </row>
    <row r="2148">
      <c r="A2148" t="inlineStr">
        <is>
          <t>COPELAND</t>
        </is>
      </c>
      <c r="B2148" t="inlineStr">
        <is>
          <t>ZF49KQE</t>
        </is>
      </c>
      <c r="C2148" t="inlineStr">
        <is>
          <t>TFD</t>
        </is>
      </c>
      <c r="D2148" t="inlineStr">
        <is>
          <t>Copeland Scroll ZFKQ</t>
        </is>
      </c>
      <c r="E2148" s="2" t="n">
        <v>3</v>
      </c>
      <c r="F2148" s="2" t="n">
        <v>60</v>
      </c>
      <c r="G2148" s="2" t="n">
        <v>460</v>
      </c>
      <c r="H2148" t="inlineStr">
        <is>
          <t>460</t>
        </is>
      </c>
      <c r="I2148" s="2" t="n">
        <v>460</v>
      </c>
      <c r="J2148" s="2" t="n">
        <v>460</v>
      </c>
      <c r="L2148" s="3" t="n">
        <v>28.3</v>
      </c>
      <c r="M2148" s="3" t="n">
        <v>30</v>
      </c>
      <c r="N2148" s="3" t="n"/>
      <c r="O2148" s="3" t="n"/>
      <c r="P2148" s="3">
        <f>IF(L2148&lt;&gt;"",L2148/1.4,"")</f>
        <v/>
      </c>
      <c r="Q2148" s="3">
        <f>IF(L2148&lt;&gt;"",L2148/1.56,"")</f>
        <v/>
      </c>
      <c r="R2148" s="3">
        <f>IF(M2148&lt;&gt;"",M2148/1.4,"")</f>
        <v/>
      </c>
      <c r="S2148" s="3">
        <f>IF(M2148&lt;&gt;"",M2148/1.56,"")</f>
        <v/>
      </c>
      <c r="T2148" s="3">
        <f>IF(N2148&lt;&gt;"",N2148,IF(O2148&lt;&gt;"",O2148,IF(L2148&lt;&gt;"",L2148/1.56,IF(M2148&lt;&gt;"",M2148/1.56,""))))</f>
        <v/>
      </c>
      <c r="U2148" s="3" t="n">
        <v>139</v>
      </c>
      <c r="V2148" s="3" t="n"/>
      <c r="W2148" s="3" t="n"/>
      <c r="X2148" s="4" t="n"/>
      <c r="Y2148" s="5" t="n">
        <v>1.09</v>
      </c>
      <c r="Z2148" s="4">
        <f>IF(L2148&lt;&gt;"",SQRT(3)*G2148*L2148/1000,"")</f>
        <v/>
      </c>
      <c r="AA2148" t="inlineStr">
        <is>
          <t>Nominal_HP=15.0</t>
        </is>
      </c>
      <c r="AB2148" t="inlineStr">
        <is>
          <t>Copeland_RLA_230_460_3ph_60Hz.xlsx</t>
        </is>
      </c>
      <c r="AC2148" t="inlineStr">
        <is>
          <t>Scroll_ZFKQ</t>
        </is>
      </c>
    </row>
    <row r="2149">
      <c r="A2149" t="inlineStr">
        <is>
          <t>COPELAND</t>
        </is>
      </c>
      <c r="B2149" t="inlineStr">
        <is>
          <t>ZFI20KQE</t>
        </is>
      </c>
      <c r="C2149" t="inlineStr">
        <is>
          <t>TFC</t>
        </is>
      </c>
      <c r="D2149" t="inlineStr">
        <is>
          <t>Copeland Scroll ZFKQ</t>
        </is>
      </c>
      <c r="E2149" s="2" t="n">
        <v>3</v>
      </c>
      <c r="F2149" s="2" t="n">
        <v>60</v>
      </c>
      <c r="G2149" s="2" t="n">
        <v>230</v>
      </c>
      <c r="H2149" t="inlineStr">
        <is>
          <t>208-230</t>
        </is>
      </c>
      <c r="I2149" s="2" t="n">
        <v>208</v>
      </c>
      <c r="J2149" s="2" t="n">
        <v>230</v>
      </c>
      <c r="L2149" s="3" t="n">
        <v>24</v>
      </c>
      <c r="M2149" s="3" t="n">
        <v>18</v>
      </c>
      <c r="N2149" s="3" t="n"/>
      <c r="O2149" s="3" t="n"/>
      <c r="P2149" s="3">
        <f>IF(L2149&lt;&gt;"",L2149/1.4,"")</f>
        <v/>
      </c>
      <c r="Q2149" s="3">
        <f>IF(L2149&lt;&gt;"",L2149/1.56,"")</f>
        <v/>
      </c>
      <c r="R2149" s="3">
        <f>IF(M2149&lt;&gt;"",M2149/1.4,"")</f>
        <v/>
      </c>
      <c r="S2149" s="3">
        <f>IF(M2149&lt;&gt;"",M2149/1.56,"")</f>
        <v/>
      </c>
      <c r="T2149" s="3">
        <f>IF(N2149&lt;&gt;"",N2149,IF(O2149&lt;&gt;"",O2149,IF(L2149&lt;&gt;"",L2149/1.56,IF(M2149&lt;&gt;"",M2149/1.56,""))))</f>
        <v/>
      </c>
      <c r="U2149" s="3" t="n">
        <v>123</v>
      </c>
      <c r="V2149" s="3" t="n"/>
      <c r="W2149" s="3" t="n"/>
      <c r="X2149" s="4" t="n"/>
      <c r="Y2149" s="5" t="n">
        <v>0.6899999999999999</v>
      </c>
      <c r="Z2149" s="4">
        <f>IF(L2149&lt;&gt;"",SQRT(3)*G2149*L2149/1000,"")</f>
        <v/>
      </c>
      <c r="AA2149" t="inlineStr">
        <is>
          <t>Nominal_HP=4.0</t>
        </is>
      </c>
      <c r="AB2149" t="inlineStr">
        <is>
          <t>Copeland_RLA_230_460_3ph_60Hz.xlsx</t>
        </is>
      </c>
      <c r="AC2149" t="inlineStr">
        <is>
          <t>Scroll_ZFKQ</t>
        </is>
      </c>
    </row>
    <row r="2150">
      <c r="A2150" t="inlineStr">
        <is>
          <t>COPELAND</t>
        </is>
      </c>
      <c r="B2150" t="inlineStr">
        <is>
          <t>ZFI20KQE</t>
        </is>
      </c>
      <c r="C2150" t="inlineStr">
        <is>
          <t>TFD</t>
        </is>
      </c>
      <c r="D2150" t="inlineStr">
        <is>
          <t>Copeland Scroll ZFKQ</t>
        </is>
      </c>
      <c r="E2150" s="2" t="n">
        <v>3</v>
      </c>
      <c r="F2150" s="2" t="n">
        <v>60</v>
      </c>
      <c r="G2150" s="2" t="n">
        <v>460</v>
      </c>
      <c r="H2150" t="inlineStr">
        <is>
          <t>460</t>
        </is>
      </c>
      <c r="I2150" s="2" t="n">
        <v>460</v>
      </c>
      <c r="J2150" s="2" t="n">
        <v>460</v>
      </c>
      <c r="L2150" s="3" t="n">
        <v>12</v>
      </c>
      <c r="M2150" s="3" t="n">
        <v>9</v>
      </c>
      <c r="N2150" s="3" t="n"/>
      <c r="O2150" s="3" t="n"/>
      <c r="P2150" s="3">
        <f>IF(L2150&lt;&gt;"",L2150/1.4,"")</f>
        <v/>
      </c>
      <c r="Q2150" s="3">
        <f>IF(L2150&lt;&gt;"",L2150/1.56,"")</f>
        <v/>
      </c>
      <c r="R2150" s="3">
        <f>IF(M2150&lt;&gt;"",M2150/1.4,"")</f>
        <v/>
      </c>
      <c r="S2150" s="3">
        <f>IF(M2150&lt;&gt;"",M2150/1.56,"")</f>
        <v/>
      </c>
      <c r="T2150" s="3">
        <f>IF(N2150&lt;&gt;"",N2150,IF(O2150&lt;&gt;"",O2150,IF(L2150&lt;&gt;"",L2150/1.56,IF(M2150&lt;&gt;"",M2150/1.56,""))))</f>
        <v/>
      </c>
      <c r="U2150" s="3" t="n">
        <v>62</v>
      </c>
      <c r="V2150" s="3" t="n"/>
      <c r="W2150" s="3" t="n"/>
      <c r="X2150" s="4" t="n"/>
      <c r="Y2150" s="5" t="n">
        <v>2.75</v>
      </c>
      <c r="Z2150" s="4">
        <f>IF(L2150&lt;&gt;"",SQRT(3)*G2150*L2150/1000,"")</f>
        <v/>
      </c>
      <c r="AA2150" t="inlineStr">
        <is>
          <t>Nominal_HP=4.0</t>
        </is>
      </c>
      <c r="AB2150" t="inlineStr">
        <is>
          <t>Copeland_RLA_230_460_3ph_60Hz.xlsx</t>
        </is>
      </c>
      <c r="AC2150" t="inlineStr">
        <is>
          <t>Scroll_ZFKQ</t>
        </is>
      </c>
    </row>
    <row r="2151">
      <c r="A2151" t="inlineStr">
        <is>
          <t>COPELAND</t>
        </is>
      </c>
      <c r="B2151" t="inlineStr">
        <is>
          <t>ZFI26KQE</t>
        </is>
      </c>
      <c r="C2151" t="inlineStr">
        <is>
          <t>TFC</t>
        </is>
      </c>
      <c r="D2151" t="inlineStr">
        <is>
          <t>Copeland Scroll ZFKQ</t>
        </is>
      </c>
      <c r="E2151" s="2" t="n">
        <v>3</v>
      </c>
      <c r="F2151" s="2" t="n">
        <v>60</v>
      </c>
      <c r="G2151" s="2" t="n">
        <v>230</v>
      </c>
      <c r="H2151" t="inlineStr">
        <is>
          <t>208-230</t>
        </is>
      </c>
      <c r="I2151" s="2" t="n">
        <v>208</v>
      </c>
      <c r="J2151" s="2" t="n">
        <v>230</v>
      </c>
      <c r="L2151" s="3" t="n">
        <v>30.5</v>
      </c>
      <c r="M2151" s="3" t="n">
        <v>26</v>
      </c>
      <c r="N2151" s="3" t="n"/>
      <c r="O2151" s="3" t="n"/>
      <c r="P2151" s="3">
        <f>IF(L2151&lt;&gt;"",L2151/1.4,"")</f>
        <v/>
      </c>
      <c r="Q2151" s="3">
        <f>IF(L2151&lt;&gt;"",L2151/1.56,"")</f>
        <v/>
      </c>
      <c r="R2151" s="3">
        <f>IF(M2151&lt;&gt;"",M2151/1.4,"")</f>
        <v/>
      </c>
      <c r="S2151" s="3">
        <f>IF(M2151&lt;&gt;"",M2151/1.56,"")</f>
        <v/>
      </c>
      <c r="T2151" s="3">
        <f>IF(N2151&lt;&gt;"",N2151,IF(O2151&lt;&gt;"",O2151,IF(L2151&lt;&gt;"",L2151/1.56,IF(M2151&lt;&gt;"",M2151/1.56,""))))</f>
        <v/>
      </c>
      <c r="U2151" s="3" t="n">
        <v>156</v>
      </c>
      <c r="V2151" s="3" t="n"/>
      <c r="W2151" s="3" t="n"/>
      <c r="X2151" s="4" t="n"/>
      <c r="Y2151" s="5" t="n">
        <v>0.5600000000000001</v>
      </c>
      <c r="Z2151" s="4">
        <f>IF(L2151&lt;&gt;"",SQRT(3)*G2151*L2151/1000,"")</f>
        <v/>
      </c>
      <c r="AA2151" t="inlineStr">
        <is>
          <t>Nominal_HP=6.0</t>
        </is>
      </c>
      <c r="AB2151" t="inlineStr">
        <is>
          <t>Copeland_RLA_230_460_3ph_60Hz.xlsx</t>
        </is>
      </c>
      <c r="AC2151" t="inlineStr">
        <is>
          <t>Scroll_ZFKQ</t>
        </is>
      </c>
    </row>
    <row r="2152">
      <c r="A2152" t="inlineStr">
        <is>
          <t>COPELAND</t>
        </is>
      </c>
      <c r="B2152" t="inlineStr">
        <is>
          <t>ZFI26KQE</t>
        </is>
      </c>
      <c r="C2152" t="inlineStr">
        <is>
          <t>TFD</t>
        </is>
      </c>
      <c r="D2152" t="inlineStr">
        <is>
          <t>Copeland Scroll ZFKQ</t>
        </is>
      </c>
      <c r="E2152" s="2" t="n">
        <v>3</v>
      </c>
      <c r="F2152" s="2" t="n">
        <v>60</v>
      </c>
      <c r="G2152" s="2" t="n">
        <v>460</v>
      </c>
      <c r="H2152" t="inlineStr">
        <is>
          <t>460</t>
        </is>
      </c>
      <c r="I2152" s="2" t="n">
        <v>460</v>
      </c>
      <c r="J2152" s="2" t="n">
        <v>460</v>
      </c>
      <c r="L2152" s="3" t="n">
        <v>13</v>
      </c>
      <c r="M2152" s="3" t="n">
        <v>13.7</v>
      </c>
      <c r="N2152" s="3" t="n"/>
      <c r="O2152" s="3" t="n"/>
      <c r="P2152" s="3">
        <f>IF(L2152&lt;&gt;"",L2152/1.4,"")</f>
        <v/>
      </c>
      <c r="Q2152" s="3">
        <f>IF(L2152&lt;&gt;"",L2152/1.56,"")</f>
        <v/>
      </c>
      <c r="R2152" s="3">
        <f>IF(M2152&lt;&gt;"",M2152/1.4,"")</f>
        <v/>
      </c>
      <c r="S2152" s="3">
        <f>IF(M2152&lt;&gt;"",M2152/1.56,"")</f>
        <v/>
      </c>
      <c r="T2152" s="3">
        <f>IF(N2152&lt;&gt;"",N2152,IF(O2152&lt;&gt;"",O2152,IF(L2152&lt;&gt;"",L2152/1.56,IF(M2152&lt;&gt;"",M2152/1.56,""))))</f>
        <v/>
      </c>
      <c r="U2152" s="3" t="n">
        <v>70</v>
      </c>
      <c r="V2152" s="3" t="n"/>
      <c r="W2152" s="3" t="n"/>
      <c r="X2152" s="4" t="n"/>
      <c r="Y2152" s="5" t="n">
        <v>2.27</v>
      </c>
      <c r="Z2152" s="4">
        <f>IF(L2152&lt;&gt;"",SQRT(3)*G2152*L2152/1000,"")</f>
        <v/>
      </c>
      <c r="AA2152" t="inlineStr">
        <is>
          <t>Nominal_HP=6.0</t>
        </is>
      </c>
      <c r="AB2152" t="inlineStr">
        <is>
          <t>Copeland_RLA_230_460_3ph_60Hz.xlsx</t>
        </is>
      </c>
      <c r="AC2152" t="inlineStr">
        <is>
          <t>Scroll_ZFKQ</t>
        </is>
      </c>
    </row>
    <row r="2153">
      <c r="A2153" t="inlineStr">
        <is>
          <t>COPELAND</t>
        </is>
      </c>
      <c r="B2153" t="inlineStr">
        <is>
          <t>ZFI36KQE</t>
        </is>
      </c>
      <c r="C2153" t="inlineStr">
        <is>
          <t>TFC</t>
        </is>
      </c>
      <c r="D2153" t="inlineStr">
        <is>
          <t>Copeland Scroll ZFKQ</t>
        </is>
      </c>
      <c r="E2153" s="2" t="n">
        <v>3</v>
      </c>
      <c r="F2153" s="2" t="n">
        <v>60</v>
      </c>
      <c r="G2153" s="2" t="n">
        <v>230</v>
      </c>
      <c r="H2153" t="inlineStr">
        <is>
          <t>208-230</t>
        </is>
      </c>
      <c r="I2153" s="2" t="n">
        <v>208</v>
      </c>
      <c r="J2153" s="2" t="n">
        <v>230</v>
      </c>
      <c r="L2153" s="3" t="n">
        <v>38.2</v>
      </c>
      <c r="M2153" s="3" t="n">
        <v>36.7</v>
      </c>
      <c r="N2153" s="3" t="n"/>
      <c r="O2153" s="3" t="n"/>
      <c r="P2153" s="3">
        <f>IF(L2153&lt;&gt;"",L2153/1.4,"")</f>
        <v/>
      </c>
      <c r="Q2153" s="3">
        <f>IF(L2153&lt;&gt;"",L2153/1.56,"")</f>
        <v/>
      </c>
      <c r="R2153" s="3">
        <f>IF(M2153&lt;&gt;"",M2153/1.4,"")</f>
        <v/>
      </c>
      <c r="S2153" s="3">
        <f>IF(M2153&lt;&gt;"",M2153/1.56,"")</f>
        <v/>
      </c>
      <c r="T2153" s="3">
        <f>IF(N2153&lt;&gt;"",N2153,IF(O2153&lt;&gt;"",O2153,IF(L2153&lt;&gt;"",L2153/1.56,IF(M2153&lt;&gt;"",M2153/1.56,""))))</f>
        <v/>
      </c>
      <c r="U2153" s="3" t="n">
        <v>224</v>
      </c>
      <c r="V2153" s="3" t="n"/>
      <c r="W2153" s="3" t="n"/>
      <c r="X2153" s="4" t="n"/>
      <c r="Y2153" s="5" t="n">
        <v>0.39</v>
      </c>
      <c r="Z2153" s="4">
        <f>IF(L2153&lt;&gt;"",SQRT(3)*G2153*L2153/1000,"")</f>
        <v/>
      </c>
      <c r="AA2153" t="inlineStr">
        <is>
          <t>Nominal_HP=7.5</t>
        </is>
      </c>
      <c r="AB2153" t="inlineStr">
        <is>
          <t>Copeland_RLA_230_460_3ph_60Hz.xlsx</t>
        </is>
      </c>
      <c r="AC2153" t="inlineStr">
        <is>
          <t>Scroll_ZFKQ</t>
        </is>
      </c>
    </row>
    <row r="2154">
      <c r="A2154" t="inlineStr">
        <is>
          <t>COPELAND</t>
        </is>
      </c>
      <c r="B2154" t="inlineStr">
        <is>
          <t>ZFI36KQE</t>
        </is>
      </c>
      <c r="C2154" t="inlineStr">
        <is>
          <t>TFD</t>
        </is>
      </c>
      <c r="D2154" t="inlineStr">
        <is>
          <t>Copeland Scroll ZFKQ</t>
        </is>
      </c>
      <c r="E2154" s="2" t="n">
        <v>3</v>
      </c>
      <c r="F2154" s="2" t="n">
        <v>60</v>
      </c>
      <c r="G2154" s="2" t="n">
        <v>460</v>
      </c>
      <c r="H2154" t="inlineStr">
        <is>
          <t>460</t>
        </is>
      </c>
      <c r="I2154" s="2" t="n">
        <v>460</v>
      </c>
      <c r="J2154" s="2" t="n">
        <v>460</v>
      </c>
      <c r="L2154" s="3" t="n">
        <v>18.5</v>
      </c>
      <c r="M2154" s="3" t="n">
        <v>16</v>
      </c>
      <c r="N2154" s="3" t="n"/>
      <c r="O2154" s="3" t="n"/>
      <c r="P2154" s="3">
        <f>IF(L2154&lt;&gt;"",L2154/1.4,"")</f>
        <v/>
      </c>
      <c r="Q2154" s="3">
        <f>IF(L2154&lt;&gt;"",L2154/1.56,"")</f>
        <v/>
      </c>
      <c r="R2154" s="3">
        <f>IF(M2154&lt;&gt;"",M2154/1.4,"")</f>
        <v/>
      </c>
      <c r="S2154" s="3">
        <f>IF(M2154&lt;&gt;"",M2154/1.56,"")</f>
        <v/>
      </c>
      <c r="T2154" s="3">
        <f>IF(N2154&lt;&gt;"",N2154,IF(O2154&lt;&gt;"",O2154,IF(L2154&lt;&gt;"",L2154/1.56,IF(M2154&lt;&gt;"",M2154/1.56,""))))</f>
        <v/>
      </c>
      <c r="U2154" s="3" t="n">
        <v>99</v>
      </c>
      <c r="V2154" s="3" t="n"/>
      <c r="W2154" s="3" t="n"/>
      <c r="X2154" s="4" t="n"/>
      <c r="Y2154" s="5" t="n">
        <v>1.74</v>
      </c>
      <c r="Z2154" s="4">
        <f>IF(L2154&lt;&gt;"",SQRT(3)*G2154*L2154/1000,"")</f>
        <v/>
      </c>
      <c r="AA2154" t="inlineStr">
        <is>
          <t>Nominal_HP=7.5</t>
        </is>
      </c>
      <c r="AB2154" t="inlineStr">
        <is>
          <t>Copeland_RLA_230_460_3ph_60Hz.xlsx</t>
        </is>
      </c>
      <c r="AC2154" t="inlineStr">
        <is>
          <t>Scroll_ZFKQ</t>
        </is>
      </c>
    </row>
    <row r="2155">
      <c r="A2155" t="inlineStr">
        <is>
          <t>COPELAND</t>
        </is>
      </c>
      <c r="B2155" t="inlineStr">
        <is>
          <t>ZFI39KQE</t>
        </is>
      </c>
      <c r="C2155" t="inlineStr">
        <is>
          <t>TFC</t>
        </is>
      </c>
      <c r="D2155" t="inlineStr">
        <is>
          <t>Copeland Scroll ZFKQ</t>
        </is>
      </c>
      <c r="E2155" s="2" t="n">
        <v>3</v>
      </c>
      <c r="F2155" s="2" t="n">
        <v>60</v>
      </c>
      <c r="G2155" s="2" t="n">
        <v>230</v>
      </c>
      <c r="H2155" t="inlineStr">
        <is>
          <t>208-230</t>
        </is>
      </c>
      <c r="I2155" s="2" t="n">
        <v>208</v>
      </c>
      <c r="J2155" s="2" t="n">
        <v>230</v>
      </c>
      <c r="L2155" s="3" t="n">
        <v>42.6</v>
      </c>
      <c r="M2155" s="3" t="n">
        <v>37.2</v>
      </c>
      <c r="N2155" s="3" t="n"/>
      <c r="O2155" s="3" t="n"/>
      <c r="P2155" s="3">
        <f>IF(L2155&lt;&gt;"",L2155/1.4,"")</f>
        <v/>
      </c>
      <c r="Q2155" s="3">
        <f>IF(L2155&lt;&gt;"",L2155/1.56,"")</f>
        <v/>
      </c>
      <c r="R2155" s="3">
        <f>IF(M2155&lt;&gt;"",M2155/1.4,"")</f>
        <v/>
      </c>
      <c r="S2155" s="3">
        <f>IF(M2155&lt;&gt;"",M2155/1.56,"")</f>
        <v/>
      </c>
      <c r="T2155" s="3">
        <f>IF(N2155&lt;&gt;"",N2155,IF(O2155&lt;&gt;"",O2155,IF(L2155&lt;&gt;"",L2155/1.56,IF(M2155&lt;&gt;"",M2155/1.56,""))))</f>
        <v/>
      </c>
      <c r="U2155" s="3" t="n">
        <v>199</v>
      </c>
      <c r="V2155" s="3" t="n"/>
      <c r="W2155" s="3" t="n"/>
      <c r="X2155" s="4" t="n"/>
      <c r="Y2155" s="5" t="n">
        <v>0.37</v>
      </c>
      <c r="Z2155" s="4">
        <f>IF(L2155&lt;&gt;"",SQRT(3)*G2155*L2155/1000,"")</f>
        <v/>
      </c>
      <c r="AA2155" t="inlineStr">
        <is>
          <t>Nominal_HP=9.0</t>
        </is>
      </c>
      <c r="AB2155" t="inlineStr">
        <is>
          <t>Copeland_RLA_230_460_3ph_60Hz.xlsx</t>
        </is>
      </c>
      <c r="AC2155" t="inlineStr">
        <is>
          <t>Scroll_ZFKQ</t>
        </is>
      </c>
    </row>
    <row r="2156">
      <c r="A2156" t="inlineStr">
        <is>
          <t>COPELAND</t>
        </is>
      </c>
      <c r="B2156" t="inlineStr">
        <is>
          <t>ZFI39KQE</t>
        </is>
      </c>
      <c r="C2156" t="inlineStr">
        <is>
          <t>TFD</t>
        </is>
      </c>
      <c r="D2156" t="inlineStr">
        <is>
          <t>Copeland Scroll ZFKQ</t>
        </is>
      </c>
      <c r="E2156" s="2" t="n">
        <v>3</v>
      </c>
      <c r="F2156" s="2" t="n">
        <v>60</v>
      </c>
      <c r="G2156" s="2" t="n">
        <v>460</v>
      </c>
      <c r="H2156" t="inlineStr">
        <is>
          <t>460</t>
        </is>
      </c>
      <c r="I2156" s="2" t="n">
        <v>460</v>
      </c>
      <c r="J2156" s="2" t="n">
        <v>460</v>
      </c>
      <c r="L2156" s="3" t="n">
        <v>20.3</v>
      </c>
      <c r="M2156" s="3" t="n">
        <v>18.1</v>
      </c>
      <c r="N2156" s="3" t="n"/>
      <c r="O2156" s="3" t="n"/>
      <c r="P2156" s="3">
        <f>IF(L2156&lt;&gt;"",L2156/1.4,"")</f>
        <v/>
      </c>
      <c r="Q2156" s="3">
        <f>IF(L2156&lt;&gt;"",L2156/1.56,"")</f>
        <v/>
      </c>
      <c r="R2156" s="3">
        <f>IF(M2156&lt;&gt;"",M2156/1.4,"")</f>
        <v/>
      </c>
      <c r="S2156" s="3">
        <f>IF(M2156&lt;&gt;"",M2156/1.56,"")</f>
        <v/>
      </c>
      <c r="T2156" s="3">
        <f>IF(N2156&lt;&gt;"",N2156,IF(O2156&lt;&gt;"",O2156,IF(L2156&lt;&gt;"",L2156/1.56,IF(M2156&lt;&gt;"",M2156/1.56,""))))</f>
        <v/>
      </c>
      <c r="U2156" s="3" t="n">
        <v>121.4</v>
      </c>
      <c r="V2156" s="3" t="n"/>
      <c r="W2156" s="3" t="n"/>
      <c r="X2156" s="4" t="n"/>
      <c r="Y2156" s="5" t="n">
        <v>1.63</v>
      </c>
      <c r="Z2156" s="4">
        <f>IF(L2156&lt;&gt;"",SQRT(3)*G2156*L2156/1000,"")</f>
        <v/>
      </c>
      <c r="AA2156" t="inlineStr">
        <is>
          <t>Nominal_HP=9.0</t>
        </is>
      </c>
      <c r="AB2156" t="inlineStr">
        <is>
          <t>Copeland_RLA_230_460_3ph_60Hz.xlsx</t>
        </is>
      </c>
      <c r="AC2156" t="inlineStr">
        <is>
          <t>Scroll_ZFKQ</t>
        </is>
      </c>
    </row>
    <row r="2157">
      <c r="A2157" t="inlineStr">
        <is>
          <t>COPELAND</t>
        </is>
      </c>
      <c r="B2157" t="inlineStr">
        <is>
          <t>ZFI50KQE</t>
        </is>
      </c>
      <c r="C2157" t="inlineStr">
        <is>
          <t>TFC</t>
        </is>
      </c>
      <c r="D2157" t="inlineStr">
        <is>
          <t>Copeland Scroll ZFKQ</t>
        </is>
      </c>
      <c r="E2157" s="2" t="n">
        <v>3</v>
      </c>
      <c r="F2157" s="2" t="n">
        <v>60</v>
      </c>
      <c r="G2157" s="2" t="n">
        <v>230</v>
      </c>
      <c r="H2157" t="inlineStr">
        <is>
          <t>208-230</t>
        </is>
      </c>
      <c r="I2157" s="2" t="n">
        <v>208</v>
      </c>
      <c r="J2157" s="2" t="n">
        <v>230</v>
      </c>
      <c r="L2157" s="3" t="n">
        <v>52</v>
      </c>
      <c r="M2157" s="3" t="n">
        <v>51.4</v>
      </c>
      <c r="N2157" s="3" t="n"/>
      <c r="O2157" s="3" t="n"/>
      <c r="P2157" s="3">
        <f>IF(L2157&lt;&gt;"",L2157/1.4,"")</f>
        <v/>
      </c>
      <c r="Q2157" s="3">
        <f>IF(L2157&lt;&gt;"",L2157/1.56,"")</f>
        <v/>
      </c>
      <c r="R2157" s="3">
        <f>IF(M2157&lt;&gt;"",M2157/1.4,"")</f>
        <v/>
      </c>
      <c r="S2157" s="3">
        <f>IF(M2157&lt;&gt;"",M2157/1.56,"")</f>
        <v/>
      </c>
      <c r="T2157" s="3">
        <f>IF(N2157&lt;&gt;"",N2157,IF(O2157&lt;&gt;"",O2157,IF(L2157&lt;&gt;"",L2157/1.56,IF(M2157&lt;&gt;"",M2157/1.56,""))))</f>
        <v/>
      </c>
      <c r="U2157" s="3" t="n">
        <v>239</v>
      </c>
      <c r="V2157" s="3" t="n"/>
      <c r="W2157" s="3" t="n"/>
      <c r="X2157" s="4" t="n"/>
      <c r="Y2157" s="5" t="n">
        <v>0.31</v>
      </c>
      <c r="Z2157" s="4">
        <f>IF(L2157&lt;&gt;"",SQRT(3)*G2157*L2157/1000,"")</f>
        <v/>
      </c>
      <c r="AA2157" t="inlineStr">
        <is>
          <t>Nominal_HP=10.0</t>
        </is>
      </c>
      <c r="AB2157" t="inlineStr">
        <is>
          <t>Copeland_RLA_230_460_3ph_60Hz.xlsx</t>
        </is>
      </c>
      <c r="AC2157" t="inlineStr">
        <is>
          <t>Scroll_ZFKQ</t>
        </is>
      </c>
    </row>
    <row r="2158">
      <c r="A2158" t="inlineStr">
        <is>
          <t>COPELAND</t>
        </is>
      </c>
      <c r="B2158" t="inlineStr">
        <is>
          <t>ZFI50KQE</t>
        </is>
      </c>
      <c r="C2158" t="inlineStr">
        <is>
          <t>TFD</t>
        </is>
      </c>
      <c r="D2158" t="inlineStr">
        <is>
          <t>Copeland Scroll ZFKQ</t>
        </is>
      </c>
      <c r="E2158" s="2" t="n">
        <v>3</v>
      </c>
      <c r="F2158" s="2" t="n">
        <v>60</v>
      </c>
      <c r="G2158" s="2" t="n">
        <v>460</v>
      </c>
      <c r="H2158" t="inlineStr">
        <is>
          <t>460</t>
        </is>
      </c>
      <c r="I2158" s="2" t="n">
        <v>460</v>
      </c>
      <c r="J2158" s="2" t="n">
        <v>460</v>
      </c>
      <c r="L2158" s="3" t="n">
        <v>25</v>
      </c>
      <c r="M2158" s="3" t="n">
        <v>25</v>
      </c>
      <c r="N2158" s="3" t="n"/>
      <c r="O2158" s="3" t="n"/>
      <c r="P2158" s="3">
        <f>IF(L2158&lt;&gt;"",L2158/1.4,"")</f>
        <v/>
      </c>
      <c r="Q2158" s="3">
        <f>IF(L2158&lt;&gt;"",L2158/1.56,"")</f>
        <v/>
      </c>
      <c r="R2158" s="3">
        <f>IF(M2158&lt;&gt;"",M2158/1.4,"")</f>
        <v/>
      </c>
      <c r="S2158" s="3">
        <f>IF(M2158&lt;&gt;"",M2158/1.56,"")</f>
        <v/>
      </c>
      <c r="T2158" s="3">
        <f>IF(N2158&lt;&gt;"",N2158,IF(O2158&lt;&gt;"",O2158,IF(L2158&lt;&gt;"",L2158/1.56,IF(M2158&lt;&gt;"",M2158/1.56,""))))</f>
        <v/>
      </c>
      <c r="U2158" s="3" t="n">
        <v>100</v>
      </c>
      <c r="V2158" s="3" t="n"/>
      <c r="W2158" s="3" t="n"/>
      <c r="X2158" s="4" t="n"/>
      <c r="Y2158" s="5" t="n">
        <v>1.24</v>
      </c>
      <c r="Z2158" s="4">
        <f>IF(L2158&lt;&gt;"",SQRT(3)*G2158*L2158/1000,"")</f>
        <v/>
      </c>
      <c r="AA2158" t="inlineStr">
        <is>
          <t>Nominal_HP=10.0</t>
        </is>
      </c>
      <c r="AB2158" t="inlineStr">
        <is>
          <t>Copeland_RLA_230_460_3ph_60Hz.xlsx</t>
        </is>
      </c>
      <c r="AC2158" t="inlineStr">
        <is>
          <t>Scroll_ZFKQ</t>
        </is>
      </c>
    </row>
    <row r="2159">
      <c r="A2159" t="inlineStr">
        <is>
          <t>COPELAND</t>
        </is>
      </c>
      <c r="B2159" t="inlineStr">
        <is>
          <t>ZFI59KQE</t>
        </is>
      </c>
      <c r="C2159" t="inlineStr">
        <is>
          <t>TFC</t>
        </is>
      </c>
      <c r="D2159" t="inlineStr">
        <is>
          <t>Copeland Scroll ZFKQ</t>
        </is>
      </c>
      <c r="E2159" s="2" t="n">
        <v>3</v>
      </c>
      <c r="F2159" s="2" t="n">
        <v>60</v>
      </c>
      <c r="G2159" s="2" t="n">
        <v>230</v>
      </c>
      <c r="H2159" t="inlineStr">
        <is>
          <t>208-230</t>
        </is>
      </c>
      <c r="I2159" s="2" t="n">
        <v>208</v>
      </c>
      <c r="J2159" s="2" t="n">
        <v>230</v>
      </c>
      <c r="L2159" s="3" t="n">
        <v>59</v>
      </c>
      <c r="M2159" s="3" t="n">
        <v>57.7</v>
      </c>
      <c r="N2159" s="3" t="n"/>
      <c r="O2159" s="3" t="n"/>
      <c r="P2159" s="3">
        <f>IF(L2159&lt;&gt;"",L2159/1.4,"")</f>
        <v/>
      </c>
      <c r="Q2159" s="3">
        <f>IF(L2159&lt;&gt;"",L2159/1.56,"")</f>
        <v/>
      </c>
      <c r="R2159" s="3">
        <f>IF(M2159&lt;&gt;"",M2159/1.4,"")</f>
        <v/>
      </c>
      <c r="S2159" s="3">
        <f>IF(M2159&lt;&gt;"",M2159/1.56,"")</f>
        <v/>
      </c>
      <c r="T2159" s="3">
        <f>IF(N2159&lt;&gt;"",N2159,IF(O2159&lt;&gt;"",O2159,IF(L2159&lt;&gt;"",L2159/1.56,IF(M2159&lt;&gt;"",M2159/1.56,""))))</f>
        <v/>
      </c>
      <c r="U2159" s="3" t="n">
        <v>248</v>
      </c>
      <c r="V2159" s="3" t="n"/>
      <c r="W2159" s="3" t="n"/>
      <c r="X2159" s="4" t="n"/>
      <c r="Y2159" s="5" t="n">
        <v>0.28</v>
      </c>
      <c r="Z2159" s="4">
        <f>IF(L2159&lt;&gt;"",SQRT(3)*G2159*L2159/1000,"")</f>
        <v/>
      </c>
      <c r="AA2159" t="inlineStr">
        <is>
          <t>Nominal_HP=13.0</t>
        </is>
      </c>
      <c r="AB2159" t="inlineStr">
        <is>
          <t>Copeland_RLA_230_460_3ph_60Hz.xlsx</t>
        </is>
      </c>
      <c r="AC2159" t="inlineStr">
        <is>
          <t>Scroll_ZFKQ</t>
        </is>
      </c>
    </row>
    <row r="2160">
      <c r="A2160" t="inlineStr">
        <is>
          <t>COPELAND</t>
        </is>
      </c>
      <c r="B2160" t="inlineStr">
        <is>
          <t>ZFI59KQE</t>
        </is>
      </c>
      <c r="C2160" t="inlineStr">
        <is>
          <t>TFD</t>
        </is>
      </c>
      <c r="D2160" t="inlineStr">
        <is>
          <t>Copeland Scroll ZFKQ</t>
        </is>
      </c>
      <c r="E2160" s="2" t="n">
        <v>3</v>
      </c>
      <c r="F2160" s="2" t="n">
        <v>60</v>
      </c>
      <c r="G2160" s="2" t="n">
        <v>460</v>
      </c>
      <c r="H2160" t="inlineStr">
        <is>
          <t>460</t>
        </is>
      </c>
      <c r="I2160" s="2" t="n">
        <v>460</v>
      </c>
      <c r="J2160" s="2" t="n">
        <v>460</v>
      </c>
      <c r="L2160" s="3" t="n">
        <v>27</v>
      </c>
      <c r="M2160" s="3" t="n">
        <v>29</v>
      </c>
      <c r="N2160" s="3" t="n"/>
      <c r="O2160" s="3" t="n"/>
      <c r="P2160" s="3">
        <f>IF(L2160&lt;&gt;"",L2160/1.4,"")</f>
        <v/>
      </c>
      <c r="Q2160" s="3">
        <f>IF(L2160&lt;&gt;"",L2160/1.56,"")</f>
        <v/>
      </c>
      <c r="R2160" s="3">
        <f>IF(M2160&lt;&gt;"",M2160/1.4,"")</f>
        <v/>
      </c>
      <c r="S2160" s="3">
        <f>IF(M2160&lt;&gt;"",M2160/1.56,"")</f>
        <v/>
      </c>
      <c r="T2160" s="3">
        <f>IF(N2160&lt;&gt;"",N2160,IF(O2160&lt;&gt;"",O2160,IF(L2160&lt;&gt;"",L2160/1.56,IF(M2160&lt;&gt;"",M2160/1.56,""))))</f>
        <v/>
      </c>
      <c r="U2160" s="3" t="n">
        <v>125</v>
      </c>
      <c r="V2160" s="3" t="n"/>
      <c r="W2160" s="3" t="n"/>
      <c r="X2160" s="4" t="n"/>
      <c r="Y2160" s="5" t="n">
        <v>1.24</v>
      </c>
      <c r="Z2160" s="4">
        <f>IF(L2160&lt;&gt;"",SQRT(3)*G2160*L2160/1000,"")</f>
        <v/>
      </c>
      <c r="AA2160" t="inlineStr">
        <is>
          <t>Nominal_HP=13.0</t>
        </is>
      </c>
      <c r="AB2160" t="inlineStr">
        <is>
          <t>Copeland_RLA_230_460_3ph_60Hz.xlsx</t>
        </is>
      </c>
      <c r="AC2160" t="inlineStr">
        <is>
          <t>Scroll_ZFKQ</t>
        </is>
      </c>
    </row>
    <row r="2161">
      <c r="A2161" t="inlineStr">
        <is>
          <t>COPELAND</t>
        </is>
      </c>
      <c r="B2161" t="inlineStr">
        <is>
          <t>ZFI68KQE</t>
        </is>
      </c>
      <c r="C2161" t="inlineStr">
        <is>
          <t>TFC</t>
        </is>
      </c>
      <c r="D2161" t="inlineStr">
        <is>
          <t>Copeland Scroll ZFKQ</t>
        </is>
      </c>
      <c r="E2161" s="2" t="n">
        <v>3</v>
      </c>
      <c r="F2161" s="2" t="n">
        <v>60</v>
      </c>
      <c r="G2161" s="2" t="n">
        <v>230</v>
      </c>
      <c r="H2161" t="inlineStr">
        <is>
          <t>208-230</t>
        </is>
      </c>
      <c r="I2161" s="2" t="n">
        <v>208</v>
      </c>
      <c r="J2161" s="2" t="n">
        <v>230</v>
      </c>
      <c r="L2161" s="3" t="n">
        <v>71</v>
      </c>
      <c r="M2161" s="3" t="n">
        <v>67.90000000000001</v>
      </c>
      <c r="N2161" s="3" t="n"/>
      <c r="O2161" s="3" t="n"/>
      <c r="P2161" s="3">
        <f>IF(L2161&lt;&gt;"",L2161/1.4,"")</f>
        <v/>
      </c>
      <c r="Q2161" s="3">
        <f>IF(L2161&lt;&gt;"",L2161/1.56,"")</f>
        <v/>
      </c>
      <c r="R2161" s="3">
        <f>IF(M2161&lt;&gt;"",M2161/1.4,"")</f>
        <v/>
      </c>
      <c r="S2161" s="3">
        <f>IF(M2161&lt;&gt;"",M2161/1.56,"")</f>
        <v/>
      </c>
      <c r="T2161" s="3">
        <f>IF(N2161&lt;&gt;"",N2161,IF(O2161&lt;&gt;"",O2161,IF(L2161&lt;&gt;"",L2161/1.56,IF(M2161&lt;&gt;"",M2161/1.56,""))))</f>
        <v/>
      </c>
      <c r="U2161" s="3" t="n">
        <v>338.7</v>
      </c>
      <c r="V2161" s="3" t="n"/>
      <c r="W2161" s="3" t="n"/>
      <c r="X2161" s="4" t="n"/>
      <c r="Y2161" s="5" t="n">
        <v>0.22</v>
      </c>
      <c r="Z2161" s="4">
        <f>IF(L2161&lt;&gt;"",SQRT(3)*G2161*L2161/1000,"")</f>
        <v/>
      </c>
      <c r="AA2161" t="inlineStr">
        <is>
          <t>Nominal_HP=15.0</t>
        </is>
      </c>
      <c r="AB2161" t="inlineStr">
        <is>
          <t>Copeland_RLA_230_460_3ph_60Hz.xlsx</t>
        </is>
      </c>
      <c r="AC2161" t="inlineStr">
        <is>
          <t>Scroll_ZFKQ</t>
        </is>
      </c>
    </row>
    <row r="2162">
      <c r="A2162" t="inlineStr">
        <is>
          <t>COPELAND</t>
        </is>
      </c>
      <c r="B2162" t="inlineStr">
        <is>
          <t>ZFI68KQE</t>
        </is>
      </c>
      <c r="C2162" t="inlineStr">
        <is>
          <t>TFD</t>
        </is>
      </c>
      <c r="D2162" t="inlineStr">
        <is>
          <t>Copeland Scroll ZFKQ</t>
        </is>
      </c>
      <c r="E2162" s="2" t="n">
        <v>3</v>
      </c>
      <c r="F2162" s="2" t="n">
        <v>60</v>
      </c>
      <c r="G2162" s="2" t="n">
        <v>460</v>
      </c>
      <c r="H2162" t="inlineStr">
        <is>
          <t>460</t>
        </is>
      </c>
      <c r="I2162" s="2" t="n">
        <v>460</v>
      </c>
      <c r="J2162" s="2" t="n">
        <v>460</v>
      </c>
      <c r="L2162" s="3" t="n">
        <v>28.3</v>
      </c>
      <c r="M2162" s="3" t="n">
        <v>30</v>
      </c>
      <c r="N2162" s="3" t="n"/>
      <c r="O2162" s="3" t="n"/>
      <c r="P2162" s="3">
        <f>IF(L2162&lt;&gt;"",L2162/1.4,"")</f>
        <v/>
      </c>
      <c r="Q2162" s="3">
        <f>IF(L2162&lt;&gt;"",L2162/1.56,"")</f>
        <v/>
      </c>
      <c r="R2162" s="3">
        <f>IF(M2162&lt;&gt;"",M2162/1.4,"")</f>
        <v/>
      </c>
      <c r="S2162" s="3">
        <f>IF(M2162&lt;&gt;"",M2162/1.56,"")</f>
        <v/>
      </c>
      <c r="T2162" s="3">
        <f>IF(N2162&lt;&gt;"",N2162,IF(O2162&lt;&gt;"",O2162,IF(L2162&lt;&gt;"",L2162/1.56,IF(M2162&lt;&gt;"",M2162/1.56,""))))</f>
        <v/>
      </c>
      <c r="U2162" s="3" t="n">
        <v>139</v>
      </c>
      <c r="V2162" s="3" t="n"/>
      <c r="W2162" s="3" t="n"/>
      <c r="X2162" s="4" t="n"/>
      <c r="Y2162" s="5" t="n">
        <v>1.09</v>
      </c>
      <c r="Z2162" s="4">
        <f>IF(L2162&lt;&gt;"",SQRT(3)*G2162*L2162/1000,"")</f>
        <v/>
      </c>
      <c r="AA2162" t="inlineStr">
        <is>
          <t>Nominal_HP=15.0</t>
        </is>
      </c>
      <c r="AB2162" t="inlineStr">
        <is>
          <t>Copeland_RLA_230_460_3ph_60Hz.xlsx</t>
        </is>
      </c>
      <c r="AC2162" t="inlineStr">
        <is>
          <t>Scroll_ZFKQ</t>
        </is>
      </c>
    </row>
    <row r="2163">
      <c r="A2163" t="inlineStr">
        <is>
          <t>COPELAND</t>
        </is>
      </c>
      <c r="B2163" t="inlineStr">
        <is>
          <t>ZB15KQ/E</t>
        </is>
      </c>
      <c r="C2163" t="inlineStr">
        <is>
          <t>KQ</t>
        </is>
      </c>
      <c r="D2163" t="inlineStr">
        <is>
          <t>Scroll ZB</t>
        </is>
      </c>
      <c r="E2163" s="2" t="n">
        <v>3</v>
      </c>
      <c r="F2163" s="2" t="n">
        <v>60</v>
      </c>
      <c r="G2163" s="2" t="n">
        <v>230</v>
      </c>
      <c r="H2163" t="inlineStr">
        <is>
          <t>230</t>
        </is>
      </c>
      <c r="I2163" s="2" t="n">
        <v>230</v>
      </c>
      <c r="J2163" s="2" t="n">
        <v>230</v>
      </c>
      <c r="L2163" s="3" t="n">
        <v>12.5</v>
      </c>
      <c r="M2163" s="3" t="n"/>
      <c r="N2163" s="3" t="n">
        <v>8.9</v>
      </c>
      <c r="O2163" s="3" t="n"/>
      <c r="P2163" s="3">
        <f>IF(L2163&lt;&gt;"",L2163/1.4,"")</f>
        <v/>
      </c>
      <c r="Q2163" s="3">
        <f>IF(L2163&lt;&gt;"",L2163/1.56,"")</f>
        <v/>
      </c>
      <c r="R2163" s="3">
        <f>IF(M2163&lt;&gt;"",M2163/1.4,"")</f>
        <v/>
      </c>
      <c r="S2163" s="3">
        <f>IF(M2163&lt;&gt;"",M2163/1.56,"")</f>
        <v/>
      </c>
      <c r="T2163" s="3">
        <f>IF(N2163&lt;&gt;"",N2163,IF(O2163&lt;&gt;"",O2163,IF(L2163&lt;&gt;"",L2163/1.56,IF(M2163&lt;&gt;"",M2163/1.56,""))))</f>
        <v/>
      </c>
      <c r="U2163" s="3" t="n">
        <v>55</v>
      </c>
      <c r="V2163" s="3" t="n"/>
      <c r="W2163" s="3" t="n"/>
      <c r="X2163" s="4" t="n"/>
      <c r="Y2163" s="5" t="n"/>
      <c r="Z2163" s="4">
        <f>IF(L2163&lt;&gt;"",SQRT(3)*G2163*L2163/1000,"")</f>
        <v/>
      </c>
      <c r="AA2163" t="inlineStr">
        <is>
          <t>HP=2.0; Catalog cell for ZB15KQE MCC@460V is blank; set to 7.0A (same as ZB19KQE) for conservative sizing.</t>
        </is>
      </c>
      <c r="AB2163" t="inlineStr">
        <is>
          <t>Copeland_ZB_RLA_230_460_3ph_60Hz.xlsx</t>
        </is>
      </c>
      <c r="AC2163" t="inlineStr">
        <is>
          <t>ZB_60Hz_3ph_230_460</t>
        </is>
      </c>
    </row>
    <row r="2164">
      <c r="A2164" t="inlineStr">
        <is>
          <t>COPELAND</t>
        </is>
      </c>
      <c r="B2164" t="inlineStr">
        <is>
          <t>ZB15KQ/E</t>
        </is>
      </c>
      <c r="C2164" t="inlineStr">
        <is>
          <t>KQ</t>
        </is>
      </c>
      <c r="D2164" t="inlineStr">
        <is>
          <t>Scroll ZB</t>
        </is>
      </c>
      <c r="E2164" s="2" t="n">
        <v>3</v>
      </c>
      <c r="F2164" s="2" t="n">
        <v>60</v>
      </c>
      <c r="G2164" s="2" t="n">
        <v>460</v>
      </c>
      <c r="H2164" t="inlineStr">
        <is>
          <t>460</t>
        </is>
      </c>
      <c r="I2164" s="2" t="n">
        <v>460</v>
      </c>
      <c r="J2164" s="2" t="n">
        <v>460</v>
      </c>
      <c r="L2164" s="3" t="n">
        <v>6</v>
      </c>
      <c r="M2164" s="3" t="n"/>
      <c r="N2164" s="3" t="n">
        <v>4.3</v>
      </c>
      <c r="O2164" s="3" t="n"/>
      <c r="P2164" s="3">
        <f>IF(L2164&lt;&gt;"",L2164/1.4,"")</f>
        <v/>
      </c>
      <c r="Q2164" s="3">
        <f>IF(L2164&lt;&gt;"",L2164/1.56,"")</f>
        <v/>
      </c>
      <c r="R2164" s="3">
        <f>IF(M2164&lt;&gt;"",M2164/1.4,"")</f>
        <v/>
      </c>
      <c r="S2164" s="3">
        <f>IF(M2164&lt;&gt;"",M2164/1.56,"")</f>
        <v/>
      </c>
      <c r="T2164" s="3">
        <f>IF(N2164&lt;&gt;"",N2164,IF(O2164&lt;&gt;"",O2164,IF(L2164&lt;&gt;"",L2164/1.56,IF(M2164&lt;&gt;"",M2164/1.56,""))))</f>
        <v/>
      </c>
      <c r="U2164" s="3" t="n">
        <v>27</v>
      </c>
      <c r="V2164" s="3" t="n"/>
      <c r="W2164" s="3" t="n"/>
      <c r="X2164" s="4" t="n"/>
      <c r="Y2164" s="5" t="n"/>
      <c r="Z2164" s="4">
        <f>IF(L2164&lt;&gt;"",SQRT(3)*G2164*L2164/1000,"")</f>
        <v/>
      </c>
      <c r="AA2164" t="inlineStr">
        <is>
          <t>HP=2.0; Catalog cell for ZB15KQE MCC@460V is blank; set to 7.0A (same as ZB19KQE) for conservative sizing.</t>
        </is>
      </c>
      <c r="AB2164" t="inlineStr">
        <is>
          <t>Copeland_ZB_RLA_230_460_3ph_60Hz.xlsx</t>
        </is>
      </c>
      <c r="AC2164" t="inlineStr">
        <is>
          <t>ZB_60Hz_3ph_230_460</t>
        </is>
      </c>
    </row>
    <row r="2165">
      <c r="A2165" t="inlineStr">
        <is>
          <t>COPELAND</t>
        </is>
      </c>
      <c r="B2165" t="inlineStr">
        <is>
          <t>ZB15KQ/E</t>
        </is>
      </c>
      <c r="C2165" t="inlineStr">
        <is>
          <t>KQE</t>
        </is>
      </c>
      <c r="D2165" t="inlineStr">
        <is>
          <t>Scroll ZB</t>
        </is>
      </c>
      <c r="E2165" s="2" t="n">
        <v>3</v>
      </c>
      <c r="F2165" s="2" t="n">
        <v>60</v>
      </c>
      <c r="G2165" s="2" t="n">
        <v>230</v>
      </c>
      <c r="H2165" t="inlineStr">
        <is>
          <t>230</t>
        </is>
      </c>
      <c r="I2165" s="2" t="n">
        <v>230</v>
      </c>
      <c r="J2165" s="2" t="n">
        <v>230</v>
      </c>
      <c r="L2165" s="3" t="n">
        <v>12.5</v>
      </c>
      <c r="M2165" s="3" t="n"/>
      <c r="N2165" s="3" t="n">
        <v>8.9</v>
      </c>
      <c r="O2165" s="3" t="n"/>
      <c r="P2165" s="3">
        <f>IF(L2165&lt;&gt;"",L2165/1.4,"")</f>
        <v/>
      </c>
      <c r="Q2165" s="3">
        <f>IF(L2165&lt;&gt;"",L2165/1.56,"")</f>
        <v/>
      </c>
      <c r="R2165" s="3">
        <f>IF(M2165&lt;&gt;"",M2165/1.4,"")</f>
        <v/>
      </c>
      <c r="S2165" s="3">
        <f>IF(M2165&lt;&gt;"",M2165/1.56,"")</f>
        <v/>
      </c>
      <c r="T2165" s="3">
        <f>IF(N2165&lt;&gt;"",N2165,IF(O2165&lt;&gt;"",O2165,IF(L2165&lt;&gt;"",L2165/1.56,IF(M2165&lt;&gt;"",M2165/1.56,""))))</f>
        <v/>
      </c>
      <c r="U2165" s="3" t="n">
        <v>55</v>
      </c>
      <c r="V2165" s="3" t="n"/>
      <c r="W2165" s="3" t="n"/>
      <c r="X2165" s="4" t="n"/>
      <c r="Y2165" s="5" t="n"/>
      <c r="Z2165" s="4">
        <f>IF(L2165&lt;&gt;"",SQRT(3)*G2165*L2165/1000,"")</f>
        <v/>
      </c>
      <c r="AA2165" t="inlineStr">
        <is>
          <t>HP=2.0; Catalog cell for ZB15KQE MCC@460V is blank; set to 7.0A (same as ZB19KQE) for conservative sizing.</t>
        </is>
      </c>
      <c r="AB2165" t="inlineStr">
        <is>
          <t>Copeland_ZB_RLA_230_460_3ph_60Hz.xlsx</t>
        </is>
      </c>
      <c r="AC2165" t="inlineStr">
        <is>
          <t>ZB_60Hz_3ph_230_460</t>
        </is>
      </c>
    </row>
    <row r="2166">
      <c r="A2166" t="inlineStr">
        <is>
          <t>COPELAND</t>
        </is>
      </c>
      <c r="B2166" t="inlineStr">
        <is>
          <t>ZB15KQ/E</t>
        </is>
      </c>
      <c r="C2166" t="inlineStr">
        <is>
          <t>KQE</t>
        </is>
      </c>
      <c r="D2166" t="inlineStr">
        <is>
          <t>Scroll ZB</t>
        </is>
      </c>
      <c r="E2166" s="2" t="n">
        <v>3</v>
      </c>
      <c r="F2166" s="2" t="n">
        <v>60</v>
      </c>
      <c r="G2166" s="2" t="n">
        <v>460</v>
      </c>
      <c r="H2166" t="inlineStr">
        <is>
          <t>460</t>
        </is>
      </c>
      <c r="I2166" s="2" t="n">
        <v>460</v>
      </c>
      <c r="J2166" s="2" t="n">
        <v>460</v>
      </c>
      <c r="L2166" s="3" t="n">
        <v>7</v>
      </c>
      <c r="M2166" s="3" t="n"/>
      <c r="N2166" s="3" t="n">
        <v>5</v>
      </c>
      <c r="O2166" s="3" t="n"/>
      <c r="P2166" s="3">
        <f>IF(L2166&lt;&gt;"",L2166/1.4,"")</f>
        <v/>
      </c>
      <c r="Q2166" s="3">
        <f>IF(L2166&lt;&gt;"",L2166/1.56,"")</f>
        <v/>
      </c>
      <c r="R2166" s="3">
        <f>IF(M2166&lt;&gt;"",M2166/1.4,"")</f>
        <v/>
      </c>
      <c r="S2166" s="3">
        <f>IF(M2166&lt;&gt;"",M2166/1.56,"")</f>
        <v/>
      </c>
      <c r="T2166" s="3">
        <f>IF(N2166&lt;&gt;"",N2166,IF(O2166&lt;&gt;"",O2166,IF(L2166&lt;&gt;"",L2166/1.56,IF(M2166&lt;&gt;"",M2166/1.56,""))))</f>
        <v/>
      </c>
      <c r="U2166" s="3" t="n">
        <v>27</v>
      </c>
      <c r="V2166" s="3" t="n"/>
      <c r="W2166" s="3" t="n"/>
      <c r="X2166" s="4" t="n"/>
      <c r="Y2166" s="5" t="n"/>
      <c r="Z2166" s="4">
        <f>IF(L2166&lt;&gt;"",SQRT(3)*G2166*L2166/1000,"")</f>
        <v/>
      </c>
      <c r="AA2166" t="inlineStr">
        <is>
          <t>HP=2.0; Catalog cell for ZB15KQE MCC@460V is blank; set to 7.0A (same as ZB19KQE) for conservative sizing.</t>
        </is>
      </c>
      <c r="AB2166" t="inlineStr">
        <is>
          <t>Copeland_ZB_RLA_230_460_3ph_60Hz.xlsx</t>
        </is>
      </c>
      <c r="AC2166" t="inlineStr">
        <is>
          <t>ZB_60Hz_3ph_230_460</t>
        </is>
      </c>
    </row>
    <row r="2167">
      <c r="A2167" t="inlineStr">
        <is>
          <t>COPELAND</t>
        </is>
      </c>
      <c r="B2167" t="inlineStr">
        <is>
          <t>ZB19KQ/E</t>
        </is>
      </c>
      <c r="C2167" t="inlineStr">
        <is>
          <t>KQ</t>
        </is>
      </c>
      <c r="D2167" t="inlineStr">
        <is>
          <t>Scroll ZB</t>
        </is>
      </c>
      <c r="E2167" s="2" t="n">
        <v>3</v>
      </c>
      <c r="F2167" s="2" t="n">
        <v>60</v>
      </c>
      <c r="G2167" s="2" t="n">
        <v>230</v>
      </c>
      <c r="H2167" t="inlineStr">
        <is>
          <t>230</t>
        </is>
      </c>
      <c r="I2167" s="2" t="n">
        <v>230</v>
      </c>
      <c r="J2167" s="2" t="n">
        <v>230</v>
      </c>
      <c r="L2167" s="3" t="n">
        <v>14</v>
      </c>
      <c r="M2167" s="3" t="n"/>
      <c r="N2167" s="3" t="n">
        <v>10</v>
      </c>
      <c r="O2167" s="3" t="n"/>
      <c r="P2167" s="3">
        <f>IF(L2167&lt;&gt;"",L2167/1.4,"")</f>
        <v/>
      </c>
      <c r="Q2167" s="3">
        <f>IF(L2167&lt;&gt;"",L2167/1.56,"")</f>
        <v/>
      </c>
      <c r="R2167" s="3">
        <f>IF(M2167&lt;&gt;"",M2167/1.4,"")</f>
        <v/>
      </c>
      <c r="S2167" s="3">
        <f>IF(M2167&lt;&gt;"",M2167/1.56,"")</f>
        <v/>
      </c>
      <c r="T2167" s="3">
        <f>IF(N2167&lt;&gt;"",N2167,IF(O2167&lt;&gt;"",O2167,IF(L2167&lt;&gt;"",L2167/1.56,IF(M2167&lt;&gt;"",M2167/1.56,""))))</f>
        <v/>
      </c>
      <c r="U2167" s="3" t="n">
        <v>63</v>
      </c>
      <c r="V2167" s="3" t="n"/>
      <c r="W2167" s="3" t="n"/>
      <c r="X2167" s="4" t="n"/>
      <c r="Y2167" s="5" t="n"/>
      <c r="Z2167" s="4">
        <f>IF(L2167&lt;&gt;"",SQRT(3)*G2167*L2167/1000,"")</f>
        <v/>
      </c>
      <c r="AA2167" t="inlineStr">
        <is>
          <t>HP=2.5; nan</t>
        </is>
      </c>
      <c r="AB2167" t="inlineStr">
        <is>
          <t>Copeland_ZB_RLA_230_460_3ph_60Hz.xlsx</t>
        </is>
      </c>
      <c r="AC2167" t="inlineStr">
        <is>
          <t>ZB_60Hz_3ph_230_460</t>
        </is>
      </c>
    </row>
    <row r="2168">
      <c r="A2168" t="inlineStr">
        <is>
          <t>COPELAND</t>
        </is>
      </c>
      <c r="B2168" t="inlineStr">
        <is>
          <t>ZB19KQ/E</t>
        </is>
      </c>
      <c r="C2168" t="inlineStr">
        <is>
          <t>KQ</t>
        </is>
      </c>
      <c r="D2168" t="inlineStr">
        <is>
          <t>Scroll ZB</t>
        </is>
      </c>
      <c r="E2168" s="2" t="n">
        <v>3</v>
      </c>
      <c r="F2168" s="2" t="n">
        <v>60</v>
      </c>
      <c r="G2168" s="2" t="n">
        <v>460</v>
      </c>
      <c r="H2168" t="inlineStr">
        <is>
          <t>460</t>
        </is>
      </c>
      <c r="I2168" s="2" t="n">
        <v>460</v>
      </c>
      <c r="J2168" s="2" t="n">
        <v>460</v>
      </c>
      <c r="L2168" s="3" t="n">
        <v>6</v>
      </c>
      <c r="M2168" s="3" t="n"/>
      <c r="N2168" s="3" t="n">
        <v>4.3</v>
      </c>
      <c r="O2168" s="3" t="n"/>
      <c r="P2168" s="3">
        <f>IF(L2168&lt;&gt;"",L2168/1.4,"")</f>
        <v/>
      </c>
      <c r="Q2168" s="3">
        <f>IF(L2168&lt;&gt;"",L2168/1.56,"")</f>
        <v/>
      </c>
      <c r="R2168" s="3">
        <f>IF(M2168&lt;&gt;"",M2168/1.4,"")</f>
        <v/>
      </c>
      <c r="S2168" s="3">
        <f>IF(M2168&lt;&gt;"",M2168/1.56,"")</f>
        <v/>
      </c>
      <c r="T2168" s="3">
        <f>IF(N2168&lt;&gt;"",N2168,IF(O2168&lt;&gt;"",O2168,IF(L2168&lt;&gt;"",L2168/1.56,IF(M2168&lt;&gt;"",M2168/1.56,""))))</f>
        <v/>
      </c>
      <c r="U2168" s="3" t="n">
        <v>31</v>
      </c>
      <c r="V2168" s="3" t="n"/>
      <c r="W2168" s="3" t="n"/>
      <c r="X2168" s="4" t="n"/>
      <c r="Y2168" s="5" t="n"/>
      <c r="Z2168" s="4">
        <f>IF(L2168&lt;&gt;"",SQRT(3)*G2168*L2168/1000,"")</f>
        <v/>
      </c>
      <c r="AA2168" t="inlineStr">
        <is>
          <t>HP=2.5; nan</t>
        </is>
      </c>
      <c r="AB2168" t="inlineStr">
        <is>
          <t>Copeland_ZB_RLA_230_460_3ph_60Hz.xlsx</t>
        </is>
      </c>
      <c r="AC2168" t="inlineStr">
        <is>
          <t>ZB_60Hz_3ph_230_460</t>
        </is>
      </c>
    </row>
    <row r="2169">
      <c r="A2169" t="inlineStr">
        <is>
          <t>COPELAND</t>
        </is>
      </c>
      <c r="B2169" t="inlineStr">
        <is>
          <t>ZB19KQ/E</t>
        </is>
      </c>
      <c r="C2169" t="inlineStr">
        <is>
          <t>KQE</t>
        </is>
      </c>
      <c r="D2169" t="inlineStr">
        <is>
          <t>Scroll ZB</t>
        </is>
      </c>
      <c r="E2169" s="2" t="n">
        <v>3</v>
      </c>
      <c r="F2169" s="2" t="n">
        <v>60</v>
      </c>
      <c r="G2169" s="2" t="n">
        <v>230</v>
      </c>
      <c r="H2169" t="inlineStr">
        <is>
          <t>230</t>
        </is>
      </c>
      <c r="I2169" s="2" t="n">
        <v>230</v>
      </c>
      <c r="J2169" s="2" t="n">
        <v>230</v>
      </c>
      <c r="L2169" s="3" t="n">
        <v>14</v>
      </c>
      <c r="M2169" s="3" t="n"/>
      <c r="N2169" s="3" t="n">
        <v>10</v>
      </c>
      <c r="O2169" s="3" t="n"/>
      <c r="P2169" s="3">
        <f>IF(L2169&lt;&gt;"",L2169/1.4,"")</f>
        <v/>
      </c>
      <c r="Q2169" s="3">
        <f>IF(L2169&lt;&gt;"",L2169/1.56,"")</f>
        <v/>
      </c>
      <c r="R2169" s="3">
        <f>IF(M2169&lt;&gt;"",M2169/1.4,"")</f>
        <v/>
      </c>
      <c r="S2169" s="3">
        <f>IF(M2169&lt;&gt;"",M2169/1.56,"")</f>
        <v/>
      </c>
      <c r="T2169" s="3">
        <f>IF(N2169&lt;&gt;"",N2169,IF(O2169&lt;&gt;"",O2169,IF(L2169&lt;&gt;"",L2169/1.56,IF(M2169&lt;&gt;"",M2169/1.56,""))))</f>
        <v/>
      </c>
      <c r="U2169" s="3" t="n">
        <v>63</v>
      </c>
      <c r="V2169" s="3" t="n"/>
      <c r="W2169" s="3" t="n"/>
      <c r="X2169" s="4" t="n"/>
      <c r="Y2169" s="5" t="n"/>
      <c r="Z2169" s="4">
        <f>IF(L2169&lt;&gt;"",SQRT(3)*G2169*L2169/1000,"")</f>
        <v/>
      </c>
      <c r="AA2169" t="inlineStr">
        <is>
          <t>HP=2.5; nan</t>
        </is>
      </c>
      <c r="AB2169" t="inlineStr">
        <is>
          <t>Copeland_ZB_RLA_230_460_3ph_60Hz.xlsx</t>
        </is>
      </c>
      <c r="AC2169" t="inlineStr">
        <is>
          <t>ZB_60Hz_3ph_230_460</t>
        </is>
      </c>
    </row>
    <row r="2170">
      <c r="A2170" t="inlineStr">
        <is>
          <t>COPELAND</t>
        </is>
      </c>
      <c r="B2170" t="inlineStr">
        <is>
          <t>ZB19KQ/E</t>
        </is>
      </c>
      <c r="C2170" t="inlineStr">
        <is>
          <t>KQE</t>
        </is>
      </c>
      <c r="D2170" t="inlineStr">
        <is>
          <t>Scroll ZB</t>
        </is>
      </c>
      <c r="E2170" s="2" t="n">
        <v>3</v>
      </c>
      <c r="F2170" s="2" t="n">
        <v>60</v>
      </c>
      <c r="G2170" s="2" t="n">
        <v>460</v>
      </c>
      <c r="H2170" t="inlineStr">
        <is>
          <t>460</t>
        </is>
      </c>
      <c r="I2170" s="2" t="n">
        <v>460</v>
      </c>
      <c r="J2170" s="2" t="n">
        <v>460</v>
      </c>
      <c r="L2170" s="3" t="n">
        <v>7</v>
      </c>
      <c r="M2170" s="3" t="n"/>
      <c r="N2170" s="3" t="n">
        <v>5</v>
      </c>
      <c r="O2170" s="3" t="n"/>
      <c r="P2170" s="3">
        <f>IF(L2170&lt;&gt;"",L2170/1.4,"")</f>
        <v/>
      </c>
      <c r="Q2170" s="3">
        <f>IF(L2170&lt;&gt;"",L2170/1.56,"")</f>
        <v/>
      </c>
      <c r="R2170" s="3">
        <f>IF(M2170&lt;&gt;"",M2170/1.4,"")</f>
        <v/>
      </c>
      <c r="S2170" s="3">
        <f>IF(M2170&lt;&gt;"",M2170/1.56,"")</f>
        <v/>
      </c>
      <c r="T2170" s="3">
        <f>IF(N2170&lt;&gt;"",N2170,IF(O2170&lt;&gt;"",O2170,IF(L2170&lt;&gt;"",L2170/1.56,IF(M2170&lt;&gt;"",M2170/1.56,""))))</f>
        <v/>
      </c>
      <c r="U2170" s="3" t="n">
        <v>31</v>
      </c>
      <c r="V2170" s="3" t="n"/>
      <c r="W2170" s="3" t="n"/>
      <c r="X2170" s="4" t="n"/>
      <c r="Y2170" s="5" t="n"/>
      <c r="Z2170" s="4">
        <f>IF(L2170&lt;&gt;"",SQRT(3)*G2170*L2170/1000,"")</f>
        <v/>
      </c>
      <c r="AA2170" t="inlineStr">
        <is>
          <t>HP=2.5; nan</t>
        </is>
      </c>
      <c r="AB2170" t="inlineStr">
        <is>
          <t>Copeland_ZB_RLA_230_460_3ph_60Hz.xlsx</t>
        </is>
      </c>
      <c r="AC2170" t="inlineStr">
        <is>
          <t>ZB_60Hz_3ph_230_460</t>
        </is>
      </c>
    </row>
    <row r="2171">
      <c r="A2171" t="inlineStr">
        <is>
          <t>COPELAND</t>
        </is>
      </c>
      <c r="B2171" t="inlineStr">
        <is>
          <t>ZB21KQ/E</t>
        </is>
      </c>
      <c r="C2171" t="inlineStr">
        <is>
          <t>KQ</t>
        </is>
      </c>
      <c r="D2171" t="inlineStr">
        <is>
          <t>Scroll ZB</t>
        </is>
      </c>
      <c r="E2171" s="2" t="n">
        <v>3</v>
      </c>
      <c r="F2171" s="2" t="n">
        <v>60</v>
      </c>
      <c r="G2171" s="2" t="n">
        <v>230</v>
      </c>
      <c r="H2171" t="inlineStr">
        <is>
          <t>230</t>
        </is>
      </c>
      <c r="I2171" s="2" t="n">
        <v>230</v>
      </c>
      <c r="J2171" s="2" t="n">
        <v>230</v>
      </c>
      <c r="L2171" s="3" t="n">
        <v>16</v>
      </c>
      <c r="M2171" s="3" t="n"/>
      <c r="N2171" s="3" t="n">
        <v>11.4</v>
      </c>
      <c r="O2171" s="3" t="n"/>
      <c r="P2171" s="3">
        <f>IF(L2171&lt;&gt;"",L2171/1.4,"")</f>
        <v/>
      </c>
      <c r="Q2171" s="3">
        <f>IF(L2171&lt;&gt;"",L2171/1.56,"")</f>
        <v/>
      </c>
      <c r="R2171" s="3">
        <f>IF(M2171&lt;&gt;"",M2171/1.4,"")</f>
        <v/>
      </c>
      <c r="S2171" s="3">
        <f>IF(M2171&lt;&gt;"",M2171/1.56,"")</f>
        <v/>
      </c>
      <c r="T2171" s="3">
        <f>IF(N2171&lt;&gt;"",N2171,IF(O2171&lt;&gt;"",O2171,IF(L2171&lt;&gt;"",L2171/1.56,IF(M2171&lt;&gt;"",M2171/1.56,""))))</f>
        <v/>
      </c>
      <c r="U2171" s="3" t="n">
        <v>77</v>
      </c>
      <c r="V2171" s="3" t="n"/>
      <c r="W2171" s="3" t="n"/>
      <c r="X2171" s="4" t="n"/>
      <c r="Y2171" s="5" t="n"/>
      <c r="Z2171" s="4">
        <f>IF(L2171&lt;&gt;"",SQRT(3)*G2171*L2171/1000,"")</f>
        <v/>
      </c>
      <c r="AA2171" t="inlineStr">
        <is>
          <t>HP=3.0; nan</t>
        </is>
      </c>
      <c r="AB2171" t="inlineStr">
        <is>
          <t>Copeland_ZB_RLA_230_460_3ph_60Hz.xlsx</t>
        </is>
      </c>
      <c r="AC2171" t="inlineStr">
        <is>
          <t>ZB_60Hz_3ph_230_460</t>
        </is>
      </c>
    </row>
    <row r="2172">
      <c r="A2172" t="inlineStr">
        <is>
          <t>COPELAND</t>
        </is>
      </c>
      <c r="B2172" t="inlineStr">
        <is>
          <t>ZB21KQ/E</t>
        </is>
      </c>
      <c r="C2172" t="inlineStr">
        <is>
          <t>KQ</t>
        </is>
      </c>
      <c r="D2172" t="inlineStr">
        <is>
          <t>Scroll ZB</t>
        </is>
      </c>
      <c r="E2172" s="2" t="n">
        <v>3</v>
      </c>
      <c r="F2172" s="2" t="n">
        <v>60</v>
      </c>
      <c r="G2172" s="2" t="n">
        <v>460</v>
      </c>
      <c r="H2172" t="inlineStr">
        <is>
          <t>460</t>
        </is>
      </c>
      <c r="I2172" s="2" t="n">
        <v>460</v>
      </c>
      <c r="J2172" s="2" t="n">
        <v>460</v>
      </c>
      <c r="L2172" s="3" t="n">
        <v>8</v>
      </c>
      <c r="M2172" s="3" t="n"/>
      <c r="N2172" s="3" t="n">
        <v>5.7</v>
      </c>
      <c r="O2172" s="3" t="n"/>
      <c r="P2172" s="3">
        <f>IF(L2172&lt;&gt;"",L2172/1.4,"")</f>
        <v/>
      </c>
      <c r="Q2172" s="3">
        <f>IF(L2172&lt;&gt;"",L2172/1.56,"")</f>
        <v/>
      </c>
      <c r="R2172" s="3">
        <f>IF(M2172&lt;&gt;"",M2172/1.4,"")</f>
        <v/>
      </c>
      <c r="S2172" s="3">
        <f>IF(M2172&lt;&gt;"",M2172/1.56,"")</f>
        <v/>
      </c>
      <c r="T2172" s="3">
        <f>IF(N2172&lt;&gt;"",N2172,IF(O2172&lt;&gt;"",O2172,IF(L2172&lt;&gt;"",L2172/1.56,IF(M2172&lt;&gt;"",M2172/1.56,""))))</f>
        <v/>
      </c>
      <c r="U2172" s="3" t="n">
        <v>39</v>
      </c>
      <c r="V2172" s="3" t="n"/>
      <c r="W2172" s="3" t="n"/>
      <c r="X2172" s="4" t="n"/>
      <c r="Y2172" s="5" t="n"/>
      <c r="Z2172" s="4">
        <f>IF(L2172&lt;&gt;"",SQRT(3)*G2172*L2172/1000,"")</f>
        <v/>
      </c>
      <c r="AA2172" t="inlineStr">
        <is>
          <t>HP=3.0; nan</t>
        </is>
      </c>
      <c r="AB2172" t="inlineStr">
        <is>
          <t>Copeland_ZB_RLA_230_460_3ph_60Hz.xlsx</t>
        </is>
      </c>
      <c r="AC2172" t="inlineStr">
        <is>
          <t>ZB_60Hz_3ph_230_460</t>
        </is>
      </c>
    </row>
    <row r="2173">
      <c r="A2173" t="inlineStr">
        <is>
          <t>COPELAND</t>
        </is>
      </c>
      <c r="B2173" t="inlineStr">
        <is>
          <t>ZB21KQ/E</t>
        </is>
      </c>
      <c r="C2173" t="inlineStr">
        <is>
          <t>KQE</t>
        </is>
      </c>
      <c r="D2173" t="inlineStr">
        <is>
          <t>Scroll ZB</t>
        </is>
      </c>
      <c r="E2173" s="2" t="n">
        <v>3</v>
      </c>
      <c r="F2173" s="2" t="n">
        <v>60</v>
      </c>
      <c r="G2173" s="2" t="n">
        <v>230</v>
      </c>
      <c r="H2173" t="inlineStr">
        <is>
          <t>230</t>
        </is>
      </c>
      <c r="I2173" s="2" t="n">
        <v>230</v>
      </c>
      <c r="J2173" s="2" t="n">
        <v>230</v>
      </c>
      <c r="L2173" s="3" t="n">
        <v>17</v>
      </c>
      <c r="M2173" s="3" t="n"/>
      <c r="N2173" s="3" t="n">
        <v>12.1</v>
      </c>
      <c r="O2173" s="3" t="n"/>
      <c r="P2173" s="3">
        <f>IF(L2173&lt;&gt;"",L2173/1.4,"")</f>
        <v/>
      </c>
      <c r="Q2173" s="3">
        <f>IF(L2173&lt;&gt;"",L2173/1.56,"")</f>
        <v/>
      </c>
      <c r="R2173" s="3">
        <f>IF(M2173&lt;&gt;"",M2173/1.4,"")</f>
        <v/>
      </c>
      <c r="S2173" s="3">
        <f>IF(M2173&lt;&gt;"",M2173/1.56,"")</f>
        <v/>
      </c>
      <c r="T2173" s="3">
        <f>IF(N2173&lt;&gt;"",N2173,IF(O2173&lt;&gt;"",O2173,IF(L2173&lt;&gt;"",L2173/1.56,IF(M2173&lt;&gt;"",M2173/1.56,""))))</f>
        <v/>
      </c>
      <c r="U2173" s="3" t="n">
        <v>77</v>
      </c>
      <c r="V2173" s="3" t="n"/>
      <c r="W2173" s="3" t="n"/>
      <c r="X2173" s="4" t="n"/>
      <c r="Y2173" s="5" t="n"/>
      <c r="Z2173" s="4">
        <f>IF(L2173&lt;&gt;"",SQRT(3)*G2173*L2173/1000,"")</f>
        <v/>
      </c>
      <c r="AA2173" t="inlineStr">
        <is>
          <t>HP=3.0; nan</t>
        </is>
      </c>
      <c r="AB2173" t="inlineStr">
        <is>
          <t>Copeland_ZB_RLA_230_460_3ph_60Hz.xlsx</t>
        </is>
      </c>
      <c r="AC2173" t="inlineStr">
        <is>
          <t>ZB_60Hz_3ph_230_460</t>
        </is>
      </c>
    </row>
    <row r="2174">
      <c r="A2174" t="inlineStr">
        <is>
          <t>COPELAND</t>
        </is>
      </c>
      <c r="B2174" t="inlineStr">
        <is>
          <t>ZB21KQ/E</t>
        </is>
      </c>
      <c r="C2174" t="inlineStr">
        <is>
          <t>KQE</t>
        </is>
      </c>
      <c r="D2174" t="inlineStr">
        <is>
          <t>Scroll ZB</t>
        </is>
      </c>
      <c r="E2174" s="2" t="n">
        <v>3</v>
      </c>
      <c r="F2174" s="2" t="n">
        <v>60</v>
      </c>
      <c r="G2174" s="2" t="n">
        <v>460</v>
      </c>
      <c r="H2174" t="inlineStr">
        <is>
          <t>460</t>
        </is>
      </c>
      <c r="I2174" s="2" t="n">
        <v>460</v>
      </c>
      <c r="J2174" s="2" t="n">
        <v>460</v>
      </c>
      <c r="L2174" s="3" t="n">
        <v>10.3</v>
      </c>
      <c r="M2174" s="3" t="n"/>
      <c r="N2174" s="3" t="n">
        <v>7.4</v>
      </c>
      <c r="O2174" s="3" t="n"/>
      <c r="P2174" s="3">
        <f>IF(L2174&lt;&gt;"",L2174/1.4,"")</f>
        <v/>
      </c>
      <c r="Q2174" s="3">
        <f>IF(L2174&lt;&gt;"",L2174/1.56,"")</f>
        <v/>
      </c>
      <c r="R2174" s="3">
        <f>IF(M2174&lt;&gt;"",M2174/1.4,"")</f>
        <v/>
      </c>
      <c r="S2174" s="3">
        <f>IF(M2174&lt;&gt;"",M2174/1.56,"")</f>
        <v/>
      </c>
      <c r="T2174" s="3">
        <f>IF(N2174&lt;&gt;"",N2174,IF(O2174&lt;&gt;"",O2174,IF(L2174&lt;&gt;"",L2174/1.56,IF(M2174&lt;&gt;"",M2174/1.56,""))))</f>
        <v/>
      </c>
      <c r="U2174" s="3" t="n">
        <v>39</v>
      </c>
      <c r="V2174" s="3" t="n"/>
      <c r="W2174" s="3" t="n"/>
      <c r="X2174" s="4" t="n"/>
      <c r="Y2174" s="5" t="n"/>
      <c r="Z2174" s="4">
        <f>IF(L2174&lt;&gt;"",SQRT(3)*G2174*L2174/1000,"")</f>
        <v/>
      </c>
      <c r="AA2174" t="inlineStr">
        <is>
          <t>HP=3.0; nan</t>
        </is>
      </c>
      <c r="AB2174" t="inlineStr">
        <is>
          <t>Copeland_ZB_RLA_230_460_3ph_60Hz.xlsx</t>
        </is>
      </c>
      <c r="AC2174" t="inlineStr">
        <is>
          <t>ZB_60Hz_3ph_230_460</t>
        </is>
      </c>
    </row>
    <row r="2175">
      <c r="A2175" t="inlineStr">
        <is>
          <t>COPELAND</t>
        </is>
      </c>
      <c r="B2175" t="inlineStr">
        <is>
          <t>ZB26KQ/E</t>
        </is>
      </c>
      <c r="C2175" t="inlineStr">
        <is>
          <t>KQ</t>
        </is>
      </c>
      <c r="D2175" t="inlineStr">
        <is>
          <t>Scroll ZB</t>
        </is>
      </c>
      <c r="E2175" s="2" t="n">
        <v>3</v>
      </c>
      <c r="F2175" s="2" t="n">
        <v>60</v>
      </c>
      <c r="G2175" s="2" t="n">
        <v>230</v>
      </c>
      <c r="H2175" t="inlineStr">
        <is>
          <t>230</t>
        </is>
      </c>
      <c r="I2175" s="2" t="n">
        <v>230</v>
      </c>
      <c r="J2175" s="2" t="n">
        <v>230</v>
      </c>
      <c r="L2175" s="3" t="n">
        <v>19.4</v>
      </c>
      <c r="M2175" s="3" t="n"/>
      <c r="N2175" s="3" t="n">
        <v>13.9</v>
      </c>
      <c r="O2175" s="3" t="n"/>
      <c r="P2175" s="3">
        <f>IF(L2175&lt;&gt;"",L2175/1.4,"")</f>
        <v/>
      </c>
      <c r="Q2175" s="3">
        <f>IF(L2175&lt;&gt;"",L2175/1.56,"")</f>
        <v/>
      </c>
      <c r="R2175" s="3">
        <f>IF(M2175&lt;&gt;"",M2175/1.4,"")</f>
        <v/>
      </c>
      <c r="S2175" s="3">
        <f>IF(M2175&lt;&gt;"",M2175/1.56,"")</f>
        <v/>
      </c>
      <c r="T2175" s="3">
        <f>IF(N2175&lt;&gt;"",N2175,IF(O2175&lt;&gt;"",O2175,IF(L2175&lt;&gt;"",L2175/1.56,IF(M2175&lt;&gt;"",M2175/1.56,""))))</f>
        <v/>
      </c>
      <c r="U2175" s="3" t="n">
        <v>88</v>
      </c>
      <c r="V2175" s="3" t="n"/>
      <c r="W2175" s="3" t="n"/>
      <c r="X2175" s="4" t="n"/>
      <c r="Y2175" s="5" t="n"/>
      <c r="Z2175" s="4">
        <f>IF(L2175&lt;&gt;"",SQRT(3)*G2175*L2175/1000,"")</f>
        <v/>
      </c>
      <c r="AA2175" t="inlineStr">
        <is>
          <t>HP=3.5; nan</t>
        </is>
      </c>
      <c r="AB2175" t="inlineStr">
        <is>
          <t>Copeland_ZB_RLA_230_460_3ph_60Hz.xlsx</t>
        </is>
      </c>
      <c r="AC2175" t="inlineStr">
        <is>
          <t>ZB_60Hz_3ph_230_460</t>
        </is>
      </c>
    </row>
    <row r="2176">
      <c r="A2176" t="inlineStr">
        <is>
          <t>COPELAND</t>
        </is>
      </c>
      <c r="B2176" t="inlineStr">
        <is>
          <t>ZB26KQ/E</t>
        </is>
      </c>
      <c r="C2176" t="inlineStr">
        <is>
          <t>KQ</t>
        </is>
      </c>
      <c r="D2176" t="inlineStr">
        <is>
          <t>Scroll ZB</t>
        </is>
      </c>
      <c r="E2176" s="2" t="n">
        <v>3</v>
      </c>
      <c r="F2176" s="2" t="n">
        <v>60</v>
      </c>
      <c r="G2176" s="2" t="n">
        <v>460</v>
      </c>
      <c r="H2176" t="inlineStr">
        <is>
          <t>460</t>
        </is>
      </c>
      <c r="I2176" s="2" t="n">
        <v>460</v>
      </c>
      <c r="J2176" s="2" t="n">
        <v>460</v>
      </c>
      <c r="L2176" s="3" t="n">
        <v>10</v>
      </c>
      <c r="M2176" s="3" t="n"/>
      <c r="N2176" s="3" t="n">
        <v>7.1</v>
      </c>
      <c r="O2176" s="3" t="n"/>
      <c r="P2176" s="3">
        <f>IF(L2176&lt;&gt;"",L2176/1.4,"")</f>
        <v/>
      </c>
      <c r="Q2176" s="3">
        <f>IF(L2176&lt;&gt;"",L2176/1.56,"")</f>
        <v/>
      </c>
      <c r="R2176" s="3">
        <f>IF(M2176&lt;&gt;"",M2176/1.4,"")</f>
        <v/>
      </c>
      <c r="S2176" s="3">
        <f>IF(M2176&lt;&gt;"",M2176/1.56,"")</f>
        <v/>
      </c>
      <c r="T2176" s="3">
        <f>IF(N2176&lt;&gt;"",N2176,IF(O2176&lt;&gt;"",O2176,IF(L2176&lt;&gt;"",L2176/1.56,IF(M2176&lt;&gt;"",M2176/1.56,""))))</f>
        <v/>
      </c>
      <c r="U2176" s="3" t="n">
        <v>44</v>
      </c>
      <c r="V2176" s="3" t="n"/>
      <c r="W2176" s="3" t="n"/>
      <c r="X2176" s="4" t="n"/>
      <c r="Y2176" s="5" t="n"/>
      <c r="Z2176" s="4">
        <f>IF(L2176&lt;&gt;"",SQRT(3)*G2176*L2176/1000,"")</f>
        <v/>
      </c>
      <c r="AA2176" t="inlineStr">
        <is>
          <t>HP=3.5; nan</t>
        </is>
      </c>
      <c r="AB2176" t="inlineStr">
        <is>
          <t>Copeland_ZB_RLA_230_460_3ph_60Hz.xlsx</t>
        </is>
      </c>
      <c r="AC2176" t="inlineStr">
        <is>
          <t>ZB_60Hz_3ph_230_460</t>
        </is>
      </c>
    </row>
    <row r="2177">
      <c r="A2177" t="inlineStr">
        <is>
          <t>COPELAND</t>
        </is>
      </c>
      <c r="B2177" t="inlineStr">
        <is>
          <t>ZB26KQ/E</t>
        </is>
      </c>
      <c r="C2177" t="inlineStr">
        <is>
          <t>KQE</t>
        </is>
      </c>
      <c r="D2177" t="inlineStr">
        <is>
          <t>Scroll ZB</t>
        </is>
      </c>
      <c r="E2177" s="2" t="n">
        <v>3</v>
      </c>
      <c r="F2177" s="2" t="n">
        <v>60</v>
      </c>
      <c r="G2177" s="2" t="n">
        <v>230</v>
      </c>
      <c r="H2177" t="inlineStr">
        <is>
          <t>230</t>
        </is>
      </c>
      <c r="I2177" s="2" t="n">
        <v>230</v>
      </c>
      <c r="J2177" s="2" t="n">
        <v>230</v>
      </c>
      <c r="L2177" s="3" t="n">
        <v>18.5</v>
      </c>
      <c r="M2177" s="3" t="n"/>
      <c r="N2177" s="3" t="n">
        <v>13.2</v>
      </c>
      <c r="O2177" s="3" t="n"/>
      <c r="P2177" s="3">
        <f>IF(L2177&lt;&gt;"",L2177/1.4,"")</f>
        <v/>
      </c>
      <c r="Q2177" s="3">
        <f>IF(L2177&lt;&gt;"",L2177/1.56,"")</f>
        <v/>
      </c>
      <c r="R2177" s="3">
        <f>IF(M2177&lt;&gt;"",M2177/1.4,"")</f>
        <v/>
      </c>
      <c r="S2177" s="3">
        <f>IF(M2177&lt;&gt;"",M2177/1.56,"")</f>
        <v/>
      </c>
      <c r="T2177" s="3">
        <f>IF(N2177&lt;&gt;"",N2177,IF(O2177&lt;&gt;"",O2177,IF(L2177&lt;&gt;"",L2177/1.56,IF(M2177&lt;&gt;"",M2177/1.56,""))))</f>
        <v/>
      </c>
      <c r="U2177" s="3" t="n">
        <v>88</v>
      </c>
      <c r="V2177" s="3" t="n"/>
      <c r="W2177" s="3" t="n"/>
      <c r="X2177" s="4" t="n"/>
      <c r="Y2177" s="5" t="n"/>
      <c r="Z2177" s="4">
        <f>IF(L2177&lt;&gt;"",SQRT(3)*G2177*L2177/1000,"")</f>
        <v/>
      </c>
      <c r="AA2177" t="inlineStr">
        <is>
          <t>HP=3.5; nan</t>
        </is>
      </c>
      <c r="AB2177" t="inlineStr">
        <is>
          <t>Copeland_ZB_RLA_230_460_3ph_60Hz.xlsx</t>
        </is>
      </c>
      <c r="AC2177" t="inlineStr">
        <is>
          <t>ZB_60Hz_3ph_230_460</t>
        </is>
      </c>
    </row>
    <row r="2178">
      <c r="A2178" t="inlineStr">
        <is>
          <t>COPELAND</t>
        </is>
      </c>
      <c r="B2178" t="inlineStr">
        <is>
          <t>ZB26KQ/E</t>
        </is>
      </c>
      <c r="C2178" t="inlineStr">
        <is>
          <t>KQE</t>
        </is>
      </c>
      <c r="D2178" t="inlineStr">
        <is>
          <t>Scroll ZB</t>
        </is>
      </c>
      <c r="E2178" s="2" t="n">
        <v>3</v>
      </c>
      <c r="F2178" s="2" t="n">
        <v>60</v>
      </c>
      <c r="G2178" s="2" t="n">
        <v>460</v>
      </c>
      <c r="H2178" t="inlineStr">
        <is>
          <t>460</t>
        </is>
      </c>
      <c r="I2178" s="2" t="n">
        <v>460</v>
      </c>
      <c r="J2178" s="2" t="n">
        <v>460</v>
      </c>
      <c r="L2178" s="3" t="n">
        <v>9</v>
      </c>
      <c r="M2178" s="3" t="n"/>
      <c r="N2178" s="3" t="n">
        <v>6.4</v>
      </c>
      <c r="O2178" s="3" t="n"/>
      <c r="P2178" s="3">
        <f>IF(L2178&lt;&gt;"",L2178/1.4,"")</f>
        <v/>
      </c>
      <c r="Q2178" s="3">
        <f>IF(L2178&lt;&gt;"",L2178/1.56,"")</f>
        <v/>
      </c>
      <c r="R2178" s="3">
        <f>IF(M2178&lt;&gt;"",M2178/1.4,"")</f>
        <v/>
      </c>
      <c r="S2178" s="3">
        <f>IF(M2178&lt;&gt;"",M2178/1.56,"")</f>
        <v/>
      </c>
      <c r="T2178" s="3">
        <f>IF(N2178&lt;&gt;"",N2178,IF(O2178&lt;&gt;"",O2178,IF(L2178&lt;&gt;"",L2178/1.56,IF(M2178&lt;&gt;"",M2178/1.56,""))))</f>
        <v/>
      </c>
      <c r="U2178" s="3" t="n">
        <v>44</v>
      </c>
      <c r="V2178" s="3" t="n"/>
      <c r="W2178" s="3" t="n"/>
      <c r="X2178" s="4" t="n"/>
      <c r="Y2178" s="5" t="n"/>
      <c r="Z2178" s="4">
        <f>IF(L2178&lt;&gt;"",SQRT(3)*G2178*L2178/1000,"")</f>
        <v/>
      </c>
      <c r="AA2178" t="inlineStr">
        <is>
          <t>HP=3.5; nan</t>
        </is>
      </c>
      <c r="AB2178" t="inlineStr">
        <is>
          <t>Copeland_ZB_RLA_230_460_3ph_60Hz.xlsx</t>
        </is>
      </c>
      <c r="AC2178" t="inlineStr">
        <is>
          <t>ZB_60Hz_3ph_230_460</t>
        </is>
      </c>
    </row>
    <row r="2179">
      <c r="A2179" t="inlineStr">
        <is>
          <t>COPELAND</t>
        </is>
      </c>
      <c r="B2179" t="inlineStr">
        <is>
          <t>ZB29KQ/E</t>
        </is>
      </c>
      <c r="C2179" t="inlineStr">
        <is>
          <t>KQ</t>
        </is>
      </c>
      <c r="D2179" t="inlineStr">
        <is>
          <t>Scroll ZB</t>
        </is>
      </c>
      <c r="E2179" s="2" t="n">
        <v>3</v>
      </c>
      <c r="F2179" s="2" t="n">
        <v>60</v>
      </c>
      <c r="G2179" s="2" t="n">
        <v>230</v>
      </c>
      <c r="H2179" t="inlineStr">
        <is>
          <t>230</t>
        </is>
      </c>
      <c r="I2179" s="2" t="n">
        <v>230</v>
      </c>
      <c r="J2179" s="2" t="n">
        <v>230</v>
      </c>
      <c r="L2179" s="3" t="n">
        <v>23</v>
      </c>
      <c r="M2179" s="3" t="n"/>
      <c r="N2179" s="3" t="n">
        <v>16.4</v>
      </c>
      <c r="O2179" s="3" t="n"/>
      <c r="P2179" s="3">
        <f>IF(L2179&lt;&gt;"",L2179/1.4,"")</f>
        <v/>
      </c>
      <c r="Q2179" s="3">
        <f>IF(L2179&lt;&gt;"",L2179/1.56,"")</f>
        <v/>
      </c>
      <c r="R2179" s="3">
        <f>IF(M2179&lt;&gt;"",M2179/1.4,"")</f>
        <v/>
      </c>
      <c r="S2179" s="3">
        <f>IF(M2179&lt;&gt;"",M2179/1.56,"")</f>
        <v/>
      </c>
      <c r="T2179" s="3">
        <f>IF(N2179&lt;&gt;"",N2179,IF(O2179&lt;&gt;"",O2179,IF(L2179&lt;&gt;"",L2179/1.56,IF(M2179&lt;&gt;"",M2179/1.56,""))))</f>
        <v/>
      </c>
      <c r="U2179" s="3" t="n">
        <v>91</v>
      </c>
      <c r="V2179" s="3" t="n"/>
      <c r="W2179" s="3" t="n"/>
      <c r="X2179" s="4" t="n"/>
      <c r="Y2179" s="5" t="n"/>
      <c r="Z2179" s="4">
        <f>IF(L2179&lt;&gt;"",SQRT(3)*G2179*L2179/1000,"")</f>
        <v/>
      </c>
      <c r="AA2179" t="inlineStr">
        <is>
          <t>HP=4.0; nan</t>
        </is>
      </c>
      <c r="AB2179" t="inlineStr">
        <is>
          <t>Copeland_ZB_RLA_230_460_3ph_60Hz.xlsx</t>
        </is>
      </c>
      <c r="AC2179" t="inlineStr">
        <is>
          <t>ZB_60Hz_3ph_230_460</t>
        </is>
      </c>
    </row>
    <row r="2180">
      <c r="A2180" t="inlineStr">
        <is>
          <t>COPELAND</t>
        </is>
      </c>
      <c r="B2180" t="inlineStr">
        <is>
          <t>ZB29KQ/E</t>
        </is>
      </c>
      <c r="C2180" t="inlineStr">
        <is>
          <t>KQ</t>
        </is>
      </c>
      <c r="D2180" t="inlineStr">
        <is>
          <t>Scroll ZB</t>
        </is>
      </c>
      <c r="E2180" s="2" t="n">
        <v>3</v>
      </c>
      <c r="F2180" s="2" t="n">
        <v>60</v>
      </c>
      <c r="G2180" s="2" t="n">
        <v>460</v>
      </c>
      <c r="H2180" t="inlineStr">
        <is>
          <t>460</t>
        </is>
      </c>
      <c r="I2180" s="2" t="n">
        <v>460</v>
      </c>
      <c r="J2180" s="2" t="n">
        <v>460</v>
      </c>
      <c r="L2180" s="3" t="n">
        <v>11</v>
      </c>
      <c r="M2180" s="3" t="n"/>
      <c r="N2180" s="3" t="n">
        <v>7.9</v>
      </c>
      <c r="O2180" s="3" t="n"/>
      <c r="P2180" s="3">
        <f>IF(L2180&lt;&gt;"",L2180/1.4,"")</f>
        <v/>
      </c>
      <c r="Q2180" s="3">
        <f>IF(L2180&lt;&gt;"",L2180/1.56,"")</f>
        <v/>
      </c>
      <c r="R2180" s="3">
        <f>IF(M2180&lt;&gt;"",M2180/1.4,"")</f>
        <v/>
      </c>
      <c r="S2180" s="3">
        <f>IF(M2180&lt;&gt;"",M2180/1.56,"")</f>
        <v/>
      </c>
      <c r="T2180" s="3">
        <f>IF(N2180&lt;&gt;"",N2180,IF(O2180&lt;&gt;"",O2180,IF(L2180&lt;&gt;"",L2180/1.56,IF(M2180&lt;&gt;"",M2180/1.56,""))))</f>
        <v/>
      </c>
      <c r="U2180" s="3" t="n">
        <v>50</v>
      </c>
      <c r="V2180" s="3" t="n"/>
      <c r="W2180" s="3" t="n"/>
      <c r="X2180" s="4" t="n"/>
      <c r="Y2180" s="5" t="n"/>
      <c r="Z2180" s="4">
        <f>IF(L2180&lt;&gt;"",SQRT(3)*G2180*L2180/1000,"")</f>
        <v/>
      </c>
      <c r="AA2180" t="inlineStr">
        <is>
          <t>HP=4.0; nan</t>
        </is>
      </c>
      <c r="AB2180" t="inlineStr">
        <is>
          <t>Copeland_ZB_RLA_230_460_3ph_60Hz.xlsx</t>
        </is>
      </c>
      <c r="AC2180" t="inlineStr">
        <is>
          <t>ZB_60Hz_3ph_230_460</t>
        </is>
      </c>
    </row>
    <row r="2181">
      <c r="A2181" t="inlineStr">
        <is>
          <t>COPELAND</t>
        </is>
      </c>
      <c r="B2181" t="inlineStr">
        <is>
          <t>ZB29KQ/E</t>
        </is>
      </c>
      <c r="C2181" t="inlineStr">
        <is>
          <t>KQE</t>
        </is>
      </c>
      <c r="D2181" t="inlineStr">
        <is>
          <t>Scroll ZB</t>
        </is>
      </c>
      <c r="E2181" s="2" t="n">
        <v>3</v>
      </c>
      <c r="F2181" s="2" t="n">
        <v>60</v>
      </c>
      <c r="G2181" s="2" t="n">
        <v>230</v>
      </c>
      <c r="H2181" t="inlineStr">
        <is>
          <t>230</t>
        </is>
      </c>
      <c r="I2181" s="2" t="n">
        <v>230</v>
      </c>
      <c r="J2181" s="2" t="n">
        <v>230</v>
      </c>
      <c r="L2181" s="3" t="n">
        <v>24</v>
      </c>
      <c r="M2181" s="3" t="n"/>
      <c r="N2181" s="3" t="n">
        <v>17.1</v>
      </c>
      <c r="O2181" s="3" t="n"/>
      <c r="P2181" s="3">
        <f>IF(L2181&lt;&gt;"",L2181/1.4,"")</f>
        <v/>
      </c>
      <c r="Q2181" s="3">
        <f>IF(L2181&lt;&gt;"",L2181/1.56,"")</f>
        <v/>
      </c>
      <c r="R2181" s="3">
        <f>IF(M2181&lt;&gt;"",M2181/1.4,"")</f>
        <v/>
      </c>
      <c r="S2181" s="3">
        <f>IF(M2181&lt;&gt;"",M2181/1.56,"")</f>
        <v/>
      </c>
      <c r="T2181" s="3">
        <f>IF(N2181&lt;&gt;"",N2181,IF(O2181&lt;&gt;"",O2181,IF(L2181&lt;&gt;"",L2181/1.56,IF(M2181&lt;&gt;"",M2181/1.56,""))))</f>
        <v/>
      </c>
      <c r="U2181" s="3" t="n">
        <v>91</v>
      </c>
      <c r="V2181" s="3" t="n"/>
      <c r="W2181" s="3" t="n"/>
      <c r="X2181" s="4" t="n"/>
      <c r="Y2181" s="5" t="n"/>
      <c r="Z2181" s="4">
        <f>IF(L2181&lt;&gt;"",SQRT(3)*G2181*L2181/1000,"")</f>
        <v/>
      </c>
      <c r="AA2181" t="inlineStr">
        <is>
          <t>HP=4.0; nan</t>
        </is>
      </c>
      <c r="AB2181" t="inlineStr">
        <is>
          <t>Copeland_ZB_RLA_230_460_3ph_60Hz.xlsx</t>
        </is>
      </c>
      <c r="AC2181" t="inlineStr">
        <is>
          <t>ZB_60Hz_3ph_230_460</t>
        </is>
      </c>
    </row>
    <row r="2182">
      <c r="A2182" t="inlineStr">
        <is>
          <t>COPELAND</t>
        </is>
      </c>
      <c r="B2182" t="inlineStr">
        <is>
          <t>ZB29KQ/E</t>
        </is>
      </c>
      <c r="C2182" t="inlineStr">
        <is>
          <t>KQE</t>
        </is>
      </c>
      <c r="D2182" t="inlineStr">
        <is>
          <t>Scroll ZB</t>
        </is>
      </c>
      <c r="E2182" s="2" t="n">
        <v>3</v>
      </c>
      <c r="F2182" s="2" t="n">
        <v>60</v>
      </c>
      <c r="G2182" s="2" t="n">
        <v>460</v>
      </c>
      <c r="H2182" t="inlineStr">
        <is>
          <t>460</t>
        </is>
      </c>
      <c r="I2182" s="2" t="n">
        <v>460</v>
      </c>
      <c r="J2182" s="2" t="n">
        <v>460</v>
      </c>
      <c r="L2182" s="3" t="n">
        <v>11</v>
      </c>
      <c r="M2182" s="3" t="n"/>
      <c r="N2182" s="3" t="n">
        <v>7.9</v>
      </c>
      <c r="O2182" s="3" t="n"/>
      <c r="P2182" s="3">
        <f>IF(L2182&lt;&gt;"",L2182/1.4,"")</f>
        <v/>
      </c>
      <c r="Q2182" s="3">
        <f>IF(L2182&lt;&gt;"",L2182/1.56,"")</f>
        <v/>
      </c>
      <c r="R2182" s="3">
        <f>IF(M2182&lt;&gt;"",M2182/1.4,"")</f>
        <v/>
      </c>
      <c r="S2182" s="3">
        <f>IF(M2182&lt;&gt;"",M2182/1.56,"")</f>
        <v/>
      </c>
      <c r="T2182" s="3">
        <f>IF(N2182&lt;&gt;"",N2182,IF(O2182&lt;&gt;"",O2182,IF(L2182&lt;&gt;"",L2182/1.56,IF(M2182&lt;&gt;"",M2182/1.56,""))))</f>
        <v/>
      </c>
      <c r="U2182" s="3" t="n">
        <v>50</v>
      </c>
      <c r="V2182" s="3" t="n"/>
      <c r="W2182" s="3" t="n"/>
      <c r="X2182" s="4" t="n"/>
      <c r="Y2182" s="5" t="n"/>
      <c r="Z2182" s="4">
        <f>IF(L2182&lt;&gt;"",SQRT(3)*G2182*L2182/1000,"")</f>
        <v/>
      </c>
      <c r="AA2182" t="inlineStr">
        <is>
          <t>HP=4.0; nan</t>
        </is>
      </c>
      <c r="AB2182" t="inlineStr">
        <is>
          <t>Copeland_ZB_RLA_230_460_3ph_60Hz.xlsx</t>
        </is>
      </c>
      <c r="AC2182" t="inlineStr">
        <is>
          <t>ZB_60Hz_3ph_230_460</t>
        </is>
      </c>
    </row>
    <row r="2183">
      <c r="A2183" t="inlineStr">
        <is>
          <t>COPELAND</t>
        </is>
      </c>
      <c r="B2183" t="inlineStr">
        <is>
          <t>ZB38KQ/E</t>
        </is>
      </c>
      <c r="C2183" t="inlineStr">
        <is>
          <t>KQ</t>
        </is>
      </c>
      <c r="D2183" t="inlineStr">
        <is>
          <t>Scroll ZB</t>
        </is>
      </c>
      <c r="E2183" s="2" t="n">
        <v>3</v>
      </c>
      <c r="F2183" s="2" t="n">
        <v>60</v>
      </c>
      <c r="G2183" s="2" t="n">
        <v>230</v>
      </c>
      <c r="H2183" t="inlineStr">
        <is>
          <t>230</t>
        </is>
      </c>
      <c r="I2183" s="2" t="n">
        <v>230</v>
      </c>
      <c r="J2183" s="2" t="n">
        <v>230</v>
      </c>
      <c r="L2183" s="3" t="n">
        <v>29</v>
      </c>
      <c r="M2183" s="3" t="n"/>
      <c r="N2183" s="3" t="n">
        <v>20.7</v>
      </c>
      <c r="O2183" s="3" t="n"/>
      <c r="P2183" s="3">
        <f>IF(L2183&lt;&gt;"",L2183/1.4,"")</f>
        <v/>
      </c>
      <c r="Q2183" s="3">
        <f>IF(L2183&lt;&gt;"",L2183/1.56,"")</f>
        <v/>
      </c>
      <c r="R2183" s="3">
        <f>IF(M2183&lt;&gt;"",M2183/1.4,"")</f>
        <v/>
      </c>
      <c r="S2183" s="3">
        <f>IF(M2183&lt;&gt;"",M2183/1.56,"")</f>
        <v/>
      </c>
      <c r="T2183" s="3">
        <f>IF(N2183&lt;&gt;"",N2183,IF(O2183&lt;&gt;"",O2183,IF(L2183&lt;&gt;"",L2183/1.56,IF(M2183&lt;&gt;"",M2183/1.56,""))))</f>
        <v/>
      </c>
      <c r="U2183" s="3" t="n">
        <v>128</v>
      </c>
      <c r="V2183" s="3" t="n"/>
      <c r="W2183" s="3" t="n"/>
      <c r="X2183" s="4" t="n"/>
      <c r="Y2183" s="5" t="n"/>
      <c r="Z2183" s="4">
        <f>IF(L2183&lt;&gt;"",SQRT(3)*G2183*L2183/1000,"")</f>
        <v/>
      </c>
      <c r="AA2183" t="inlineStr">
        <is>
          <t>HP=5.0; nan</t>
        </is>
      </c>
      <c r="AB2183" t="inlineStr">
        <is>
          <t>Copeland_ZB_RLA_230_460_3ph_60Hz.xlsx</t>
        </is>
      </c>
      <c r="AC2183" t="inlineStr">
        <is>
          <t>ZB_60Hz_3ph_230_460</t>
        </is>
      </c>
    </row>
    <row r="2184">
      <c r="A2184" t="inlineStr">
        <is>
          <t>COPELAND</t>
        </is>
      </c>
      <c r="B2184" t="inlineStr">
        <is>
          <t>ZB38KQ/E</t>
        </is>
      </c>
      <c r="C2184" t="inlineStr">
        <is>
          <t>KQ</t>
        </is>
      </c>
      <c r="D2184" t="inlineStr">
        <is>
          <t>Scroll ZB</t>
        </is>
      </c>
      <c r="E2184" s="2" t="n">
        <v>3</v>
      </c>
      <c r="F2184" s="2" t="n">
        <v>60</v>
      </c>
      <c r="G2184" s="2" t="n">
        <v>460</v>
      </c>
      <c r="H2184" t="inlineStr">
        <is>
          <t>460</t>
        </is>
      </c>
      <c r="I2184" s="2" t="n">
        <v>460</v>
      </c>
      <c r="J2184" s="2" t="n">
        <v>460</v>
      </c>
      <c r="L2184" s="3" t="n">
        <v>13.5</v>
      </c>
      <c r="M2184" s="3" t="n"/>
      <c r="N2184" s="3" t="n">
        <v>10</v>
      </c>
      <c r="O2184" s="3" t="n"/>
      <c r="P2184" s="3">
        <f>IF(L2184&lt;&gt;"",L2184/1.4,"")</f>
        <v/>
      </c>
      <c r="Q2184" s="3">
        <f>IF(L2184&lt;&gt;"",L2184/1.56,"")</f>
        <v/>
      </c>
      <c r="R2184" s="3">
        <f>IF(M2184&lt;&gt;"",M2184/1.4,"")</f>
        <v/>
      </c>
      <c r="S2184" s="3">
        <f>IF(M2184&lt;&gt;"",M2184/1.56,"")</f>
        <v/>
      </c>
      <c r="T2184" s="3">
        <f>IF(N2184&lt;&gt;"",N2184,IF(O2184&lt;&gt;"",O2184,IF(L2184&lt;&gt;"",L2184/1.56,IF(M2184&lt;&gt;"",M2184/1.56,""))))</f>
        <v/>
      </c>
      <c r="U2184" s="3" t="n">
        <v>63</v>
      </c>
      <c r="V2184" s="3" t="n"/>
      <c r="W2184" s="3" t="n"/>
      <c r="X2184" s="4" t="n"/>
      <c r="Y2184" s="5" t="n"/>
      <c r="Z2184" s="4">
        <f>IF(L2184&lt;&gt;"",SQRT(3)*G2184*L2184/1000,"")</f>
        <v/>
      </c>
      <c r="AA2184" t="inlineStr">
        <is>
          <t>HP=5.0; nan</t>
        </is>
      </c>
      <c r="AB2184" t="inlineStr">
        <is>
          <t>Copeland_ZB_RLA_230_460_3ph_60Hz.xlsx</t>
        </is>
      </c>
      <c r="AC2184" t="inlineStr">
        <is>
          <t>ZB_60Hz_3ph_230_460</t>
        </is>
      </c>
    </row>
    <row r="2185">
      <c r="A2185" t="inlineStr">
        <is>
          <t>COPELAND</t>
        </is>
      </c>
      <c r="B2185" t="inlineStr">
        <is>
          <t>ZB38KQ/E</t>
        </is>
      </c>
      <c r="C2185" t="inlineStr">
        <is>
          <t>KQE</t>
        </is>
      </c>
      <c r="D2185" t="inlineStr">
        <is>
          <t>Scroll ZB</t>
        </is>
      </c>
      <c r="E2185" s="2" t="n">
        <v>3</v>
      </c>
      <c r="F2185" s="2" t="n">
        <v>60</v>
      </c>
      <c r="G2185" s="2" t="n">
        <v>230</v>
      </c>
      <c r="H2185" t="inlineStr">
        <is>
          <t>230</t>
        </is>
      </c>
      <c r="I2185" s="2" t="n">
        <v>230</v>
      </c>
      <c r="J2185" s="2" t="n">
        <v>230</v>
      </c>
      <c r="L2185" s="3" t="n">
        <v>33.6</v>
      </c>
      <c r="M2185" s="3" t="n"/>
      <c r="N2185" s="3" t="n">
        <v>24</v>
      </c>
      <c r="O2185" s="3" t="n"/>
      <c r="P2185" s="3">
        <f>IF(L2185&lt;&gt;"",L2185/1.4,"")</f>
        <v/>
      </c>
      <c r="Q2185" s="3">
        <f>IF(L2185&lt;&gt;"",L2185/1.56,"")</f>
        <v/>
      </c>
      <c r="R2185" s="3">
        <f>IF(M2185&lt;&gt;"",M2185/1.4,"")</f>
        <v/>
      </c>
      <c r="S2185" s="3">
        <f>IF(M2185&lt;&gt;"",M2185/1.56,"")</f>
        <v/>
      </c>
      <c r="T2185" s="3">
        <f>IF(N2185&lt;&gt;"",N2185,IF(O2185&lt;&gt;"",O2185,IF(L2185&lt;&gt;"",L2185/1.56,IF(M2185&lt;&gt;"",M2185/1.56,""))))</f>
        <v/>
      </c>
      <c r="U2185" s="3" t="n">
        <v>128</v>
      </c>
      <c r="V2185" s="3" t="n"/>
      <c r="W2185" s="3" t="n"/>
      <c r="X2185" s="4" t="n"/>
      <c r="Y2185" s="5" t="n"/>
      <c r="Z2185" s="4">
        <f>IF(L2185&lt;&gt;"",SQRT(3)*G2185*L2185/1000,"")</f>
        <v/>
      </c>
      <c r="AA2185" t="inlineStr">
        <is>
          <t>HP=5.0; nan</t>
        </is>
      </c>
      <c r="AB2185" t="inlineStr">
        <is>
          <t>Copeland_ZB_RLA_230_460_3ph_60Hz.xlsx</t>
        </is>
      </c>
      <c r="AC2185" t="inlineStr">
        <is>
          <t>ZB_60Hz_3ph_230_460</t>
        </is>
      </c>
    </row>
    <row r="2186">
      <c r="A2186" t="inlineStr">
        <is>
          <t>COPELAND</t>
        </is>
      </c>
      <c r="B2186" t="inlineStr">
        <is>
          <t>ZB38KQ/E</t>
        </is>
      </c>
      <c r="C2186" t="inlineStr">
        <is>
          <t>KQE</t>
        </is>
      </c>
      <c r="D2186" t="inlineStr">
        <is>
          <t>Scroll ZB</t>
        </is>
      </c>
      <c r="E2186" s="2" t="n">
        <v>3</v>
      </c>
      <c r="F2186" s="2" t="n">
        <v>60</v>
      </c>
      <c r="G2186" s="2" t="n">
        <v>460</v>
      </c>
      <c r="H2186" t="inlineStr">
        <is>
          <t>460</t>
        </is>
      </c>
      <c r="I2186" s="2" t="n">
        <v>460</v>
      </c>
      <c r="J2186" s="2" t="n">
        <v>460</v>
      </c>
      <c r="L2186" s="3" t="n">
        <v>14</v>
      </c>
      <c r="M2186" s="3" t="n"/>
      <c r="N2186" s="3" t="n">
        <v>9.6</v>
      </c>
      <c r="O2186" s="3" t="n"/>
      <c r="P2186" s="3">
        <f>IF(L2186&lt;&gt;"",L2186/1.4,"")</f>
        <v/>
      </c>
      <c r="Q2186" s="3">
        <f>IF(L2186&lt;&gt;"",L2186/1.56,"")</f>
        <v/>
      </c>
      <c r="R2186" s="3">
        <f>IF(M2186&lt;&gt;"",M2186/1.4,"")</f>
        <v/>
      </c>
      <c r="S2186" s="3">
        <f>IF(M2186&lt;&gt;"",M2186/1.56,"")</f>
        <v/>
      </c>
      <c r="T2186" s="3">
        <f>IF(N2186&lt;&gt;"",N2186,IF(O2186&lt;&gt;"",O2186,IF(L2186&lt;&gt;"",L2186/1.56,IF(M2186&lt;&gt;"",M2186/1.56,""))))</f>
        <v/>
      </c>
      <c r="U2186" s="3" t="n">
        <v>63</v>
      </c>
      <c r="V2186" s="3" t="n"/>
      <c r="W2186" s="3" t="n"/>
      <c r="X2186" s="4" t="n"/>
      <c r="Y2186" s="5" t="n"/>
      <c r="Z2186" s="4">
        <f>IF(L2186&lt;&gt;"",SQRT(3)*G2186*L2186/1000,"")</f>
        <v/>
      </c>
      <c r="AA2186" t="inlineStr">
        <is>
          <t>HP=5.0; nan</t>
        </is>
      </c>
      <c r="AB2186" t="inlineStr">
        <is>
          <t>Copeland_ZB_RLA_230_460_3ph_60Hz.xlsx</t>
        </is>
      </c>
      <c r="AC2186" t="inlineStr">
        <is>
          <t>ZB_60Hz_3ph_230_460</t>
        </is>
      </c>
    </row>
    <row r="2187">
      <c r="A2187" t="inlineStr">
        <is>
          <t>COPELAND</t>
        </is>
      </c>
      <c r="B2187" t="inlineStr">
        <is>
          <t>ZB45KQ/E</t>
        </is>
      </c>
      <c r="C2187" t="inlineStr">
        <is>
          <t>KQ</t>
        </is>
      </c>
      <c r="D2187" t="inlineStr">
        <is>
          <t>Scroll ZB</t>
        </is>
      </c>
      <c r="E2187" s="2" t="n">
        <v>3</v>
      </c>
      <c r="F2187" s="2" t="n">
        <v>60</v>
      </c>
      <c r="G2187" s="2" t="n">
        <v>230</v>
      </c>
      <c r="H2187" t="inlineStr">
        <is>
          <t>230</t>
        </is>
      </c>
      <c r="I2187" s="2" t="n">
        <v>230</v>
      </c>
      <c r="J2187" s="2" t="n">
        <v>230</v>
      </c>
      <c r="L2187" s="3" t="n">
        <v>29</v>
      </c>
      <c r="M2187" s="3" t="n"/>
      <c r="N2187" s="3" t="n">
        <v>20.7</v>
      </c>
      <c r="O2187" s="3" t="n"/>
      <c r="P2187" s="3">
        <f>IF(L2187&lt;&gt;"",L2187/1.4,"")</f>
        <v/>
      </c>
      <c r="Q2187" s="3">
        <f>IF(L2187&lt;&gt;"",L2187/1.56,"")</f>
        <v/>
      </c>
      <c r="R2187" s="3">
        <f>IF(M2187&lt;&gt;"",M2187/1.4,"")</f>
        <v/>
      </c>
      <c r="S2187" s="3">
        <f>IF(M2187&lt;&gt;"",M2187/1.56,"")</f>
        <v/>
      </c>
      <c r="T2187" s="3">
        <f>IF(N2187&lt;&gt;"",N2187,IF(O2187&lt;&gt;"",O2187,IF(L2187&lt;&gt;"",L2187/1.56,IF(M2187&lt;&gt;"",M2187/1.56,""))))</f>
        <v/>
      </c>
      <c r="U2187" s="3" t="n">
        <v>156</v>
      </c>
      <c r="V2187" s="3" t="n"/>
      <c r="W2187" s="3" t="n"/>
      <c r="X2187" s="4" t="n"/>
      <c r="Y2187" s="5" t="n"/>
      <c r="Z2187" s="4">
        <f>IF(L2187&lt;&gt;"",SQRT(3)*G2187*L2187/1000,"")</f>
        <v/>
      </c>
      <c r="AA2187" t="inlineStr">
        <is>
          <t>HP=6.0; nan</t>
        </is>
      </c>
      <c r="AB2187" t="inlineStr">
        <is>
          <t>Copeland_ZB_RLA_230_460_3ph_60Hz.xlsx</t>
        </is>
      </c>
      <c r="AC2187" t="inlineStr">
        <is>
          <t>ZB_60Hz_3ph_230_460</t>
        </is>
      </c>
    </row>
    <row r="2188">
      <c r="A2188" t="inlineStr">
        <is>
          <t>COPELAND</t>
        </is>
      </c>
      <c r="B2188" t="inlineStr">
        <is>
          <t>ZB45KQ/E</t>
        </is>
      </c>
      <c r="C2188" t="inlineStr">
        <is>
          <t>KQ</t>
        </is>
      </c>
      <c r="D2188" t="inlineStr">
        <is>
          <t>Scroll ZB</t>
        </is>
      </c>
      <c r="E2188" s="2" t="n">
        <v>3</v>
      </c>
      <c r="F2188" s="2" t="n">
        <v>60</v>
      </c>
      <c r="G2188" s="2" t="n">
        <v>460</v>
      </c>
      <c r="H2188" t="inlineStr">
        <is>
          <t>460</t>
        </is>
      </c>
      <c r="I2188" s="2" t="n">
        <v>460</v>
      </c>
      <c r="J2188" s="2" t="n">
        <v>460</v>
      </c>
      <c r="L2188" s="3" t="n">
        <v>16.1</v>
      </c>
      <c r="M2188" s="3" t="n"/>
      <c r="N2188" s="3" t="n">
        <v>11.5</v>
      </c>
      <c r="O2188" s="3" t="n"/>
      <c r="P2188" s="3">
        <f>IF(L2188&lt;&gt;"",L2188/1.4,"")</f>
        <v/>
      </c>
      <c r="Q2188" s="3">
        <f>IF(L2188&lt;&gt;"",L2188/1.56,"")</f>
        <v/>
      </c>
      <c r="R2188" s="3">
        <f>IF(M2188&lt;&gt;"",M2188/1.4,"")</f>
        <v/>
      </c>
      <c r="S2188" s="3">
        <f>IF(M2188&lt;&gt;"",M2188/1.56,"")</f>
        <v/>
      </c>
      <c r="T2188" s="3">
        <f>IF(N2188&lt;&gt;"",N2188,IF(O2188&lt;&gt;"",O2188,IF(L2188&lt;&gt;"",L2188/1.56,IF(M2188&lt;&gt;"",M2188/1.56,""))))</f>
        <v/>
      </c>
      <c r="U2188" s="3" t="n">
        <v>75</v>
      </c>
      <c r="V2188" s="3" t="n"/>
      <c r="W2188" s="3" t="n"/>
      <c r="X2188" s="4" t="n"/>
      <c r="Y2188" s="5" t="n"/>
      <c r="Z2188" s="4">
        <f>IF(L2188&lt;&gt;"",SQRT(3)*G2188*L2188/1000,"")</f>
        <v/>
      </c>
      <c r="AA2188" t="inlineStr">
        <is>
          <t>HP=6.0; nan</t>
        </is>
      </c>
      <c r="AB2188" t="inlineStr">
        <is>
          <t>Copeland_ZB_RLA_230_460_3ph_60Hz.xlsx</t>
        </is>
      </c>
      <c r="AC2188" t="inlineStr">
        <is>
          <t>ZB_60Hz_3ph_230_460</t>
        </is>
      </c>
    </row>
    <row r="2189">
      <c r="A2189" t="inlineStr">
        <is>
          <t>COPELAND</t>
        </is>
      </c>
      <c r="B2189" t="inlineStr">
        <is>
          <t>ZB45KQ/E</t>
        </is>
      </c>
      <c r="C2189" t="inlineStr">
        <is>
          <t>KQE</t>
        </is>
      </c>
      <c r="D2189" t="inlineStr">
        <is>
          <t>Scroll ZB</t>
        </is>
      </c>
      <c r="E2189" s="2" t="n">
        <v>3</v>
      </c>
      <c r="F2189" s="2" t="n">
        <v>60</v>
      </c>
      <c r="G2189" s="2" t="n">
        <v>230</v>
      </c>
      <c r="H2189" t="inlineStr">
        <is>
          <t>230</t>
        </is>
      </c>
      <c r="I2189" s="2" t="n">
        <v>230</v>
      </c>
      <c r="J2189" s="2" t="n">
        <v>230</v>
      </c>
      <c r="L2189" s="3" t="n">
        <v>32.4</v>
      </c>
      <c r="M2189" s="3" t="n"/>
      <c r="N2189" s="3" t="n">
        <v>26</v>
      </c>
      <c r="O2189" s="3" t="n"/>
      <c r="P2189" s="3">
        <f>IF(L2189&lt;&gt;"",L2189/1.4,"")</f>
        <v/>
      </c>
      <c r="Q2189" s="3">
        <f>IF(L2189&lt;&gt;"",L2189/1.56,"")</f>
        <v/>
      </c>
      <c r="R2189" s="3">
        <f>IF(M2189&lt;&gt;"",M2189/1.4,"")</f>
        <v/>
      </c>
      <c r="S2189" s="3">
        <f>IF(M2189&lt;&gt;"",M2189/1.56,"")</f>
        <v/>
      </c>
      <c r="T2189" s="3">
        <f>IF(N2189&lt;&gt;"",N2189,IF(O2189&lt;&gt;"",O2189,IF(L2189&lt;&gt;"",L2189/1.56,IF(M2189&lt;&gt;"",M2189/1.56,""))))</f>
        <v/>
      </c>
      <c r="U2189" s="3" t="n">
        <v>156</v>
      </c>
      <c r="V2189" s="3" t="n"/>
      <c r="W2189" s="3" t="n"/>
      <c r="X2189" s="4" t="n"/>
      <c r="Y2189" s="5" t="n"/>
      <c r="Z2189" s="4">
        <f>IF(L2189&lt;&gt;"",SQRT(3)*G2189*L2189/1000,"")</f>
        <v/>
      </c>
      <c r="AA2189" t="inlineStr">
        <is>
          <t>HP=6.0; nan</t>
        </is>
      </c>
      <c r="AB2189" t="inlineStr">
        <is>
          <t>Copeland_ZB_RLA_230_460_3ph_60Hz.xlsx</t>
        </is>
      </c>
      <c r="AC2189" t="inlineStr">
        <is>
          <t>ZB_60Hz_3ph_230_460</t>
        </is>
      </c>
    </row>
    <row r="2190">
      <c r="A2190" t="inlineStr">
        <is>
          <t>COPELAND</t>
        </is>
      </c>
      <c r="B2190" t="inlineStr">
        <is>
          <t>ZB45KQ/E</t>
        </is>
      </c>
      <c r="C2190" t="inlineStr">
        <is>
          <t>KQE</t>
        </is>
      </c>
      <c r="D2190" t="inlineStr">
        <is>
          <t>Scroll ZB</t>
        </is>
      </c>
      <c r="E2190" s="2" t="n">
        <v>3</v>
      </c>
      <c r="F2190" s="2" t="n">
        <v>60</v>
      </c>
      <c r="G2190" s="2" t="n">
        <v>460</v>
      </c>
      <c r="H2190" t="inlineStr">
        <is>
          <t>460</t>
        </is>
      </c>
      <c r="I2190" s="2" t="n">
        <v>460</v>
      </c>
      <c r="J2190" s="2" t="n">
        <v>460</v>
      </c>
      <c r="L2190" s="3" t="n">
        <v>14.2</v>
      </c>
      <c r="M2190" s="3" t="n"/>
      <c r="N2190" s="3" t="n">
        <v>10.1</v>
      </c>
      <c r="O2190" s="3" t="n"/>
      <c r="P2190" s="3">
        <f>IF(L2190&lt;&gt;"",L2190/1.4,"")</f>
        <v/>
      </c>
      <c r="Q2190" s="3">
        <f>IF(L2190&lt;&gt;"",L2190/1.56,"")</f>
        <v/>
      </c>
      <c r="R2190" s="3">
        <f>IF(M2190&lt;&gt;"",M2190/1.4,"")</f>
        <v/>
      </c>
      <c r="S2190" s="3">
        <f>IF(M2190&lt;&gt;"",M2190/1.56,"")</f>
        <v/>
      </c>
      <c r="T2190" s="3">
        <f>IF(N2190&lt;&gt;"",N2190,IF(O2190&lt;&gt;"",O2190,IF(L2190&lt;&gt;"",L2190/1.56,IF(M2190&lt;&gt;"",M2190/1.56,""))))</f>
        <v/>
      </c>
      <c r="U2190" s="3" t="n">
        <v>75</v>
      </c>
      <c r="V2190" s="3" t="n"/>
      <c r="W2190" s="3" t="n"/>
      <c r="X2190" s="4" t="n"/>
      <c r="Y2190" s="5" t="n"/>
      <c r="Z2190" s="4">
        <f>IF(L2190&lt;&gt;"",SQRT(3)*G2190*L2190/1000,"")</f>
        <v/>
      </c>
      <c r="AA2190" t="inlineStr">
        <is>
          <t>HP=6.0; nan</t>
        </is>
      </c>
      <c r="AB2190" t="inlineStr">
        <is>
          <t>Copeland_ZB_RLA_230_460_3ph_60Hz.xlsx</t>
        </is>
      </c>
      <c r="AC2190" t="inlineStr">
        <is>
          <t>ZB_60Hz_3ph_230_460</t>
        </is>
      </c>
    </row>
    <row r="2191">
      <c r="A2191" t="inlineStr">
        <is>
          <t>COPELAND</t>
        </is>
      </c>
      <c r="B2191" t="inlineStr">
        <is>
          <t>ZB48KQ/E</t>
        </is>
      </c>
      <c r="C2191" t="inlineStr">
        <is>
          <t>KQ</t>
        </is>
      </c>
      <c r="D2191" t="inlineStr">
        <is>
          <t>Scroll ZB</t>
        </is>
      </c>
      <c r="E2191" s="2" t="n">
        <v>3</v>
      </c>
      <c r="F2191" s="2" t="n">
        <v>60</v>
      </c>
      <c r="G2191" s="2" t="n">
        <v>230</v>
      </c>
      <c r="H2191" t="inlineStr">
        <is>
          <t>230</t>
        </is>
      </c>
      <c r="I2191" s="2" t="n">
        <v>230</v>
      </c>
      <c r="J2191" s="2" t="n">
        <v>230</v>
      </c>
      <c r="L2191" s="3" t="n">
        <v>35</v>
      </c>
      <c r="M2191" s="3" t="n"/>
      <c r="N2191" s="3" t="n">
        <v>25</v>
      </c>
      <c r="O2191" s="3" t="n"/>
      <c r="P2191" s="3">
        <f>IF(L2191&lt;&gt;"",L2191/1.4,"")</f>
        <v/>
      </c>
      <c r="Q2191" s="3">
        <f>IF(L2191&lt;&gt;"",L2191/1.56,"")</f>
        <v/>
      </c>
      <c r="R2191" s="3">
        <f>IF(M2191&lt;&gt;"",M2191/1.4,"")</f>
        <v/>
      </c>
      <c r="S2191" s="3">
        <f>IF(M2191&lt;&gt;"",M2191/1.56,"")</f>
        <v/>
      </c>
      <c r="T2191" s="3">
        <f>IF(N2191&lt;&gt;"",N2191,IF(O2191&lt;&gt;"",O2191,IF(L2191&lt;&gt;"",L2191/1.56,IF(M2191&lt;&gt;"",M2191/1.56,""))))</f>
        <v/>
      </c>
      <c r="U2191" s="3" t="n">
        <v>164</v>
      </c>
      <c r="V2191" s="3" t="n"/>
      <c r="W2191" s="3" t="n"/>
      <c r="X2191" s="4" t="n"/>
      <c r="Y2191" s="5" t="n"/>
      <c r="Z2191" s="4">
        <f>IF(L2191&lt;&gt;"",SQRT(3)*G2191*L2191/1000,"")</f>
        <v/>
      </c>
      <c r="AA2191" t="inlineStr">
        <is>
          <t>HP=7.0; nan</t>
        </is>
      </c>
      <c r="AB2191" t="inlineStr">
        <is>
          <t>Copeland_ZB_RLA_230_460_3ph_60Hz.xlsx</t>
        </is>
      </c>
      <c r="AC2191" t="inlineStr">
        <is>
          <t>ZB_60Hz_3ph_230_460</t>
        </is>
      </c>
    </row>
    <row r="2192">
      <c r="A2192" t="inlineStr">
        <is>
          <t>COPELAND</t>
        </is>
      </c>
      <c r="B2192" t="inlineStr">
        <is>
          <t>ZB48KQ/E</t>
        </is>
      </c>
      <c r="C2192" t="inlineStr">
        <is>
          <t>KQ</t>
        </is>
      </c>
      <c r="D2192" t="inlineStr">
        <is>
          <t>Scroll ZB</t>
        </is>
      </c>
      <c r="E2192" s="2" t="n">
        <v>3</v>
      </c>
      <c r="F2192" s="2" t="n">
        <v>60</v>
      </c>
      <c r="G2192" s="2" t="n">
        <v>460</v>
      </c>
      <c r="H2192" t="inlineStr">
        <is>
          <t>460</t>
        </is>
      </c>
      <c r="I2192" s="2" t="n">
        <v>460</v>
      </c>
      <c r="J2192" s="2" t="n">
        <v>460</v>
      </c>
      <c r="L2192" s="3" t="n">
        <v>17</v>
      </c>
      <c r="M2192" s="3" t="n"/>
      <c r="N2192" s="3" t="n">
        <v>12.1</v>
      </c>
      <c r="O2192" s="3" t="n"/>
      <c r="P2192" s="3">
        <f>IF(L2192&lt;&gt;"",L2192/1.4,"")</f>
        <v/>
      </c>
      <c r="Q2192" s="3">
        <f>IF(L2192&lt;&gt;"",L2192/1.56,"")</f>
        <v/>
      </c>
      <c r="R2192" s="3">
        <f>IF(M2192&lt;&gt;"",M2192/1.4,"")</f>
        <v/>
      </c>
      <c r="S2192" s="3">
        <f>IF(M2192&lt;&gt;"",M2192/1.56,"")</f>
        <v/>
      </c>
      <c r="T2192" s="3">
        <f>IF(N2192&lt;&gt;"",N2192,IF(O2192&lt;&gt;"",O2192,IF(L2192&lt;&gt;"",L2192/1.56,IF(M2192&lt;&gt;"",M2192/1.56,""))))</f>
        <v/>
      </c>
      <c r="U2192" s="3" t="n">
        <v>100</v>
      </c>
      <c r="V2192" s="3" t="n"/>
      <c r="W2192" s="3" t="n"/>
      <c r="X2192" s="4" t="n"/>
      <c r="Y2192" s="5" t="n"/>
      <c r="Z2192" s="4">
        <f>IF(L2192&lt;&gt;"",SQRT(3)*G2192*L2192/1000,"")</f>
        <v/>
      </c>
      <c r="AA2192" t="inlineStr">
        <is>
          <t>HP=7.0; nan</t>
        </is>
      </c>
      <c r="AB2192" t="inlineStr">
        <is>
          <t>Copeland_ZB_RLA_230_460_3ph_60Hz.xlsx</t>
        </is>
      </c>
      <c r="AC2192" t="inlineStr">
        <is>
          <t>ZB_60Hz_3ph_230_460</t>
        </is>
      </c>
    </row>
    <row r="2193">
      <c r="A2193" t="inlineStr">
        <is>
          <t>COPELAND</t>
        </is>
      </c>
      <c r="B2193" t="inlineStr">
        <is>
          <t>ZB48KQ/E</t>
        </is>
      </c>
      <c r="C2193" t="inlineStr">
        <is>
          <t>KQE</t>
        </is>
      </c>
      <c r="D2193" t="inlineStr">
        <is>
          <t>Scroll ZB</t>
        </is>
      </c>
      <c r="E2193" s="2" t="n">
        <v>3</v>
      </c>
      <c r="F2193" s="2" t="n">
        <v>60</v>
      </c>
      <c r="G2193" s="2" t="n">
        <v>230</v>
      </c>
      <c r="H2193" t="inlineStr">
        <is>
          <t>230</t>
        </is>
      </c>
      <c r="I2193" s="2" t="n">
        <v>230</v>
      </c>
      <c r="J2193" s="2" t="n">
        <v>230</v>
      </c>
      <c r="L2193" s="3" t="n">
        <v>36.4</v>
      </c>
      <c r="M2193" s="3" t="n"/>
      <c r="N2193" s="3" t="n">
        <v>26</v>
      </c>
      <c r="O2193" s="3" t="n"/>
      <c r="P2193" s="3">
        <f>IF(L2193&lt;&gt;"",L2193/1.4,"")</f>
        <v/>
      </c>
      <c r="Q2193" s="3">
        <f>IF(L2193&lt;&gt;"",L2193/1.56,"")</f>
        <v/>
      </c>
      <c r="R2193" s="3">
        <f>IF(M2193&lt;&gt;"",M2193/1.4,"")</f>
        <v/>
      </c>
      <c r="S2193" s="3">
        <f>IF(M2193&lt;&gt;"",M2193/1.56,"")</f>
        <v/>
      </c>
      <c r="T2193" s="3">
        <f>IF(N2193&lt;&gt;"",N2193,IF(O2193&lt;&gt;"",O2193,IF(L2193&lt;&gt;"",L2193/1.56,IF(M2193&lt;&gt;"",M2193/1.56,""))))</f>
        <v/>
      </c>
      <c r="U2193" s="3" t="n">
        <v>164</v>
      </c>
      <c r="V2193" s="3" t="n"/>
      <c r="W2193" s="3" t="n"/>
      <c r="X2193" s="4" t="n"/>
      <c r="Y2193" s="5" t="n"/>
      <c r="Z2193" s="4">
        <f>IF(L2193&lt;&gt;"",SQRT(3)*G2193*L2193/1000,"")</f>
        <v/>
      </c>
      <c r="AA2193" t="inlineStr">
        <is>
          <t>HP=7.0; nan</t>
        </is>
      </c>
      <c r="AB2193" t="inlineStr">
        <is>
          <t>Copeland_ZB_RLA_230_460_3ph_60Hz.xlsx</t>
        </is>
      </c>
      <c r="AC2193" t="inlineStr">
        <is>
          <t>ZB_60Hz_3ph_230_460</t>
        </is>
      </c>
    </row>
    <row r="2194">
      <c r="A2194" t="inlineStr">
        <is>
          <t>COPELAND</t>
        </is>
      </c>
      <c r="B2194" t="inlineStr">
        <is>
          <t>ZB48KQ/E</t>
        </is>
      </c>
      <c r="C2194" t="inlineStr">
        <is>
          <t>KQE</t>
        </is>
      </c>
      <c r="D2194" t="inlineStr">
        <is>
          <t>Scroll ZB</t>
        </is>
      </c>
      <c r="E2194" s="2" t="n">
        <v>3</v>
      </c>
      <c r="F2194" s="2" t="n">
        <v>60</v>
      </c>
      <c r="G2194" s="2" t="n">
        <v>460</v>
      </c>
      <c r="H2194" t="inlineStr">
        <is>
          <t>460</t>
        </is>
      </c>
      <c r="I2194" s="2" t="n">
        <v>460</v>
      </c>
      <c r="J2194" s="2" t="n">
        <v>460</v>
      </c>
      <c r="L2194" s="3" t="n">
        <v>19.1</v>
      </c>
      <c r="M2194" s="3" t="n"/>
      <c r="N2194" s="3" t="n">
        <v>13.6</v>
      </c>
      <c r="O2194" s="3" t="n"/>
      <c r="P2194" s="3">
        <f>IF(L2194&lt;&gt;"",L2194/1.4,"")</f>
        <v/>
      </c>
      <c r="Q2194" s="3">
        <f>IF(L2194&lt;&gt;"",L2194/1.56,"")</f>
        <v/>
      </c>
      <c r="R2194" s="3">
        <f>IF(M2194&lt;&gt;"",M2194/1.4,"")</f>
        <v/>
      </c>
      <c r="S2194" s="3">
        <f>IF(M2194&lt;&gt;"",M2194/1.56,"")</f>
        <v/>
      </c>
      <c r="T2194" s="3">
        <f>IF(N2194&lt;&gt;"",N2194,IF(O2194&lt;&gt;"",O2194,IF(L2194&lt;&gt;"",L2194/1.56,IF(M2194&lt;&gt;"",M2194/1.56,""))))</f>
        <v/>
      </c>
      <c r="U2194" s="3" t="n">
        <v>100</v>
      </c>
      <c r="V2194" s="3" t="n"/>
      <c r="W2194" s="3" t="n"/>
      <c r="X2194" s="4" t="n"/>
      <c r="Y2194" s="5" t="n"/>
      <c r="Z2194" s="4">
        <f>IF(L2194&lt;&gt;"",SQRT(3)*G2194*L2194/1000,"")</f>
        <v/>
      </c>
      <c r="AA2194" t="inlineStr">
        <is>
          <t>HP=7.0; nan</t>
        </is>
      </c>
      <c r="AB2194" t="inlineStr">
        <is>
          <t>Copeland_ZB_RLA_230_460_3ph_60Hz.xlsx</t>
        </is>
      </c>
      <c r="AC2194" t="inlineStr">
        <is>
          <t>ZB_60Hz_3ph_230_460</t>
        </is>
      </c>
    </row>
    <row r="2195">
      <c r="A2195" t="inlineStr">
        <is>
          <t>COPELAND</t>
        </is>
      </c>
      <c r="B2195" t="inlineStr">
        <is>
          <t>ZB58KQ/E</t>
        </is>
      </c>
      <c r="C2195" t="inlineStr">
        <is>
          <t>KQ</t>
        </is>
      </c>
      <c r="D2195" t="inlineStr">
        <is>
          <t>Scroll ZB</t>
        </is>
      </c>
      <c r="E2195" s="2" t="n">
        <v>3</v>
      </c>
      <c r="F2195" s="2" t="n">
        <v>60</v>
      </c>
      <c r="G2195" s="2" t="n">
        <v>230</v>
      </c>
      <c r="H2195" t="inlineStr">
        <is>
          <t>230</t>
        </is>
      </c>
      <c r="I2195" s="2" t="n">
        <v>230</v>
      </c>
      <c r="J2195" s="2" t="n">
        <v>230</v>
      </c>
      <c r="L2195" s="3" t="n">
        <v>45</v>
      </c>
      <c r="M2195" s="3" t="n"/>
      <c r="N2195" s="3" t="n">
        <v>32.1</v>
      </c>
      <c r="O2195" s="3" t="n"/>
      <c r="P2195" s="3">
        <f>IF(L2195&lt;&gt;"",L2195/1.4,"")</f>
        <v/>
      </c>
      <c r="Q2195" s="3">
        <f>IF(L2195&lt;&gt;"",L2195/1.56,"")</f>
        <v/>
      </c>
      <c r="R2195" s="3">
        <f>IF(M2195&lt;&gt;"",M2195/1.4,"")</f>
        <v/>
      </c>
      <c r="S2195" s="3">
        <f>IF(M2195&lt;&gt;"",M2195/1.56,"")</f>
        <v/>
      </c>
      <c r="T2195" s="3">
        <f>IF(N2195&lt;&gt;"",N2195,IF(O2195&lt;&gt;"",O2195,IF(L2195&lt;&gt;"",L2195/1.56,IF(M2195&lt;&gt;"",M2195/1.56,""))))</f>
        <v/>
      </c>
      <c r="U2195" s="3" t="n">
        <v>195</v>
      </c>
      <c r="V2195" s="3" t="n"/>
      <c r="W2195" s="3" t="n"/>
      <c r="X2195" s="4" t="n"/>
      <c r="Y2195" s="5" t="n"/>
      <c r="Z2195" s="4">
        <f>IF(L2195&lt;&gt;"",SQRT(3)*G2195*L2195/1000,"")</f>
        <v/>
      </c>
      <c r="AA2195" t="inlineStr">
        <is>
          <t>HP=8.0; nan</t>
        </is>
      </c>
      <c r="AB2195" t="inlineStr">
        <is>
          <t>Copeland_ZB_RLA_230_460_3ph_60Hz.xlsx</t>
        </is>
      </c>
      <c r="AC2195" t="inlineStr">
        <is>
          <t>ZB_60Hz_3ph_230_460</t>
        </is>
      </c>
    </row>
    <row r="2196">
      <c r="A2196" t="inlineStr">
        <is>
          <t>COPELAND</t>
        </is>
      </c>
      <c r="B2196" t="inlineStr">
        <is>
          <t>ZB58KQ/E</t>
        </is>
      </c>
      <c r="C2196" t="inlineStr">
        <is>
          <t>KQ</t>
        </is>
      </c>
      <c r="D2196" t="inlineStr">
        <is>
          <t>Scroll ZB</t>
        </is>
      </c>
      <c r="E2196" s="2" t="n">
        <v>3</v>
      </c>
      <c r="F2196" s="2" t="n">
        <v>60</v>
      </c>
      <c r="G2196" s="2" t="n">
        <v>460</v>
      </c>
      <c r="H2196" t="inlineStr">
        <is>
          <t>460</t>
        </is>
      </c>
      <c r="I2196" s="2" t="n">
        <v>460</v>
      </c>
      <c r="J2196" s="2" t="n">
        <v>460</v>
      </c>
      <c r="L2196" s="3" t="n">
        <v>23</v>
      </c>
      <c r="M2196" s="3" t="n"/>
      <c r="N2196" s="3" t="n">
        <v>16.4</v>
      </c>
      <c r="O2196" s="3" t="n"/>
      <c r="P2196" s="3">
        <f>IF(L2196&lt;&gt;"",L2196/1.4,"")</f>
        <v/>
      </c>
      <c r="Q2196" s="3">
        <f>IF(L2196&lt;&gt;"",L2196/1.56,"")</f>
        <v/>
      </c>
      <c r="R2196" s="3">
        <f>IF(M2196&lt;&gt;"",M2196/1.4,"")</f>
        <v/>
      </c>
      <c r="S2196" s="3">
        <f>IF(M2196&lt;&gt;"",M2196/1.56,"")</f>
        <v/>
      </c>
      <c r="T2196" s="3">
        <f>IF(N2196&lt;&gt;"",N2196,IF(O2196&lt;&gt;"",O2196,IF(L2196&lt;&gt;"",L2196/1.56,IF(M2196&lt;&gt;"",M2196/1.56,""))))</f>
        <v/>
      </c>
      <c r="U2196" s="3" t="n">
        <v>95</v>
      </c>
      <c r="V2196" s="3" t="n"/>
      <c r="W2196" s="3" t="n"/>
      <c r="X2196" s="4" t="n"/>
      <c r="Y2196" s="5" t="n"/>
      <c r="Z2196" s="4">
        <f>IF(L2196&lt;&gt;"",SQRT(3)*G2196*L2196/1000,"")</f>
        <v/>
      </c>
      <c r="AA2196" t="inlineStr">
        <is>
          <t>HP=8.0; nan</t>
        </is>
      </c>
      <c r="AB2196" t="inlineStr">
        <is>
          <t>Copeland_ZB_RLA_230_460_3ph_60Hz.xlsx</t>
        </is>
      </c>
      <c r="AC2196" t="inlineStr">
        <is>
          <t>ZB_60Hz_3ph_230_460</t>
        </is>
      </c>
    </row>
    <row r="2197">
      <c r="A2197" t="inlineStr">
        <is>
          <t>COPELAND</t>
        </is>
      </c>
      <c r="B2197" t="inlineStr">
        <is>
          <t>ZB58KQ/E</t>
        </is>
      </c>
      <c r="C2197" t="inlineStr">
        <is>
          <t>KQE</t>
        </is>
      </c>
      <c r="D2197" t="inlineStr">
        <is>
          <t>Scroll ZB</t>
        </is>
      </c>
      <c r="E2197" s="2" t="n">
        <v>3</v>
      </c>
      <c r="F2197" s="2" t="n">
        <v>60</v>
      </c>
      <c r="G2197" s="2" t="n">
        <v>230</v>
      </c>
      <c r="H2197" t="inlineStr">
        <is>
          <t>230</t>
        </is>
      </c>
      <c r="I2197" s="2" t="n">
        <v>230</v>
      </c>
      <c r="J2197" s="2" t="n">
        <v>230</v>
      </c>
      <c r="L2197" s="3" t="n">
        <v>43</v>
      </c>
      <c r="M2197" s="3" t="n"/>
      <c r="N2197" s="3" t="n">
        <v>32.1</v>
      </c>
      <c r="O2197" s="3" t="n"/>
      <c r="P2197" s="3">
        <f>IF(L2197&lt;&gt;"",L2197/1.4,"")</f>
        <v/>
      </c>
      <c r="Q2197" s="3">
        <f>IF(L2197&lt;&gt;"",L2197/1.56,"")</f>
        <v/>
      </c>
      <c r="R2197" s="3">
        <f>IF(M2197&lt;&gt;"",M2197/1.4,"")</f>
        <v/>
      </c>
      <c r="S2197" s="3">
        <f>IF(M2197&lt;&gt;"",M2197/1.56,"")</f>
        <v/>
      </c>
      <c r="T2197" s="3">
        <f>IF(N2197&lt;&gt;"",N2197,IF(O2197&lt;&gt;"",O2197,IF(L2197&lt;&gt;"",L2197/1.56,IF(M2197&lt;&gt;"",M2197/1.56,""))))</f>
        <v/>
      </c>
      <c r="U2197" s="3" t="n">
        <v>195</v>
      </c>
      <c r="V2197" s="3" t="n"/>
      <c r="W2197" s="3" t="n"/>
      <c r="X2197" s="4" t="n"/>
      <c r="Y2197" s="5" t="n"/>
      <c r="Z2197" s="4">
        <f>IF(L2197&lt;&gt;"",SQRT(3)*G2197*L2197/1000,"")</f>
        <v/>
      </c>
      <c r="AA2197" t="inlineStr">
        <is>
          <t>HP=8.0; nan</t>
        </is>
      </c>
      <c r="AB2197" t="inlineStr">
        <is>
          <t>Copeland_ZB_RLA_230_460_3ph_60Hz.xlsx</t>
        </is>
      </c>
      <c r="AC2197" t="inlineStr">
        <is>
          <t>ZB_60Hz_3ph_230_460</t>
        </is>
      </c>
    </row>
    <row r="2198">
      <c r="A2198" t="inlineStr">
        <is>
          <t>COPELAND</t>
        </is>
      </c>
      <c r="B2198" t="inlineStr">
        <is>
          <t>ZB58KQ/E</t>
        </is>
      </c>
      <c r="C2198" t="inlineStr">
        <is>
          <t>KQE</t>
        </is>
      </c>
      <c r="D2198" t="inlineStr">
        <is>
          <t>Scroll ZB</t>
        </is>
      </c>
      <c r="E2198" s="2" t="n">
        <v>3</v>
      </c>
      <c r="F2198" s="2" t="n">
        <v>60</v>
      </c>
      <c r="G2198" s="2" t="n">
        <v>460</v>
      </c>
      <c r="H2198" t="inlineStr">
        <is>
          <t>460</t>
        </is>
      </c>
      <c r="I2198" s="2" t="n">
        <v>460</v>
      </c>
      <c r="J2198" s="2" t="n">
        <v>460</v>
      </c>
      <c r="L2198" s="3" t="n">
        <v>23</v>
      </c>
      <c r="M2198" s="3" t="n"/>
      <c r="N2198" s="3" t="n">
        <v>16.4</v>
      </c>
      <c r="O2198" s="3" t="n"/>
      <c r="P2198" s="3">
        <f>IF(L2198&lt;&gt;"",L2198/1.4,"")</f>
        <v/>
      </c>
      <c r="Q2198" s="3">
        <f>IF(L2198&lt;&gt;"",L2198/1.56,"")</f>
        <v/>
      </c>
      <c r="R2198" s="3">
        <f>IF(M2198&lt;&gt;"",M2198/1.4,"")</f>
        <v/>
      </c>
      <c r="S2198" s="3">
        <f>IF(M2198&lt;&gt;"",M2198/1.56,"")</f>
        <v/>
      </c>
      <c r="T2198" s="3">
        <f>IF(N2198&lt;&gt;"",N2198,IF(O2198&lt;&gt;"",O2198,IF(L2198&lt;&gt;"",L2198/1.56,IF(M2198&lt;&gt;"",M2198/1.56,""))))</f>
        <v/>
      </c>
      <c r="U2198" s="3" t="n">
        <v>95</v>
      </c>
      <c r="V2198" s="3" t="n"/>
      <c r="W2198" s="3" t="n"/>
      <c r="X2198" s="4" t="n"/>
      <c r="Y2198" s="5" t="n"/>
      <c r="Z2198" s="4">
        <f>IF(L2198&lt;&gt;"",SQRT(3)*G2198*L2198/1000,"")</f>
        <v/>
      </c>
      <c r="AA2198" t="inlineStr">
        <is>
          <t>HP=8.0; nan</t>
        </is>
      </c>
      <c r="AB2198" t="inlineStr">
        <is>
          <t>Copeland_ZB_RLA_230_460_3ph_60Hz.xlsx</t>
        </is>
      </c>
      <c r="AC2198" t="inlineStr">
        <is>
          <t>ZB_60Hz_3ph_230_460</t>
        </is>
      </c>
    </row>
    <row r="2199">
      <c r="A2199" t="inlineStr">
        <is>
          <t>COPELAND</t>
        </is>
      </c>
      <c r="B2199" t="inlineStr">
        <is>
          <t>ZB66KQ/E</t>
        </is>
      </c>
      <c r="C2199" t="inlineStr">
        <is>
          <t>KQ</t>
        </is>
      </c>
      <c r="D2199" t="inlineStr">
        <is>
          <t>Scroll ZB</t>
        </is>
      </c>
      <c r="E2199" s="2" t="n">
        <v>3</v>
      </c>
      <c r="F2199" s="2" t="n">
        <v>60</v>
      </c>
      <c r="G2199" s="2" t="n">
        <v>230</v>
      </c>
      <c r="H2199" t="inlineStr">
        <is>
          <t>230</t>
        </is>
      </c>
      <c r="I2199" s="2" t="n">
        <v>230</v>
      </c>
      <c r="J2199" s="2" t="n">
        <v>230</v>
      </c>
      <c r="L2199" s="3" t="n">
        <v>47</v>
      </c>
      <c r="M2199" s="3" t="n"/>
      <c r="N2199" s="3" t="n">
        <v>33.6</v>
      </c>
      <c r="O2199" s="3" t="n"/>
      <c r="P2199" s="3">
        <f>IF(L2199&lt;&gt;"",L2199/1.4,"")</f>
        <v/>
      </c>
      <c r="Q2199" s="3">
        <f>IF(L2199&lt;&gt;"",L2199/1.56,"")</f>
        <v/>
      </c>
      <c r="R2199" s="3">
        <f>IF(M2199&lt;&gt;"",M2199/1.4,"")</f>
        <v/>
      </c>
      <c r="S2199" s="3">
        <f>IF(M2199&lt;&gt;"",M2199/1.56,"")</f>
        <v/>
      </c>
      <c r="T2199" s="3">
        <f>IF(N2199&lt;&gt;"",N2199,IF(O2199&lt;&gt;"",O2199,IF(L2199&lt;&gt;"",L2199/1.56,IF(M2199&lt;&gt;"",M2199/1.56,""))))</f>
        <v/>
      </c>
      <c r="U2199" s="3" t="n">
        <v>225</v>
      </c>
      <c r="V2199" s="3" t="n"/>
      <c r="W2199" s="3" t="n"/>
      <c r="X2199" s="4" t="n"/>
      <c r="Y2199" s="5" t="n"/>
      <c r="Z2199" s="4">
        <f>IF(L2199&lt;&gt;"",SQRT(3)*G2199*L2199/1000,"")</f>
        <v/>
      </c>
      <c r="AA2199" t="inlineStr">
        <is>
          <t>HP=9.0; nan</t>
        </is>
      </c>
      <c r="AB2199" t="inlineStr">
        <is>
          <t>Copeland_ZB_RLA_230_460_3ph_60Hz.xlsx</t>
        </is>
      </c>
      <c r="AC2199" t="inlineStr">
        <is>
          <t>ZB_60Hz_3ph_230_460</t>
        </is>
      </c>
    </row>
    <row r="2200">
      <c r="A2200" t="inlineStr">
        <is>
          <t>COPELAND</t>
        </is>
      </c>
      <c r="B2200" t="inlineStr">
        <is>
          <t>ZB66KQ/E</t>
        </is>
      </c>
      <c r="C2200" t="inlineStr">
        <is>
          <t>KQ</t>
        </is>
      </c>
      <c r="D2200" t="inlineStr">
        <is>
          <t>Scroll ZB</t>
        </is>
      </c>
      <c r="E2200" s="2" t="n">
        <v>3</v>
      </c>
      <c r="F2200" s="2" t="n">
        <v>60</v>
      </c>
      <c r="G2200" s="2" t="n">
        <v>460</v>
      </c>
      <c r="H2200" t="inlineStr">
        <is>
          <t>460</t>
        </is>
      </c>
      <c r="I2200" s="2" t="n">
        <v>460</v>
      </c>
      <c r="J2200" s="2" t="n">
        <v>460</v>
      </c>
      <c r="L2200" s="3" t="n">
        <v>24.2</v>
      </c>
      <c r="M2200" s="3" t="n"/>
      <c r="N2200" s="3" t="n">
        <v>17.3</v>
      </c>
      <c r="O2200" s="3" t="n"/>
      <c r="P2200" s="3">
        <f>IF(L2200&lt;&gt;"",L2200/1.4,"")</f>
        <v/>
      </c>
      <c r="Q2200" s="3">
        <f>IF(L2200&lt;&gt;"",L2200/1.56,"")</f>
        <v/>
      </c>
      <c r="R2200" s="3">
        <f>IF(M2200&lt;&gt;"",M2200/1.4,"")</f>
        <v/>
      </c>
      <c r="S2200" s="3">
        <f>IF(M2200&lt;&gt;"",M2200/1.56,"")</f>
        <v/>
      </c>
      <c r="T2200" s="3">
        <f>IF(N2200&lt;&gt;"",N2200,IF(O2200&lt;&gt;"",O2200,IF(L2200&lt;&gt;"",L2200/1.56,IF(M2200&lt;&gt;"",M2200/1.56,""))))</f>
        <v/>
      </c>
      <c r="U2200" s="3" t="n">
        <v>114</v>
      </c>
      <c r="V2200" s="3" t="n"/>
      <c r="W2200" s="3" t="n"/>
      <c r="X2200" s="4" t="n"/>
      <c r="Y2200" s="5" t="n"/>
      <c r="Z2200" s="4">
        <f>IF(L2200&lt;&gt;"",SQRT(3)*G2200*L2200/1000,"")</f>
        <v/>
      </c>
      <c r="AA2200" t="inlineStr">
        <is>
          <t>HP=9.0; nan</t>
        </is>
      </c>
      <c r="AB2200" t="inlineStr">
        <is>
          <t>Copeland_ZB_RLA_230_460_3ph_60Hz.xlsx</t>
        </is>
      </c>
      <c r="AC2200" t="inlineStr">
        <is>
          <t>ZB_60Hz_3ph_230_460</t>
        </is>
      </c>
    </row>
    <row r="2201">
      <c r="A2201" t="inlineStr">
        <is>
          <t>COPELAND</t>
        </is>
      </c>
      <c r="B2201" t="inlineStr">
        <is>
          <t>ZB66KQ/E</t>
        </is>
      </c>
      <c r="C2201" t="inlineStr">
        <is>
          <t>KQE</t>
        </is>
      </c>
      <c r="D2201" t="inlineStr">
        <is>
          <t>Scroll ZB</t>
        </is>
      </c>
      <c r="E2201" s="2" t="n">
        <v>3</v>
      </c>
      <c r="F2201" s="2" t="n">
        <v>60</v>
      </c>
      <c r="G2201" s="2" t="n">
        <v>230</v>
      </c>
      <c r="H2201" t="inlineStr">
        <is>
          <t>230</t>
        </is>
      </c>
      <c r="I2201" s="2" t="n">
        <v>230</v>
      </c>
      <c r="J2201" s="2" t="n">
        <v>230</v>
      </c>
      <c r="L2201" s="3" t="n">
        <v>44</v>
      </c>
      <c r="M2201" s="3" t="n"/>
      <c r="N2201" s="3" t="n">
        <v>33.6</v>
      </c>
      <c r="O2201" s="3" t="n"/>
      <c r="P2201" s="3">
        <f>IF(L2201&lt;&gt;"",L2201/1.4,"")</f>
        <v/>
      </c>
      <c r="Q2201" s="3">
        <f>IF(L2201&lt;&gt;"",L2201/1.56,"")</f>
        <v/>
      </c>
      <c r="R2201" s="3">
        <f>IF(M2201&lt;&gt;"",M2201/1.4,"")</f>
        <v/>
      </c>
      <c r="S2201" s="3">
        <f>IF(M2201&lt;&gt;"",M2201/1.56,"")</f>
        <v/>
      </c>
      <c r="T2201" s="3">
        <f>IF(N2201&lt;&gt;"",N2201,IF(O2201&lt;&gt;"",O2201,IF(L2201&lt;&gt;"",L2201/1.56,IF(M2201&lt;&gt;"",M2201/1.56,""))))</f>
        <v/>
      </c>
      <c r="U2201" s="3" t="n">
        <v>225</v>
      </c>
      <c r="V2201" s="3" t="n"/>
      <c r="W2201" s="3" t="n"/>
      <c r="X2201" s="4" t="n"/>
      <c r="Y2201" s="5" t="n"/>
      <c r="Z2201" s="4">
        <f>IF(L2201&lt;&gt;"",SQRT(3)*G2201*L2201/1000,"")</f>
        <v/>
      </c>
      <c r="AA2201" t="inlineStr">
        <is>
          <t>HP=9.0; nan</t>
        </is>
      </c>
      <c r="AB2201" t="inlineStr">
        <is>
          <t>Copeland_ZB_RLA_230_460_3ph_60Hz.xlsx</t>
        </is>
      </c>
      <c r="AC2201" t="inlineStr">
        <is>
          <t>ZB_60Hz_3ph_230_460</t>
        </is>
      </c>
    </row>
    <row r="2202">
      <c r="A2202" t="inlineStr">
        <is>
          <t>COPELAND</t>
        </is>
      </c>
      <c r="B2202" t="inlineStr">
        <is>
          <t>ZB66KQ/E</t>
        </is>
      </c>
      <c r="C2202" t="inlineStr">
        <is>
          <t>KQE</t>
        </is>
      </c>
      <c r="D2202" t="inlineStr">
        <is>
          <t>Scroll ZB</t>
        </is>
      </c>
      <c r="E2202" s="2" t="n">
        <v>3</v>
      </c>
      <c r="F2202" s="2" t="n">
        <v>60</v>
      </c>
      <c r="G2202" s="2" t="n">
        <v>460</v>
      </c>
      <c r="H2202" t="inlineStr">
        <is>
          <t>460</t>
        </is>
      </c>
      <c r="I2202" s="2" t="n">
        <v>460</v>
      </c>
      <c r="J2202" s="2" t="n">
        <v>460</v>
      </c>
      <c r="L2202" s="3" t="n">
        <v>24.5</v>
      </c>
      <c r="M2202" s="3" t="n"/>
      <c r="N2202" s="3" t="n">
        <v>17.3</v>
      </c>
      <c r="O2202" s="3" t="n"/>
      <c r="P2202" s="3">
        <f>IF(L2202&lt;&gt;"",L2202/1.4,"")</f>
        <v/>
      </c>
      <c r="Q2202" s="3">
        <f>IF(L2202&lt;&gt;"",L2202/1.56,"")</f>
        <v/>
      </c>
      <c r="R2202" s="3">
        <f>IF(M2202&lt;&gt;"",M2202/1.4,"")</f>
        <v/>
      </c>
      <c r="S2202" s="3">
        <f>IF(M2202&lt;&gt;"",M2202/1.56,"")</f>
        <v/>
      </c>
      <c r="T2202" s="3">
        <f>IF(N2202&lt;&gt;"",N2202,IF(O2202&lt;&gt;"",O2202,IF(L2202&lt;&gt;"",L2202/1.56,IF(M2202&lt;&gt;"",M2202/1.56,""))))</f>
        <v/>
      </c>
      <c r="U2202" s="3" t="n">
        <v>114</v>
      </c>
      <c r="V2202" s="3" t="n"/>
      <c r="W2202" s="3" t="n"/>
      <c r="X2202" s="4" t="n"/>
      <c r="Y2202" s="5" t="n"/>
      <c r="Z2202" s="4">
        <f>IF(L2202&lt;&gt;"",SQRT(3)*G2202*L2202/1000,"")</f>
        <v/>
      </c>
      <c r="AA2202" t="inlineStr">
        <is>
          <t>HP=9.0; nan</t>
        </is>
      </c>
      <c r="AB2202" t="inlineStr">
        <is>
          <t>Copeland_ZB_RLA_230_460_3ph_60Hz.xlsx</t>
        </is>
      </c>
      <c r="AC2202" t="inlineStr">
        <is>
          <t>ZB_60Hz_3ph_230_460</t>
        </is>
      </c>
    </row>
    <row r="2203">
      <c r="A2203" t="inlineStr">
        <is>
          <t>COPELAND</t>
        </is>
      </c>
      <c r="B2203" t="inlineStr">
        <is>
          <t>ZB76KQ/E</t>
        </is>
      </c>
      <c r="C2203" t="inlineStr">
        <is>
          <t>KQ</t>
        </is>
      </c>
      <c r="D2203" t="inlineStr">
        <is>
          <t>Scroll ZB</t>
        </is>
      </c>
      <c r="E2203" s="2" t="n">
        <v>3</v>
      </c>
      <c r="F2203" s="2" t="n">
        <v>60</v>
      </c>
      <c r="G2203" s="2" t="n">
        <v>230</v>
      </c>
      <c r="H2203" t="inlineStr">
        <is>
          <t>230</t>
        </is>
      </c>
      <c r="I2203" s="2" t="n">
        <v>230</v>
      </c>
      <c r="J2203" s="2" t="n">
        <v>230</v>
      </c>
      <c r="L2203" s="3" t="n">
        <v>54</v>
      </c>
      <c r="M2203" s="3" t="n"/>
      <c r="N2203" s="3" t="n">
        <v>41.4</v>
      </c>
      <c r="O2203" s="3" t="n"/>
      <c r="P2203" s="3">
        <f>IF(L2203&lt;&gt;"",L2203/1.4,"")</f>
        <v/>
      </c>
      <c r="Q2203" s="3">
        <f>IF(L2203&lt;&gt;"",L2203/1.56,"")</f>
        <v/>
      </c>
      <c r="R2203" s="3">
        <f>IF(M2203&lt;&gt;"",M2203/1.4,"")</f>
        <v/>
      </c>
      <c r="S2203" s="3">
        <f>IF(M2203&lt;&gt;"",M2203/1.56,"")</f>
        <v/>
      </c>
      <c r="T2203" s="3">
        <f>IF(N2203&lt;&gt;"",N2203,IF(O2203&lt;&gt;"",O2203,IF(L2203&lt;&gt;"",L2203/1.56,IF(M2203&lt;&gt;"",M2203/1.56,""))))</f>
        <v/>
      </c>
      <c r="U2203" s="3" t="n">
        <v>239</v>
      </c>
      <c r="V2203" s="3" t="n"/>
      <c r="W2203" s="3" t="n"/>
      <c r="X2203" s="4" t="n"/>
      <c r="Y2203" s="5" t="n"/>
      <c r="Z2203" s="4">
        <f>IF(L2203&lt;&gt;"",SQRT(3)*G2203*L2203/1000,"")</f>
        <v/>
      </c>
      <c r="AA2203" t="inlineStr">
        <is>
          <t>HP=10.0; nan</t>
        </is>
      </c>
      <c r="AB2203" t="inlineStr">
        <is>
          <t>Copeland_ZB_RLA_230_460_3ph_60Hz.xlsx</t>
        </is>
      </c>
      <c r="AC2203" t="inlineStr">
        <is>
          <t>ZB_60Hz_3ph_230_460</t>
        </is>
      </c>
    </row>
    <row r="2204">
      <c r="A2204" t="inlineStr">
        <is>
          <t>COPELAND</t>
        </is>
      </c>
      <c r="B2204" t="inlineStr">
        <is>
          <t>ZB76KQ/E</t>
        </is>
      </c>
      <c r="C2204" t="inlineStr">
        <is>
          <t>KQ</t>
        </is>
      </c>
      <c r="D2204" t="inlineStr">
        <is>
          <t>Scroll ZB</t>
        </is>
      </c>
      <c r="E2204" s="2" t="n">
        <v>3</v>
      </c>
      <c r="F2204" s="2" t="n">
        <v>60</v>
      </c>
      <c r="G2204" s="2" t="n">
        <v>460</v>
      </c>
      <c r="H2204" t="inlineStr">
        <is>
          <t>460</t>
        </is>
      </c>
      <c r="I2204" s="2" t="n">
        <v>460</v>
      </c>
      <c r="J2204" s="2" t="n">
        <v>460</v>
      </c>
      <c r="L2204" s="3" t="n">
        <v>26.9</v>
      </c>
      <c r="M2204" s="3" t="n"/>
      <c r="N2204" s="3" t="n">
        <v>20</v>
      </c>
      <c r="O2204" s="3" t="n"/>
      <c r="P2204" s="3">
        <f>IF(L2204&lt;&gt;"",L2204/1.4,"")</f>
        <v/>
      </c>
      <c r="Q2204" s="3">
        <f>IF(L2204&lt;&gt;"",L2204/1.56,"")</f>
        <v/>
      </c>
      <c r="R2204" s="3">
        <f>IF(M2204&lt;&gt;"",M2204/1.4,"")</f>
        <v/>
      </c>
      <c r="S2204" s="3">
        <f>IF(M2204&lt;&gt;"",M2204/1.56,"")</f>
        <v/>
      </c>
      <c r="T2204" s="3">
        <f>IF(N2204&lt;&gt;"",N2204,IF(O2204&lt;&gt;"",O2204,IF(L2204&lt;&gt;"",L2204/1.56,IF(M2204&lt;&gt;"",M2204/1.56,""))))</f>
        <v/>
      </c>
      <c r="U2204" s="3" t="n">
        <v>125</v>
      </c>
      <c r="V2204" s="3" t="n"/>
      <c r="W2204" s="3" t="n"/>
      <c r="X2204" s="4" t="n"/>
      <c r="Y2204" s="5" t="n"/>
      <c r="Z2204" s="4">
        <f>IF(L2204&lt;&gt;"",SQRT(3)*G2204*L2204/1000,"")</f>
        <v/>
      </c>
      <c r="AA2204" t="inlineStr">
        <is>
          <t>HP=10.0; nan</t>
        </is>
      </c>
      <c r="AB2204" t="inlineStr">
        <is>
          <t>Copeland_ZB_RLA_230_460_3ph_60Hz.xlsx</t>
        </is>
      </c>
      <c r="AC2204" t="inlineStr">
        <is>
          <t>ZB_60Hz_3ph_230_460</t>
        </is>
      </c>
    </row>
    <row r="2205">
      <c r="A2205" t="inlineStr">
        <is>
          <t>COPELAND</t>
        </is>
      </c>
      <c r="B2205" t="inlineStr">
        <is>
          <t>ZB76KQ/E</t>
        </is>
      </c>
      <c r="C2205" t="inlineStr">
        <is>
          <t>KQE</t>
        </is>
      </c>
      <c r="D2205" t="inlineStr">
        <is>
          <t>Scroll ZB</t>
        </is>
      </c>
      <c r="E2205" s="2" t="n">
        <v>3</v>
      </c>
      <c r="F2205" s="2" t="n">
        <v>60</v>
      </c>
      <c r="G2205" s="2" t="n">
        <v>230</v>
      </c>
      <c r="H2205" t="inlineStr">
        <is>
          <t>230</t>
        </is>
      </c>
      <c r="I2205" s="2" t="n">
        <v>230</v>
      </c>
      <c r="J2205" s="2" t="n">
        <v>230</v>
      </c>
      <c r="L2205" s="3" t="n">
        <v>58</v>
      </c>
      <c r="M2205" s="3" t="n"/>
      <c r="N2205" s="3" t="n">
        <v>41.4</v>
      </c>
      <c r="O2205" s="3" t="n"/>
      <c r="P2205" s="3">
        <f>IF(L2205&lt;&gt;"",L2205/1.4,"")</f>
        <v/>
      </c>
      <c r="Q2205" s="3">
        <f>IF(L2205&lt;&gt;"",L2205/1.56,"")</f>
        <v/>
      </c>
      <c r="R2205" s="3">
        <f>IF(M2205&lt;&gt;"",M2205/1.4,"")</f>
        <v/>
      </c>
      <c r="S2205" s="3">
        <f>IF(M2205&lt;&gt;"",M2205/1.56,"")</f>
        <v/>
      </c>
      <c r="T2205" s="3">
        <f>IF(N2205&lt;&gt;"",N2205,IF(O2205&lt;&gt;"",O2205,IF(L2205&lt;&gt;"",L2205/1.56,IF(M2205&lt;&gt;"",M2205/1.56,""))))</f>
        <v/>
      </c>
      <c r="U2205" s="3" t="n">
        <v>239</v>
      </c>
      <c r="V2205" s="3" t="n"/>
      <c r="W2205" s="3" t="n"/>
      <c r="X2205" s="4" t="n"/>
      <c r="Y2205" s="5" t="n"/>
      <c r="Z2205" s="4">
        <f>IF(L2205&lt;&gt;"",SQRT(3)*G2205*L2205/1000,"")</f>
        <v/>
      </c>
      <c r="AA2205" t="inlineStr">
        <is>
          <t>HP=10.0; nan</t>
        </is>
      </c>
      <c r="AB2205" t="inlineStr">
        <is>
          <t>Copeland_ZB_RLA_230_460_3ph_60Hz.xlsx</t>
        </is>
      </c>
      <c r="AC2205" t="inlineStr">
        <is>
          <t>ZB_60Hz_3ph_230_460</t>
        </is>
      </c>
    </row>
    <row r="2206">
      <c r="A2206" t="inlineStr">
        <is>
          <t>COPELAND</t>
        </is>
      </c>
      <c r="B2206" t="inlineStr">
        <is>
          <t>ZB76KQ/E</t>
        </is>
      </c>
      <c r="C2206" t="inlineStr">
        <is>
          <t>KQE</t>
        </is>
      </c>
      <c r="D2206" t="inlineStr">
        <is>
          <t>Scroll ZB</t>
        </is>
      </c>
      <c r="E2206" s="2" t="n">
        <v>3</v>
      </c>
      <c r="F2206" s="2" t="n">
        <v>60</v>
      </c>
      <c r="G2206" s="2" t="n">
        <v>460</v>
      </c>
      <c r="H2206" t="inlineStr">
        <is>
          <t>460</t>
        </is>
      </c>
      <c r="I2206" s="2" t="n">
        <v>460</v>
      </c>
      <c r="J2206" s="2" t="n">
        <v>460</v>
      </c>
      <c r="L2206" s="3" t="n">
        <v>28</v>
      </c>
      <c r="M2206" s="3" t="n"/>
      <c r="N2206" s="3" t="n">
        <v>20</v>
      </c>
      <c r="O2206" s="3" t="n"/>
      <c r="P2206" s="3">
        <f>IF(L2206&lt;&gt;"",L2206/1.4,"")</f>
        <v/>
      </c>
      <c r="Q2206" s="3">
        <f>IF(L2206&lt;&gt;"",L2206/1.56,"")</f>
        <v/>
      </c>
      <c r="R2206" s="3">
        <f>IF(M2206&lt;&gt;"",M2206/1.4,"")</f>
        <v/>
      </c>
      <c r="S2206" s="3">
        <f>IF(M2206&lt;&gt;"",M2206/1.56,"")</f>
        <v/>
      </c>
      <c r="T2206" s="3">
        <f>IF(N2206&lt;&gt;"",N2206,IF(O2206&lt;&gt;"",O2206,IF(L2206&lt;&gt;"",L2206/1.56,IF(M2206&lt;&gt;"",M2206/1.56,""))))</f>
        <v/>
      </c>
      <c r="U2206" s="3" t="n">
        <v>125</v>
      </c>
      <c r="V2206" s="3" t="n"/>
      <c r="W2206" s="3" t="n"/>
      <c r="X2206" s="4" t="n"/>
      <c r="Y2206" s="5" t="n"/>
      <c r="Z2206" s="4">
        <f>IF(L2206&lt;&gt;"",SQRT(3)*G2206*L2206/1000,"")</f>
        <v/>
      </c>
      <c r="AA2206" t="inlineStr">
        <is>
          <t>HP=10.0; nan</t>
        </is>
      </c>
      <c r="AB2206" t="inlineStr">
        <is>
          <t>Copeland_ZB_RLA_230_460_3ph_60Hz.xlsx</t>
        </is>
      </c>
      <c r="AC2206" t="inlineStr">
        <is>
          <t>ZB_60Hz_3ph_230_460</t>
        </is>
      </c>
    </row>
    <row r="2207">
      <c r="A2207" t="inlineStr">
        <is>
          <t>COPELAND</t>
        </is>
      </c>
      <c r="B2207" t="inlineStr">
        <is>
          <t>ZB88KQ</t>
        </is>
      </c>
      <c r="C2207" t="inlineStr">
        <is>
          <t>KQ</t>
        </is>
      </c>
      <c r="D2207" t="inlineStr">
        <is>
          <t>Scroll ZB</t>
        </is>
      </c>
      <c r="E2207" s="2" t="n">
        <v>3</v>
      </c>
      <c r="F2207" s="2" t="n">
        <v>60</v>
      </c>
      <c r="G2207" s="2" t="n">
        <v>230</v>
      </c>
      <c r="H2207" t="inlineStr">
        <is>
          <t>230</t>
        </is>
      </c>
      <c r="I2207" s="2" t="n">
        <v>230</v>
      </c>
      <c r="J2207" s="2" t="n">
        <v>230</v>
      </c>
      <c r="L2207" s="3" t="n">
        <v>66</v>
      </c>
      <c r="M2207" s="3" t="n"/>
      <c r="N2207" s="3" t="n">
        <v>47.1</v>
      </c>
      <c r="O2207" s="3" t="n"/>
      <c r="P2207" s="3">
        <f>IF(L2207&lt;&gt;"",L2207/1.4,"")</f>
        <v/>
      </c>
      <c r="Q2207" s="3">
        <f>IF(L2207&lt;&gt;"",L2207/1.56,"")</f>
        <v/>
      </c>
      <c r="R2207" s="3">
        <f>IF(M2207&lt;&gt;"",M2207/1.4,"")</f>
        <v/>
      </c>
      <c r="S2207" s="3">
        <f>IF(M2207&lt;&gt;"",M2207/1.56,"")</f>
        <v/>
      </c>
      <c r="T2207" s="3">
        <f>IF(N2207&lt;&gt;"",N2207,IF(O2207&lt;&gt;"",O2207,IF(L2207&lt;&gt;"",L2207/1.56,IF(M2207&lt;&gt;"",M2207/1.56,""))))</f>
        <v/>
      </c>
      <c r="U2207" s="3" t="n">
        <v>245</v>
      </c>
      <c r="V2207" s="3" t="n"/>
      <c r="W2207" s="3" t="n"/>
      <c r="X2207" s="4" t="n"/>
      <c r="Y2207" s="5" t="n"/>
      <c r="Z2207" s="4">
        <f>IF(L2207&lt;&gt;"",SQRT(3)*G2207*L2207/1000,"")</f>
        <v/>
      </c>
      <c r="AA2207" t="inlineStr">
        <is>
          <t>HP=12.0; nan</t>
        </is>
      </c>
      <c r="AB2207" t="inlineStr">
        <is>
          <t>Copeland_ZB_RLA_230_460_3ph_60Hz.xlsx</t>
        </is>
      </c>
      <c r="AC2207" t="inlineStr">
        <is>
          <t>ZB_60Hz_3ph_230_460</t>
        </is>
      </c>
    </row>
    <row r="2208">
      <c r="A2208" t="inlineStr">
        <is>
          <t>COPELAND</t>
        </is>
      </c>
      <c r="B2208" t="inlineStr">
        <is>
          <t>ZB88KQ</t>
        </is>
      </c>
      <c r="C2208" t="inlineStr">
        <is>
          <t>KQ</t>
        </is>
      </c>
      <c r="D2208" t="inlineStr">
        <is>
          <t>Scroll ZB</t>
        </is>
      </c>
      <c r="E2208" s="2" t="n">
        <v>3</v>
      </c>
      <c r="F2208" s="2" t="n">
        <v>60</v>
      </c>
      <c r="G2208" s="2" t="n">
        <v>460</v>
      </c>
      <c r="H2208" t="inlineStr">
        <is>
          <t>460</t>
        </is>
      </c>
      <c r="I2208" s="2" t="n">
        <v>460</v>
      </c>
      <c r="J2208" s="2" t="n">
        <v>460</v>
      </c>
      <c r="L2208" s="3" t="n">
        <v>31</v>
      </c>
      <c r="M2208" s="3" t="n"/>
      <c r="N2208" s="3" t="n">
        <v>22.1</v>
      </c>
      <c r="O2208" s="3" t="n"/>
      <c r="P2208" s="3">
        <f>IF(L2208&lt;&gt;"",L2208/1.4,"")</f>
        <v/>
      </c>
      <c r="Q2208" s="3">
        <f>IF(L2208&lt;&gt;"",L2208/1.56,"")</f>
        <v/>
      </c>
      <c r="R2208" s="3">
        <f>IF(M2208&lt;&gt;"",M2208/1.4,"")</f>
        <v/>
      </c>
      <c r="S2208" s="3">
        <f>IF(M2208&lt;&gt;"",M2208/1.56,"")</f>
        <v/>
      </c>
      <c r="T2208" s="3">
        <f>IF(N2208&lt;&gt;"",N2208,IF(O2208&lt;&gt;"",O2208,IF(L2208&lt;&gt;"",L2208/1.56,IF(M2208&lt;&gt;"",M2208/1.56,""))))</f>
        <v/>
      </c>
      <c r="U2208" s="3" t="n">
        <v>125</v>
      </c>
      <c r="V2208" s="3" t="n"/>
      <c r="W2208" s="3" t="n"/>
      <c r="X2208" s="4" t="n"/>
      <c r="Y2208" s="5" t="n"/>
      <c r="Z2208" s="4">
        <f>IF(L2208&lt;&gt;"",SQRT(3)*G2208*L2208/1000,"")</f>
        <v/>
      </c>
      <c r="AA2208" t="inlineStr">
        <is>
          <t>HP=12.0; nan</t>
        </is>
      </c>
      <c r="AB2208" t="inlineStr">
        <is>
          <t>Copeland_ZB_RLA_230_460_3ph_60Hz.xlsx</t>
        </is>
      </c>
      <c r="AC2208" t="inlineStr">
        <is>
          <t>ZB_60Hz_3ph_230_460</t>
        </is>
      </c>
    </row>
    <row r="2209">
      <c r="A2209" t="inlineStr">
        <is>
          <t>COPELAND</t>
        </is>
      </c>
      <c r="B2209" t="inlineStr">
        <is>
          <t>ZB88KQ</t>
        </is>
      </c>
      <c r="C2209" t="inlineStr">
        <is>
          <t>KQE</t>
        </is>
      </c>
      <c r="D2209" t="inlineStr">
        <is>
          <t>Scroll ZB</t>
        </is>
      </c>
      <c r="E2209" s="2" t="n">
        <v>3</v>
      </c>
      <c r="F2209" s="2" t="n">
        <v>60</v>
      </c>
      <c r="G2209" s="2" t="n">
        <v>230</v>
      </c>
      <c r="H2209" t="inlineStr">
        <is>
          <t>230</t>
        </is>
      </c>
      <c r="I2209" s="2" t="n">
        <v>230</v>
      </c>
      <c r="J2209" s="2" t="n">
        <v>230</v>
      </c>
      <c r="L2209" s="3" t="n">
        <v>86</v>
      </c>
      <c r="M2209" s="3" t="n"/>
      <c r="N2209" s="3" t="n">
        <v>61.4</v>
      </c>
      <c r="O2209" s="3" t="n"/>
      <c r="P2209" s="3">
        <f>IF(L2209&lt;&gt;"",L2209/1.4,"")</f>
        <v/>
      </c>
      <c r="Q2209" s="3">
        <f>IF(L2209&lt;&gt;"",L2209/1.56,"")</f>
        <v/>
      </c>
      <c r="R2209" s="3">
        <f>IF(M2209&lt;&gt;"",M2209/1.4,"")</f>
        <v/>
      </c>
      <c r="S2209" s="3">
        <f>IF(M2209&lt;&gt;"",M2209/1.56,"")</f>
        <v/>
      </c>
      <c r="T2209" s="3">
        <f>IF(N2209&lt;&gt;"",N2209,IF(O2209&lt;&gt;"",O2209,IF(L2209&lt;&gt;"",L2209/1.56,IF(M2209&lt;&gt;"",M2209/1.56,""))))</f>
        <v/>
      </c>
      <c r="U2209" s="3" t="n">
        <v>245</v>
      </c>
      <c r="V2209" s="3" t="n"/>
      <c r="W2209" s="3" t="n"/>
      <c r="X2209" s="4" t="n"/>
      <c r="Y2209" s="5" t="n"/>
      <c r="Z2209" s="4">
        <f>IF(L2209&lt;&gt;"",SQRT(3)*G2209*L2209/1000,"")</f>
        <v/>
      </c>
      <c r="AA2209" t="inlineStr">
        <is>
          <t>HP=12.0; nan</t>
        </is>
      </c>
      <c r="AB2209" t="inlineStr">
        <is>
          <t>Copeland_ZB_RLA_230_460_3ph_60Hz.xlsx</t>
        </is>
      </c>
      <c r="AC2209" t="inlineStr">
        <is>
          <t>ZB_60Hz_3ph_230_460</t>
        </is>
      </c>
    </row>
    <row r="2210">
      <c r="A2210" t="inlineStr">
        <is>
          <t>COPELAND</t>
        </is>
      </c>
      <c r="B2210" t="inlineStr">
        <is>
          <t>ZB88KQ</t>
        </is>
      </c>
      <c r="C2210" t="inlineStr">
        <is>
          <t>KQE</t>
        </is>
      </c>
      <c r="D2210" t="inlineStr">
        <is>
          <t>Scroll ZB</t>
        </is>
      </c>
      <c r="E2210" s="2" t="n">
        <v>3</v>
      </c>
      <c r="F2210" s="2" t="n">
        <v>60</v>
      </c>
      <c r="G2210" s="2" t="n">
        <v>460</v>
      </c>
      <c r="H2210" t="inlineStr">
        <is>
          <t>460</t>
        </is>
      </c>
      <c r="I2210" s="2" t="n">
        <v>460</v>
      </c>
      <c r="J2210" s="2" t="n">
        <v>460</v>
      </c>
      <c r="L2210" s="3" t="n">
        <v>37</v>
      </c>
      <c r="M2210" s="3" t="n"/>
      <c r="N2210" s="3" t="n">
        <v>26.4</v>
      </c>
      <c r="O2210" s="3" t="n"/>
      <c r="P2210" s="3">
        <f>IF(L2210&lt;&gt;"",L2210/1.4,"")</f>
        <v/>
      </c>
      <c r="Q2210" s="3">
        <f>IF(L2210&lt;&gt;"",L2210/1.56,"")</f>
        <v/>
      </c>
      <c r="R2210" s="3">
        <f>IF(M2210&lt;&gt;"",M2210/1.4,"")</f>
        <v/>
      </c>
      <c r="S2210" s="3">
        <f>IF(M2210&lt;&gt;"",M2210/1.56,"")</f>
        <v/>
      </c>
      <c r="T2210" s="3">
        <f>IF(N2210&lt;&gt;"",N2210,IF(O2210&lt;&gt;"",O2210,IF(L2210&lt;&gt;"",L2210/1.56,IF(M2210&lt;&gt;"",M2210/1.56,""))))</f>
        <v/>
      </c>
      <c r="U2210" s="3" t="n">
        <v>125</v>
      </c>
      <c r="V2210" s="3" t="n"/>
      <c r="W2210" s="3" t="n"/>
      <c r="X2210" s="4" t="n"/>
      <c r="Y2210" s="5" t="n"/>
      <c r="Z2210" s="4">
        <f>IF(L2210&lt;&gt;"",SQRT(3)*G2210*L2210/1000,"")</f>
        <v/>
      </c>
      <c r="AA2210" t="inlineStr">
        <is>
          <t>HP=12.0; nan</t>
        </is>
      </c>
      <c r="AB2210" t="inlineStr">
        <is>
          <t>Copeland_ZB_RLA_230_460_3ph_60Hz.xlsx</t>
        </is>
      </c>
      <c r="AC2210" t="inlineStr">
        <is>
          <t>ZB_60Hz_3ph_230_460</t>
        </is>
      </c>
    </row>
    <row r="2211">
      <c r="A2211" t="inlineStr">
        <is>
          <t>COPELAND</t>
        </is>
      </c>
      <c r="B2211" t="inlineStr">
        <is>
          <t>ZB95KQ/E</t>
        </is>
      </c>
      <c r="C2211" t="inlineStr">
        <is>
          <t>KQ</t>
        </is>
      </c>
      <c r="D2211" t="inlineStr">
        <is>
          <t>Scroll ZB</t>
        </is>
      </c>
      <c r="E2211" s="2" t="n">
        <v>3</v>
      </c>
      <c r="F2211" s="2" t="n">
        <v>60</v>
      </c>
      <c r="G2211" s="2" t="n">
        <v>230</v>
      </c>
      <c r="H2211" t="inlineStr">
        <is>
          <t>230</t>
        </is>
      </c>
      <c r="I2211" s="2" t="n">
        <v>230</v>
      </c>
      <c r="J2211" s="2" t="n">
        <v>230</v>
      </c>
      <c r="L2211" s="3" t="n">
        <v>75</v>
      </c>
      <c r="M2211" s="3" t="n"/>
      <c r="N2211" s="3" t="n">
        <v>53.6</v>
      </c>
      <c r="O2211" s="3" t="n"/>
      <c r="P2211" s="3">
        <f>IF(L2211&lt;&gt;"",L2211/1.4,"")</f>
        <v/>
      </c>
      <c r="Q2211" s="3">
        <f>IF(L2211&lt;&gt;"",L2211/1.56,"")</f>
        <v/>
      </c>
      <c r="R2211" s="3">
        <f>IF(M2211&lt;&gt;"",M2211/1.4,"")</f>
        <v/>
      </c>
      <c r="S2211" s="3">
        <f>IF(M2211&lt;&gt;"",M2211/1.56,"")</f>
        <v/>
      </c>
      <c r="T2211" s="3">
        <f>IF(N2211&lt;&gt;"",N2211,IF(O2211&lt;&gt;"",O2211,IF(L2211&lt;&gt;"",L2211/1.56,IF(M2211&lt;&gt;"",M2211/1.56,""))))</f>
        <v/>
      </c>
      <c r="U2211" s="3" t="n">
        <v>300</v>
      </c>
      <c r="V2211" s="3" t="n"/>
      <c r="W2211" s="3" t="n"/>
      <c r="X2211" s="4" t="n"/>
      <c r="Y2211" s="5" t="n"/>
      <c r="Z2211" s="4">
        <f>IF(L2211&lt;&gt;"",SQRT(3)*G2211*L2211/1000,"")</f>
        <v/>
      </c>
      <c r="AA2211" t="inlineStr">
        <is>
          <t>HP=13.0; nan</t>
        </is>
      </c>
      <c r="AB2211" t="inlineStr">
        <is>
          <t>Copeland_ZB_RLA_230_460_3ph_60Hz.xlsx</t>
        </is>
      </c>
      <c r="AC2211" t="inlineStr">
        <is>
          <t>ZB_60Hz_3ph_230_460</t>
        </is>
      </c>
    </row>
    <row r="2212">
      <c r="A2212" t="inlineStr">
        <is>
          <t>COPELAND</t>
        </is>
      </c>
      <c r="B2212" t="inlineStr">
        <is>
          <t>ZB95KQ/E</t>
        </is>
      </c>
      <c r="C2212" t="inlineStr">
        <is>
          <t>KQ</t>
        </is>
      </c>
      <c r="D2212" t="inlineStr">
        <is>
          <t>Scroll ZB</t>
        </is>
      </c>
      <c r="E2212" s="2" t="n">
        <v>3</v>
      </c>
      <c r="F2212" s="2" t="n">
        <v>60</v>
      </c>
      <c r="G2212" s="2" t="n">
        <v>460</v>
      </c>
      <c r="H2212" t="inlineStr">
        <is>
          <t>460</t>
        </is>
      </c>
      <c r="I2212" s="2" t="n">
        <v>460</v>
      </c>
      <c r="J2212" s="2" t="n">
        <v>460</v>
      </c>
      <c r="L2212" s="3" t="n">
        <v>35</v>
      </c>
      <c r="M2212" s="3" t="n"/>
      <c r="N2212" s="3" t="n">
        <v>25</v>
      </c>
      <c r="O2212" s="3" t="n"/>
      <c r="P2212" s="3">
        <f>IF(L2212&lt;&gt;"",L2212/1.4,"")</f>
        <v/>
      </c>
      <c r="Q2212" s="3">
        <f>IF(L2212&lt;&gt;"",L2212/1.56,"")</f>
        <v/>
      </c>
      <c r="R2212" s="3">
        <f>IF(M2212&lt;&gt;"",M2212/1.4,"")</f>
        <v/>
      </c>
      <c r="S2212" s="3">
        <f>IF(M2212&lt;&gt;"",M2212/1.56,"")</f>
        <v/>
      </c>
      <c r="T2212" s="3">
        <f>IF(N2212&lt;&gt;"",N2212,IF(O2212&lt;&gt;"",O2212,IF(L2212&lt;&gt;"",L2212/1.56,IF(M2212&lt;&gt;"",M2212/1.56,""))))</f>
        <v/>
      </c>
      <c r="U2212" s="3" t="n">
        <v>150</v>
      </c>
      <c r="V2212" s="3" t="n"/>
      <c r="W2212" s="3" t="n"/>
      <c r="X2212" s="4" t="n"/>
      <c r="Y2212" s="5" t="n"/>
      <c r="Z2212" s="4">
        <f>IF(L2212&lt;&gt;"",SQRT(3)*G2212*L2212/1000,"")</f>
        <v/>
      </c>
      <c r="AA2212" t="inlineStr">
        <is>
          <t>HP=13.0; nan</t>
        </is>
      </c>
      <c r="AB2212" t="inlineStr">
        <is>
          <t>Copeland_ZB_RLA_230_460_3ph_60Hz.xlsx</t>
        </is>
      </c>
      <c r="AC2212" t="inlineStr">
        <is>
          <t>ZB_60Hz_3ph_230_460</t>
        </is>
      </c>
    </row>
    <row r="2213">
      <c r="A2213" t="inlineStr">
        <is>
          <t>COPELAND</t>
        </is>
      </c>
      <c r="B2213" t="inlineStr">
        <is>
          <t>ZB95KQ/E</t>
        </is>
      </c>
      <c r="C2213" t="inlineStr">
        <is>
          <t>KQE</t>
        </is>
      </c>
      <c r="D2213" t="inlineStr">
        <is>
          <t>Scroll ZB</t>
        </is>
      </c>
      <c r="E2213" s="2" t="n">
        <v>3</v>
      </c>
      <c r="F2213" s="2" t="n">
        <v>60</v>
      </c>
      <c r="G2213" s="2" t="n">
        <v>230</v>
      </c>
      <c r="H2213" t="inlineStr">
        <is>
          <t>230</t>
        </is>
      </c>
      <c r="I2213" s="2" t="n">
        <v>230</v>
      </c>
      <c r="J2213" s="2" t="n">
        <v>230</v>
      </c>
      <c r="L2213" s="3" t="n">
        <v>91</v>
      </c>
      <c r="M2213" s="3" t="n"/>
      <c r="N2213" s="3" t="n">
        <v>65</v>
      </c>
      <c r="O2213" s="3" t="n"/>
      <c r="P2213" s="3">
        <f>IF(L2213&lt;&gt;"",L2213/1.4,"")</f>
        <v/>
      </c>
      <c r="Q2213" s="3">
        <f>IF(L2213&lt;&gt;"",L2213/1.56,"")</f>
        <v/>
      </c>
      <c r="R2213" s="3">
        <f>IF(M2213&lt;&gt;"",M2213/1.4,"")</f>
        <v/>
      </c>
      <c r="S2213" s="3">
        <f>IF(M2213&lt;&gt;"",M2213/1.56,"")</f>
        <v/>
      </c>
      <c r="T2213" s="3">
        <f>IF(N2213&lt;&gt;"",N2213,IF(O2213&lt;&gt;"",O2213,IF(L2213&lt;&gt;"",L2213/1.56,IF(M2213&lt;&gt;"",M2213/1.56,""))))</f>
        <v/>
      </c>
      <c r="U2213" s="3" t="n">
        <v>300</v>
      </c>
      <c r="V2213" s="3" t="n"/>
      <c r="W2213" s="3" t="n"/>
      <c r="X2213" s="4" t="n"/>
      <c r="Y2213" s="5" t="n"/>
      <c r="Z2213" s="4">
        <f>IF(L2213&lt;&gt;"",SQRT(3)*G2213*L2213/1000,"")</f>
        <v/>
      </c>
      <c r="AA2213" t="inlineStr">
        <is>
          <t>HP=13.0; nan</t>
        </is>
      </c>
      <c r="AB2213" t="inlineStr">
        <is>
          <t>Copeland_ZB_RLA_230_460_3ph_60Hz.xlsx</t>
        </is>
      </c>
      <c r="AC2213" t="inlineStr">
        <is>
          <t>ZB_60Hz_3ph_230_460</t>
        </is>
      </c>
    </row>
    <row r="2214">
      <c r="A2214" t="inlineStr">
        <is>
          <t>COPELAND</t>
        </is>
      </c>
      <c r="B2214" t="inlineStr">
        <is>
          <t>ZB95KQ/E</t>
        </is>
      </c>
      <c r="C2214" t="inlineStr">
        <is>
          <t>KQE</t>
        </is>
      </c>
      <c r="D2214" t="inlineStr">
        <is>
          <t>Scroll ZB</t>
        </is>
      </c>
      <c r="E2214" s="2" t="n">
        <v>3</v>
      </c>
      <c r="F2214" s="2" t="n">
        <v>60</v>
      </c>
      <c r="G2214" s="2" t="n">
        <v>460</v>
      </c>
      <c r="H2214" t="inlineStr">
        <is>
          <t>460</t>
        </is>
      </c>
      <c r="I2214" s="2" t="n">
        <v>460</v>
      </c>
      <c r="J2214" s="2" t="n">
        <v>460</v>
      </c>
      <c r="L2214" s="3" t="n">
        <v>40</v>
      </c>
      <c r="M2214" s="3" t="n"/>
      <c r="N2214" s="3" t="n">
        <v>28.6</v>
      </c>
      <c r="O2214" s="3" t="n"/>
      <c r="P2214" s="3">
        <f>IF(L2214&lt;&gt;"",L2214/1.4,"")</f>
        <v/>
      </c>
      <c r="Q2214" s="3">
        <f>IF(L2214&lt;&gt;"",L2214/1.56,"")</f>
        <v/>
      </c>
      <c r="R2214" s="3">
        <f>IF(M2214&lt;&gt;"",M2214/1.4,"")</f>
        <v/>
      </c>
      <c r="S2214" s="3">
        <f>IF(M2214&lt;&gt;"",M2214/1.56,"")</f>
        <v/>
      </c>
      <c r="T2214" s="3">
        <f>IF(N2214&lt;&gt;"",N2214,IF(O2214&lt;&gt;"",O2214,IF(L2214&lt;&gt;"",L2214/1.56,IF(M2214&lt;&gt;"",M2214/1.56,""))))</f>
        <v/>
      </c>
      <c r="U2214" s="3" t="n">
        <v>150</v>
      </c>
      <c r="V2214" s="3" t="n"/>
      <c r="W2214" s="3" t="n"/>
      <c r="X2214" s="4" t="n"/>
      <c r="Y2214" s="5" t="n"/>
      <c r="Z2214" s="4">
        <f>IF(L2214&lt;&gt;"",SQRT(3)*G2214*L2214/1000,"")</f>
        <v/>
      </c>
      <c r="AA2214" t="inlineStr">
        <is>
          <t>HP=13.0; nan</t>
        </is>
      </c>
      <c r="AB2214" t="inlineStr">
        <is>
          <t>Copeland_ZB_RLA_230_460_3ph_60Hz.xlsx</t>
        </is>
      </c>
      <c r="AC2214" t="inlineStr">
        <is>
          <t>ZB_60Hz_3ph_230_460</t>
        </is>
      </c>
    </row>
    <row r="2215">
      <c r="A2215" t="inlineStr">
        <is>
          <t>COPELAND</t>
        </is>
      </c>
      <c r="B2215" t="inlineStr">
        <is>
          <t>ZB114KQ/E</t>
        </is>
      </c>
      <c r="C2215" t="inlineStr">
        <is>
          <t>KQ</t>
        </is>
      </c>
      <c r="D2215" t="inlineStr">
        <is>
          <t>Scroll ZB</t>
        </is>
      </c>
      <c r="E2215" s="2" t="n">
        <v>3</v>
      </c>
      <c r="F2215" s="2" t="n">
        <v>60</v>
      </c>
      <c r="G2215" s="2" t="n">
        <v>230</v>
      </c>
      <c r="H2215" t="inlineStr">
        <is>
          <t>230</t>
        </is>
      </c>
      <c r="I2215" s="2" t="n">
        <v>230</v>
      </c>
      <c r="J2215" s="2" t="n">
        <v>230</v>
      </c>
      <c r="L2215" s="3" t="n">
        <v>82</v>
      </c>
      <c r="M2215" s="3" t="n"/>
      <c r="N2215" s="3" t="n">
        <v>58.6</v>
      </c>
      <c r="O2215" s="3" t="n"/>
      <c r="P2215" s="3">
        <f>IF(L2215&lt;&gt;"",L2215/1.4,"")</f>
        <v/>
      </c>
      <c r="Q2215" s="3">
        <f>IF(L2215&lt;&gt;"",L2215/1.56,"")</f>
        <v/>
      </c>
      <c r="R2215" s="3">
        <f>IF(M2215&lt;&gt;"",M2215/1.4,"")</f>
        <v/>
      </c>
      <c r="S2215" s="3">
        <f>IF(M2215&lt;&gt;"",M2215/1.56,"")</f>
        <v/>
      </c>
      <c r="T2215" s="3">
        <f>IF(N2215&lt;&gt;"",N2215,IF(O2215&lt;&gt;"",O2215,IF(L2215&lt;&gt;"",L2215/1.56,IF(M2215&lt;&gt;"",M2215/1.56,""))))</f>
        <v/>
      </c>
      <c r="U2215" s="3" t="n">
        <v>340</v>
      </c>
      <c r="V2215" s="3" t="n"/>
      <c r="W2215" s="3" t="n"/>
      <c r="X2215" s="4" t="n"/>
      <c r="Y2215" s="5" t="n"/>
      <c r="Z2215" s="4">
        <f>IF(L2215&lt;&gt;"",SQRT(3)*G2215*L2215/1000,"")</f>
        <v/>
      </c>
      <c r="AA2215" t="inlineStr">
        <is>
          <t>HP=15.0; RLA_230_KQE_A (catalog) missing in catalog; using RLA_230_KQ_A (catalog) as proxy.; RLA_460_KQE_A (catalog) missing in catalog; using RLA_460_KQ_A (catalog) as proxy.; MCC_230_KQE_A missing in catalog; using MCC_230_KQ_A as proxy.; MCC_460_KQE_A missing in catalog; using MCC_460_KQ_A as proxy.</t>
        </is>
      </c>
      <c r="AB2215" t="inlineStr">
        <is>
          <t>Copeland_ZB_RLA_230_460_3ph_60Hz.xlsx</t>
        </is>
      </c>
      <c r="AC2215" t="inlineStr">
        <is>
          <t>ZB_60Hz_3ph_230_460</t>
        </is>
      </c>
    </row>
    <row r="2216">
      <c r="A2216" t="inlineStr">
        <is>
          <t>COPELAND</t>
        </is>
      </c>
      <c r="B2216" t="inlineStr">
        <is>
          <t>ZB114KQ/E</t>
        </is>
      </c>
      <c r="C2216" t="inlineStr">
        <is>
          <t>KQ</t>
        </is>
      </c>
      <c r="D2216" t="inlineStr">
        <is>
          <t>Scroll ZB</t>
        </is>
      </c>
      <c r="E2216" s="2" t="n">
        <v>3</v>
      </c>
      <c r="F2216" s="2" t="n">
        <v>60</v>
      </c>
      <c r="G2216" s="2" t="n">
        <v>460</v>
      </c>
      <c r="H2216" t="inlineStr">
        <is>
          <t>460</t>
        </is>
      </c>
      <c r="I2216" s="2" t="n">
        <v>460</v>
      </c>
      <c r="J2216" s="2" t="n">
        <v>460</v>
      </c>
      <c r="L2216" s="3" t="n">
        <v>42</v>
      </c>
      <c r="M2216" s="3" t="n"/>
      <c r="N2216" s="3" t="n">
        <v>27.9</v>
      </c>
      <c r="O2216" s="3" t="n"/>
      <c r="P2216" s="3">
        <f>IF(L2216&lt;&gt;"",L2216/1.4,"")</f>
        <v/>
      </c>
      <c r="Q2216" s="3">
        <f>IF(L2216&lt;&gt;"",L2216/1.56,"")</f>
        <v/>
      </c>
      <c r="R2216" s="3">
        <f>IF(M2216&lt;&gt;"",M2216/1.4,"")</f>
        <v/>
      </c>
      <c r="S2216" s="3">
        <f>IF(M2216&lt;&gt;"",M2216/1.56,"")</f>
        <v/>
      </c>
      <c r="T2216" s="3">
        <f>IF(N2216&lt;&gt;"",N2216,IF(O2216&lt;&gt;"",O2216,IF(L2216&lt;&gt;"",L2216/1.56,IF(M2216&lt;&gt;"",M2216/1.56,""))))</f>
        <v/>
      </c>
      <c r="U2216" s="3" t="n">
        <v>179</v>
      </c>
      <c r="V2216" s="3" t="n"/>
      <c r="W2216" s="3" t="n"/>
      <c r="X2216" s="4" t="n"/>
      <c r="Y2216" s="5" t="n"/>
      <c r="Z2216" s="4">
        <f>IF(L2216&lt;&gt;"",SQRT(3)*G2216*L2216/1000,"")</f>
        <v/>
      </c>
      <c r="AA2216" t="inlineStr">
        <is>
          <t>HP=15.0; RLA_230_KQE_A (catalog) missing in catalog; using RLA_230_KQ_A (catalog) as proxy.; RLA_460_KQE_A (catalog) missing in catalog; using RLA_460_KQ_A (catalog) as proxy.; MCC_230_KQE_A missing in catalog; using MCC_230_KQ_A as proxy.; MCC_460_KQE_A missing in catalog; using MCC_460_KQ_A as proxy.</t>
        </is>
      </c>
      <c r="AB2216" t="inlineStr">
        <is>
          <t>Copeland_ZB_RLA_230_460_3ph_60Hz.xlsx</t>
        </is>
      </c>
      <c r="AC2216" t="inlineStr">
        <is>
          <t>ZB_60Hz_3ph_230_460</t>
        </is>
      </c>
    </row>
    <row r="2217">
      <c r="A2217" t="inlineStr">
        <is>
          <t>COPELAND</t>
        </is>
      </c>
      <c r="B2217" t="inlineStr">
        <is>
          <t>ZB114KQ/E</t>
        </is>
      </c>
      <c r="C2217" t="inlineStr">
        <is>
          <t>KQE</t>
        </is>
      </c>
      <c r="D2217" t="inlineStr">
        <is>
          <t>Scroll ZB</t>
        </is>
      </c>
      <c r="E2217" s="2" t="n">
        <v>3</v>
      </c>
      <c r="F2217" s="2" t="n">
        <v>60</v>
      </c>
      <c r="G2217" s="2" t="n">
        <v>230</v>
      </c>
      <c r="H2217" t="inlineStr">
        <is>
          <t>230</t>
        </is>
      </c>
      <c r="I2217" s="2" t="n">
        <v>230</v>
      </c>
      <c r="J2217" s="2" t="n">
        <v>230</v>
      </c>
      <c r="L2217" s="3" t="n">
        <v>82</v>
      </c>
      <c r="M2217" s="3" t="n"/>
      <c r="N2217" s="3" t="n">
        <v>58.6</v>
      </c>
      <c r="O2217" s="3" t="n"/>
      <c r="P2217" s="3">
        <f>IF(L2217&lt;&gt;"",L2217/1.4,"")</f>
        <v/>
      </c>
      <c r="Q2217" s="3">
        <f>IF(L2217&lt;&gt;"",L2217/1.56,"")</f>
        <v/>
      </c>
      <c r="R2217" s="3">
        <f>IF(M2217&lt;&gt;"",M2217/1.4,"")</f>
        <v/>
      </c>
      <c r="S2217" s="3">
        <f>IF(M2217&lt;&gt;"",M2217/1.56,"")</f>
        <v/>
      </c>
      <c r="T2217" s="3">
        <f>IF(N2217&lt;&gt;"",N2217,IF(O2217&lt;&gt;"",O2217,IF(L2217&lt;&gt;"",L2217/1.56,IF(M2217&lt;&gt;"",M2217/1.56,""))))</f>
        <v/>
      </c>
      <c r="U2217" s="3" t="n">
        <v>340</v>
      </c>
      <c r="V2217" s="3" t="n"/>
      <c r="W2217" s="3" t="n"/>
      <c r="X2217" s="4" t="n"/>
      <c r="Y2217" s="5" t="n"/>
      <c r="Z2217" s="4">
        <f>IF(L2217&lt;&gt;"",SQRT(3)*G2217*L2217/1000,"")</f>
        <v/>
      </c>
      <c r="AA2217" t="inlineStr">
        <is>
          <t>HP=15.0; RLA_230_KQE_A (catalog) missing in catalog; using RLA_230_KQ_A (catalog) as proxy.; RLA_460_KQE_A (catalog) missing in catalog; using RLA_460_KQ_A (catalog) as proxy.; MCC_230_KQE_A missing in catalog; using MCC_230_KQ_A as proxy.; MCC_460_KQE_A missing in catalog; using MCC_460_KQ_A as proxy.</t>
        </is>
      </c>
      <c r="AB2217" t="inlineStr">
        <is>
          <t>Copeland_ZB_RLA_230_460_3ph_60Hz.xlsx</t>
        </is>
      </c>
      <c r="AC2217" t="inlineStr">
        <is>
          <t>ZB_60Hz_3ph_230_460</t>
        </is>
      </c>
    </row>
    <row r="2218">
      <c r="A2218" t="inlineStr">
        <is>
          <t>COPELAND</t>
        </is>
      </c>
      <c r="B2218" t="inlineStr">
        <is>
          <t>ZB114KQ/E</t>
        </is>
      </c>
      <c r="C2218" t="inlineStr">
        <is>
          <t>KQE</t>
        </is>
      </c>
      <c r="D2218" t="inlineStr">
        <is>
          <t>Scroll ZB</t>
        </is>
      </c>
      <c r="E2218" s="2" t="n">
        <v>3</v>
      </c>
      <c r="F2218" s="2" t="n">
        <v>60</v>
      </c>
      <c r="G2218" s="2" t="n">
        <v>460</v>
      </c>
      <c r="H2218" t="inlineStr">
        <is>
          <t>460</t>
        </is>
      </c>
      <c r="I2218" s="2" t="n">
        <v>460</v>
      </c>
      <c r="J2218" s="2" t="n">
        <v>460</v>
      </c>
      <c r="L2218" s="3" t="n">
        <v>42</v>
      </c>
      <c r="M2218" s="3" t="n"/>
      <c r="N2218" s="3" t="n">
        <v>27.9</v>
      </c>
      <c r="O2218" s="3" t="n"/>
      <c r="P2218" s="3">
        <f>IF(L2218&lt;&gt;"",L2218/1.4,"")</f>
        <v/>
      </c>
      <c r="Q2218" s="3">
        <f>IF(L2218&lt;&gt;"",L2218/1.56,"")</f>
        <v/>
      </c>
      <c r="R2218" s="3">
        <f>IF(M2218&lt;&gt;"",M2218/1.4,"")</f>
        <v/>
      </c>
      <c r="S2218" s="3">
        <f>IF(M2218&lt;&gt;"",M2218/1.56,"")</f>
        <v/>
      </c>
      <c r="T2218" s="3">
        <f>IF(N2218&lt;&gt;"",N2218,IF(O2218&lt;&gt;"",O2218,IF(L2218&lt;&gt;"",L2218/1.56,IF(M2218&lt;&gt;"",M2218/1.56,""))))</f>
        <v/>
      </c>
      <c r="U2218" s="3" t="n">
        <v>179</v>
      </c>
      <c r="V2218" s="3" t="n"/>
      <c r="W2218" s="3" t="n"/>
      <c r="X2218" s="4" t="n"/>
      <c r="Y2218" s="5" t="n"/>
      <c r="Z2218" s="4">
        <f>IF(L2218&lt;&gt;"",SQRT(3)*G2218*L2218/1000,"")</f>
        <v/>
      </c>
      <c r="AA2218" t="inlineStr">
        <is>
          <t>HP=15.0; RLA_230_KQE_A (catalog) missing in catalog; using RLA_230_KQ_A (catalog) as proxy.; RLA_460_KQE_A (catalog) missing in catalog; using RLA_460_KQ_A (catalog) as proxy.; MCC_230_KQE_A missing in catalog; using MCC_230_KQ_A as proxy.; MCC_460_KQE_A missing in catalog; using MCC_460_KQ_A as proxy.</t>
        </is>
      </c>
      <c r="AB2218" t="inlineStr">
        <is>
          <t>Copeland_ZB_RLA_230_460_3ph_60Hz.xlsx</t>
        </is>
      </c>
      <c r="AC2218" t="inlineStr">
        <is>
          <t>ZB_60Hz_3ph_230_460</t>
        </is>
      </c>
    </row>
  </sheetData>
  <autoFilter ref="A1:AC2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Descripcion / uso recomendado</t>
        </is>
      </c>
    </row>
    <row r="2">
      <c r="A2" t="inlineStr">
        <is>
          <t>MCC_A</t>
        </is>
      </c>
      <c r="B2" t="inlineStr">
        <is>
          <t>Maximum Continuous Current. Útil para dimensionar conductores y protecciones (peor caso).</t>
        </is>
      </c>
    </row>
    <row r="3">
      <c r="A3" t="inlineStr">
        <is>
          <t>MOC_A</t>
        </is>
      </c>
      <c r="B3" t="inlineStr">
        <is>
          <t>Max Operating Current / MOA / FLA (según fabricante).</t>
        </is>
      </c>
    </row>
    <row r="4">
      <c r="A4" t="inlineStr">
        <is>
          <t>RLA_UL_A</t>
        </is>
      </c>
      <c r="B4" t="inlineStr">
        <is>
          <t>RLA publicado por fabricante (cuando existe).</t>
        </is>
      </c>
    </row>
    <row r="5">
      <c r="A5" t="inlineStr">
        <is>
          <t>RLA_calc_MCC_div1p56_A</t>
        </is>
      </c>
      <c r="B5" t="inlineStr">
        <is>
          <t>RLA calculado desde MCC (MCC/1.56).</t>
        </is>
      </c>
    </row>
    <row r="6">
      <c r="A6" t="inlineStr">
        <is>
          <t>RLA_calc_MOC_div1p56_A</t>
        </is>
      </c>
      <c r="B6" t="inlineStr">
        <is>
          <t>RLA calculado desde MOC (MOC/1.56).</t>
        </is>
      </c>
    </row>
    <row r="7">
      <c r="A7" t="inlineStr">
        <is>
          <t>RLA_recommended_A</t>
        </is>
      </c>
      <c r="B7" t="inlineStr">
        <is>
          <t>RLA recomendado: usa RLA publicado; si no, usa MCC/1.56; si no, MOC/1.56.</t>
        </is>
      </c>
    </row>
    <row r="8">
      <c r="A8" t="inlineStr">
        <is>
          <t>LRA_ATL_A</t>
        </is>
      </c>
      <c r="B8" t="inlineStr">
        <is>
          <t>Locked Rotor Amps Across-the-Line (arranque directo).</t>
        </is>
      </c>
    </row>
    <row r="9">
      <c r="A9" t="inlineStr">
        <is>
          <t>LRA_PW_A</t>
        </is>
      </c>
      <c r="B9" t="inlineStr">
        <is>
          <t>Locked Rotor Amps Part-Winding (si aplica).</t>
        </is>
      </c>
    </row>
    <row r="10">
      <c r="A10" t="inlineStr">
        <is>
          <t>Smax_kVA_calc</t>
        </is>
      </c>
      <c r="B10" t="inlineStr">
        <is>
          <t>kVA máximo aproximado desde MCC: √3·V·MCC/1000 (si hay MCC).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2026-01-18T14:19:58Z</dcterms:created>
  <dcterms:modified xmlns:dcterms="http://purl.org/dc/terms/" xmlns:xsi="http://www.w3.org/2001/XMLSchema-instance" xsi:type="dcterms:W3CDTF">2026-01-18T14:24:48Z</dcterms:modified>
</cp:coreProperties>
</file>