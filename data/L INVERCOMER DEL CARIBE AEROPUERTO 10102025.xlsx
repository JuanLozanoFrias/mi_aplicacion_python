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montajes4\Documents\PC-JUAN LOZANO 22032022\WESTON\JUAN LOZANO\TABLA CO2\GITHUB\mi_aplicacion_python\data\"/>
    </mc:Choice>
  </mc:AlternateContent>
  <xr:revisionPtr revIDLastSave="0" documentId="13_ncr:1_{50772FD1-6357-4C2E-BD1E-C56295DFB891}" xr6:coauthVersionLast="47" xr6:coauthVersionMax="47" xr10:uidLastSave="{00000000-0000-0000-0000-000000000000}"/>
  <bookViews>
    <workbookView xWindow="-108" yWindow="-108" windowWidth="23256" windowHeight="12456" xr2:uid="{9B33664F-21A6-46FC-886E-E780649A11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O39" i="1"/>
  <c r="P39" i="1"/>
</calcChain>
</file>

<file path=xl/sharedStrings.xml><?xml version="1.0" encoding="utf-8"?>
<sst xmlns="http://schemas.openxmlformats.org/spreadsheetml/2006/main" count="197" uniqueCount="71">
  <si>
    <t>ESPECIFICACIONES TECNICAS</t>
  </si>
  <si>
    <t>Proyecto:</t>
  </si>
  <si>
    <t>INVERCOMER DEL CARIBE</t>
  </si>
  <si>
    <t>Tipo Sistema:</t>
  </si>
  <si>
    <t>WATERLOOP</t>
  </si>
  <si>
    <t>Voltaje Principal:</t>
  </si>
  <si>
    <t xml:space="preserve"> 220/60Hz/3PH</t>
  </si>
  <si>
    <t>Ciudad:</t>
  </si>
  <si>
    <t>BARRANQUILLA</t>
  </si>
  <si>
    <t>Medidas:</t>
  </si>
  <si>
    <t>Voltaje Control:</t>
  </si>
  <si>
    <t xml:space="preserve"> 220/3PH + N + T</t>
  </si>
  <si>
    <t>T. Condensación:</t>
  </si>
  <si>
    <t>Refrigerante:</t>
  </si>
  <si>
    <t>R-290</t>
  </si>
  <si>
    <t>Controlador:</t>
  </si>
  <si>
    <t>DESCRIPCIÓN DEL EQUIPO</t>
  </si>
  <si>
    <t>OBSERVACIONES</t>
  </si>
  <si>
    <t>#ANEXO 4</t>
  </si>
  <si>
    <t>DIM (FT)</t>
  </si>
  <si>
    <t>EQUIPO</t>
  </si>
  <si>
    <t>USO</t>
  </si>
  <si>
    <t>CARGA (BTU/Hr)</t>
  </si>
  <si>
    <t>Tevap (°F)</t>
  </si>
  <si>
    <t>EVAPORADORES</t>
  </si>
  <si>
    <t>DESHIELO</t>
  </si>
  <si>
    <t>COMPRESOR</t>
  </si>
  <si>
    <t>CANTIDAD</t>
  </si>
  <si>
    <t>MODELO</t>
  </si>
  <si>
    <t>CAPACIDAD</t>
  </si>
  <si>
    <t>HR</t>
  </si>
  <si>
    <t>CONDENSACIÓN</t>
  </si>
  <si>
    <t>FLUJO</t>
  </si>
  <si>
    <t>AUTOARGOS CON PUERTAS</t>
  </si>
  <si>
    <t>Deli</t>
  </si>
  <si>
    <t>TIEMPO</t>
  </si>
  <si>
    <t>HPR13</t>
  </si>
  <si>
    <t>Agua</t>
  </si>
  <si>
    <t>AUTOSERVICIO ARGOS</t>
  </si>
  <si>
    <t>Fruver</t>
  </si>
  <si>
    <t>HPR23</t>
  </si>
  <si>
    <t>Lácteos</t>
  </si>
  <si>
    <t>MULTIPUERTA CONGELACIÓN</t>
  </si>
  <si>
    <t>CC</t>
  </si>
  <si>
    <t>HG</t>
  </si>
  <si>
    <t>Carne</t>
  </si>
  <si>
    <t>VITRINA FENIX</t>
  </si>
  <si>
    <t>Cerdo</t>
  </si>
  <si>
    <t>Pollo Frizado</t>
  </si>
  <si>
    <t>HPR09</t>
  </si>
  <si>
    <t>Bebidas</t>
  </si>
  <si>
    <t>11 X 5 X 10</t>
  </si>
  <si>
    <t>CUARTO CONSERVACIÓN</t>
  </si>
  <si>
    <t>Pollo</t>
  </si>
  <si>
    <t>WED-250</t>
  </si>
  <si>
    <t>10 X 6 X 10</t>
  </si>
  <si>
    <t>8 X 5 X 10</t>
  </si>
  <si>
    <t>Proceso</t>
  </si>
  <si>
    <t>WED-125</t>
  </si>
  <si>
    <t>19 X 7 X 10</t>
  </si>
  <si>
    <t>WED-380</t>
  </si>
  <si>
    <t>7 X 13 X 10</t>
  </si>
  <si>
    <t>WEF-1130</t>
  </si>
  <si>
    <t>9 X 9 X 10</t>
  </si>
  <si>
    <t>WEF-1680</t>
  </si>
  <si>
    <t>HEX380CC</t>
  </si>
  <si>
    <t>10 X 8 X 10</t>
  </si>
  <si>
    <t>FLUJO TOTAL</t>
  </si>
  <si>
    <t>4 X 19 X 10</t>
  </si>
  <si>
    <t>Pasillo</t>
  </si>
  <si>
    <t>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</si>
</sst>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°&quot;  F&quot;"/>
    <numFmt numFmtId="165" formatCode="0.00&quot; m³/Hr&quot;"/>
    <numFmt numFmtId="166" formatCode="0.00&quot; GPM&quot;"/>
    <numFmt numFmtId="167" formatCode="0\ &quot;PUERTAS&quot;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1" fontId="3" fillId="0" borderId="0" xfId="0" applyNumberFormat="1" applyFont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6" fontId="0" fillId="0" borderId="35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166" fontId="0" fillId="0" borderId="37" xfId="0" applyNumberForma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65" fontId="2" fillId="0" borderId="38" xfId="0" applyNumberFormat="1" applyFont="1" applyBorder="1" applyAlignment="1">
      <alignment horizontal="center" vertical="center"/>
    </xf>
    <xf numFmtId="166" fontId="2" fillId="0" borderId="40" xfId="0" applyNumberFormat="1" applyFont="1" applyBorder="1" applyAlignment="1">
      <alignment horizontal="center" vertical="center"/>
    </xf>
    <xf numFmtId="0" fontId="2" fillId="0" borderId="0" xfId="0" applyFont="1"/>
    <xf numFmtId="0" fontId="2" fillId="2" borderId="30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1" fontId="3" fillId="0" borderId="6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4" fillId="0" borderId="9" xfId="0" applyNumberFormat="1" applyFont="1" applyBorder="1" applyAlignment="1">
      <alignment horizontal="left"/>
    </xf>
    <xf numFmtId="1" fontId="4" fillId="0" borderId="10" xfId="0" applyNumberFormat="1" applyFont="1" applyBorder="1" applyAlignment="1">
      <alignment horizontal="left"/>
    </xf>
    <xf numFmtId="1" fontId="4" fillId="0" borderId="20" xfId="0" applyNumberFormat="1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164" fontId="3" fillId="0" borderId="22" xfId="0" applyNumberFormat="1" applyFont="1" applyBorder="1" applyAlignment="1">
      <alignment horizontal="center" vertical="center"/>
    </xf>
    <xf numFmtId="164" fontId="3" fillId="0" borderId="23" xfId="0" applyNumberFormat="1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1" fontId="3" fillId="0" borderId="2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4" fillId="0" borderId="25" xfId="0" applyNumberFormat="1" applyFont="1" applyBorder="1" applyAlignment="1">
      <alignment horizontal="left"/>
    </xf>
    <xf numFmtId="1" fontId="4" fillId="0" borderId="26" xfId="0" applyNumberFormat="1" applyFont="1" applyBorder="1" applyAlignment="1">
      <alignment horizontal="left"/>
    </xf>
    <xf numFmtId="1" fontId="4" fillId="0" borderId="12" xfId="0" applyNumberFormat="1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1" fontId="3" fillId="0" borderId="14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4" fillId="0" borderId="17" xfId="0" applyNumberFormat="1" applyFont="1" applyBorder="1" applyAlignment="1">
      <alignment horizontal="left"/>
    </xf>
    <xf numFmtId="1" fontId="4" fillId="0" borderId="18" xfId="0" applyNumberFormat="1" applyFont="1" applyBorder="1" applyAlignment="1">
      <alignment horizontal="left"/>
    </xf>
    <xf numFmtId="0" fontId="2" fillId="2" borderId="28" xfId="0" applyFont="1" applyFill="1" applyBorder="1" applyAlignment="1">
      <alignment horizontal="center" vertical="center"/>
    </xf>
    <xf numFmtId="1" fontId="4" fillId="2" borderId="29" xfId="0" applyNumberFormat="1" applyFont="1" applyFill="1" applyBorder="1" applyAlignment="1">
      <alignment horizontal="center" vertical="center"/>
    </xf>
    <xf numFmtId="1" fontId="4" fillId="2" borderId="28" xfId="0" applyNumberFormat="1" applyFont="1" applyFill="1" applyBorder="1" applyAlignment="1">
      <alignment horizontal="center" vertical="center"/>
    </xf>
    <xf numFmtId="1" fontId="4" fillId="2" borderId="30" xfId="0" applyNumberFormat="1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1" fontId="4" fillId="2" borderId="31" xfId="0" applyNumberFormat="1" applyFont="1" applyFill="1" applyBorder="1" applyAlignment="1">
      <alignment horizontal="center" vertical="center"/>
    </xf>
    <xf numFmtId="1" fontId="4" fillId="2" borderId="32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" fontId="4" fillId="2" borderId="3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1</xdr:row>
      <xdr:rowOff>13299</xdr:rowOff>
    </xdr:from>
    <xdr:to>
      <xdr:col>3</xdr:col>
      <xdr:colOff>624840</xdr:colOff>
      <xdr:row>5</xdr:row>
      <xdr:rowOff>73948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9B6A6A-BF32-475A-811A-05216AEA3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03799"/>
          <a:ext cx="3387090" cy="792169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13299</xdr:rowOff>
    </xdr:from>
    <xdr:to>
      <xdr:col>3</xdr:col>
      <xdr:colOff>624840</xdr:colOff>
      <xdr:row>5</xdr:row>
      <xdr:rowOff>54898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B9F95B-C46F-48BA-B01F-6FC124166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03799"/>
          <a:ext cx="3387090" cy="7921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7059-2FCD-4349-AB5B-5E330ED81367}">
  <dimension ref="A1:Q39"/>
  <sheetViews>
    <sheetView tabSelected="1" topLeftCell="D16" workbookViewId="0">
      <selection activeCell="Q10" sqref="Q10:Q38"/>
    </sheetView>
  </sheetViews>
  <sheetFormatPr baseColWidth="10" defaultRowHeight="14.4" x14ac:dyDescent="0.3"/>
  <cols>
    <col min="2" max="2" width="14.21875" customWidth="1"/>
    <col min="3" max="3" width="16.44140625" customWidth="1"/>
    <col min="4" max="4" width="16.6640625" customWidth="1"/>
    <col min="5" max="5" width="12.21875" customWidth="1"/>
    <col min="6" max="6" width="15.6640625" customWidth="1"/>
    <col min="12" max="12" width="13.5546875" customWidth="1"/>
    <col min="13" max="13" width="15" customWidth="1"/>
    <col min="14" max="14" width="14.88671875" bestFit="1" customWidth="1"/>
    <col min="16" max="16" width="14.5546875" bestFit="1" customWidth="1"/>
  </cols>
  <sheetData>
    <row r="1" spans="1:17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 ht="15" thickBot="1" x14ac:dyDescent="0.35">
      <c r="A2" s="1"/>
      <c r="B2" s="1"/>
      <c r="C2" s="1"/>
      <c r="D2" s="1"/>
      <c r="E2" s="42" t="s">
        <v>0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4"/>
    </row>
    <row r="3" spans="1:17" x14ac:dyDescent="0.3">
      <c r="A3" s="1"/>
      <c r="B3" s="1"/>
      <c r="C3" s="1"/>
      <c r="D3" s="1"/>
      <c r="E3" s="45" t="s">
        <v>1</v>
      </c>
      <c r="F3" s="46"/>
      <c r="G3" s="47" t="s">
        <v>2</v>
      </c>
      <c r="H3" s="48"/>
      <c r="I3" s="49"/>
      <c r="J3" s="45" t="s">
        <v>3</v>
      </c>
      <c r="K3" s="46"/>
      <c r="L3" s="50" t="s">
        <v>4</v>
      </c>
      <c r="M3" s="51"/>
      <c r="N3" s="52" t="s">
        <v>5</v>
      </c>
      <c r="O3" s="53"/>
      <c r="P3" s="3" t="s">
        <v>6</v>
      </c>
    </row>
    <row r="4" spans="1:17" x14ac:dyDescent="0.3">
      <c r="A4" s="1"/>
      <c r="B4" s="1"/>
      <c r="C4" s="1"/>
      <c r="D4" s="1"/>
      <c r="E4" s="63" t="s">
        <v>7</v>
      </c>
      <c r="F4" s="64"/>
      <c r="G4" s="65" t="s">
        <v>8</v>
      </c>
      <c r="H4" s="66"/>
      <c r="I4" s="67"/>
      <c r="J4" s="63" t="s">
        <v>9</v>
      </c>
      <c r="K4" s="64"/>
      <c r="L4" s="68"/>
      <c r="M4" s="69"/>
      <c r="N4" s="70" t="s">
        <v>10</v>
      </c>
      <c r="O4" s="71"/>
      <c r="P4" s="4" t="s">
        <v>11</v>
      </c>
    </row>
    <row r="5" spans="1:17" ht="15" thickBot="1" x14ac:dyDescent="0.35">
      <c r="A5" s="1"/>
      <c r="B5" s="1"/>
      <c r="C5" s="1"/>
      <c r="D5" s="1"/>
      <c r="E5" s="54" t="s">
        <v>12</v>
      </c>
      <c r="F5" s="55"/>
      <c r="G5" s="56">
        <v>120</v>
      </c>
      <c r="H5" s="57"/>
      <c r="I5" s="58"/>
      <c r="J5" s="54" t="s">
        <v>13</v>
      </c>
      <c r="K5" s="55"/>
      <c r="L5" s="59" t="s">
        <v>14</v>
      </c>
      <c r="M5" s="60"/>
      <c r="N5" s="61" t="s">
        <v>15</v>
      </c>
      <c r="O5" s="62"/>
      <c r="P5" s="5"/>
    </row>
    <row r="6" spans="1:17" ht="15" thickBo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7" ht="15" thickBot="1" x14ac:dyDescent="0.35">
      <c r="A7" s="72" t="s">
        <v>16</v>
      </c>
      <c r="B7" s="72"/>
      <c r="C7" s="72"/>
      <c r="D7" s="72"/>
      <c r="E7" s="72"/>
      <c r="F7" s="72"/>
      <c r="G7" s="72"/>
      <c r="H7" s="73" t="s">
        <v>17</v>
      </c>
      <c r="I7" s="74"/>
      <c r="J7" s="72"/>
      <c r="K7" s="43"/>
      <c r="L7" s="43"/>
      <c r="M7" s="43"/>
      <c r="N7" s="43"/>
      <c r="O7" s="43"/>
      <c r="P7" s="44"/>
    </row>
    <row r="8" spans="1:17" ht="15" thickBot="1" x14ac:dyDescent="0.35">
      <c r="A8" s="75" t="s">
        <v>18</v>
      </c>
      <c r="B8" s="75" t="s">
        <v>19</v>
      </c>
      <c r="C8" s="42" t="s">
        <v>20</v>
      </c>
      <c r="D8" s="44"/>
      <c r="E8" s="75" t="s">
        <v>21</v>
      </c>
      <c r="F8" s="75" t="s">
        <v>22</v>
      </c>
      <c r="G8" s="78" t="s">
        <v>23</v>
      </c>
      <c r="H8" s="42" t="s">
        <v>24</v>
      </c>
      <c r="I8" s="43"/>
      <c r="J8" s="79" t="s">
        <v>25</v>
      </c>
      <c r="K8" s="73" t="s">
        <v>26</v>
      </c>
      <c r="L8" s="74"/>
      <c r="M8" s="74"/>
      <c r="N8" s="74"/>
      <c r="O8" s="74"/>
      <c r="P8" s="82"/>
    </row>
    <row r="9" spans="1:17" ht="15" thickBot="1" x14ac:dyDescent="0.35">
      <c r="A9" s="76"/>
      <c r="B9" s="76"/>
      <c r="C9" s="76"/>
      <c r="D9" s="77"/>
      <c r="E9" s="76"/>
      <c r="F9" s="76"/>
      <c r="G9" s="76"/>
      <c r="H9" s="2" t="s">
        <v>27</v>
      </c>
      <c r="I9" s="2" t="s">
        <v>28</v>
      </c>
      <c r="J9" s="78"/>
      <c r="K9" s="6" t="s">
        <v>28</v>
      </c>
      <c r="L9" s="6" t="s">
        <v>29</v>
      </c>
      <c r="M9" s="7" t="s">
        <v>30</v>
      </c>
      <c r="N9" s="8" t="s">
        <v>31</v>
      </c>
      <c r="O9" s="83" t="s">
        <v>32</v>
      </c>
      <c r="P9" s="44"/>
      <c r="Q9" s="39" t="s">
        <v>70</v>
      </c>
    </row>
    <row r="10" spans="1:17" x14ac:dyDescent="0.3">
      <c r="A10" s="9">
        <v>1</v>
      </c>
      <c r="B10" s="10">
        <v>8.1999999999999993</v>
      </c>
      <c r="C10" s="84" t="s">
        <v>33</v>
      </c>
      <c r="D10" s="85"/>
      <c r="E10" s="11" t="s">
        <v>34</v>
      </c>
      <c r="F10" s="12">
        <v>7306</v>
      </c>
      <c r="G10" s="13">
        <v>20</v>
      </c>
      <c r="H10" s="12"/>
      <c r="I10" s="11"/>
      <c r="J10" s="14" t="s">
        <v>35</v>
      </c>
      <c r="K10" s="11" t="s">
        <v>36</v>
      </c>
      <c r="L10" s="12">
        <v>7394</v>
      </c>
      <c r="M10" s="11">
        <v>10543</v>
      </c>
      <c r="N10" s="12" t="s">
        <v>37</v>
      </c>
      <c r="O10" s="15">
        <v>0.9163</v>
      </c>
      <c r="P10" s="16">
        <v>4.03172</v>
      </c>
      <c r="Q10" s="88">
        <v>20</v>
      </c>
    </row>
    <row r="11" spans="1:17" x14ac:dyDescent="0.3">
      <c r="A11" s="17">
        <v>2</v>
      </c>
      <c r="B11" s="18">
        <v>8.1999999999999993</v>
      </c>
      <c r="C11" s="80" t="s">
        <v>38</v>
      </c>
      <c r="D11" s="81"/>
      <c r="E11" s="19" t="s">
        <v>39</v>
      </c>
      <c r="F11" s="20">
        <v>12177</v>
      </c>
      <c r="G11" s="21">
        <v>25</v>
      </c>
      <c r="H11" s="20"/>
      <c r="I11" s="19"/>
      <c r="J11" s="22" t="s">
        <v>35</v>
      </c>
      <c r="K11" s="19" t="s">
        <v>40</v>
      </c>
      <c r="L11" s="20">
        <v>14218</v>
      </c>
      <c r="M11" s="19">
        <v>20267</v>
      </c>
      <c r="N11" s="20" t="s">
        <v>37</v>
      </c>
      <c r="O11" s="23">
        <v>1.6040000000000001</v>
      </c>
      <c r="P11" s="24">
        <v>7.0576000000000008</v>
      </c>
      <c r="Q11" s="88">
        <v>30</v>
      </c>
    </row>
    <row r="12" spans="1:17" x14ac:dyDescent="0.3">
      <c r="A12" s="17">
        <v>3</v>
      </c>
      <c r="B12" s="18">
        <v>8.1999999999999993</v>
      </c>
      <c r="C12" s="80" t="s">
        <v>38</v>
      </c>
      <c r="D12" s="81"/>
      <c r="E12" s="19" t="s">
        <v>39</v>
      </c>
      <c r="F12" s="20">
        <v>12177</v>
      </c>
      <c r="G12" s="21">
        <v>25</v>
      </c>
      <c r="H12" s="20"/>
      <c r="I12" s="19"/>
      <c r="J12" s="22" t="s">
        <v>35</v>
      </c>
      <c r="K12" s="19" t="s">
        <v>40</v>
      </c>
      <c r="L12" s="20">
        <v>14218</v>
      </c>
      <c r="M12" s="19">
        <v>20267</v>
      </c>
      <c r="N12" s="20" t="s">
        <v>37</v>
      </c>
      <c r="O12" s="23">
        <v>1.6040000000000001</v>
      </c>
      <c r="P12" s="24">
        <v>7.0576000000000008</v>
      </c>
      <c r="Q12" s="88">
        <v>40</v>
      </c>
    </row>
    <row r="13" spans="1:17" x14ac:dyDescent="0.3">
      <c r="A13" s="17">
        <v>4</v>
      </c>
      <c r="B13" s="18">
        <v>8.1999999999999993</v>
      </c>
      <c r="C13" s="80" t="s">
        <v>38</v>
      </c>
      <c r="D13" s="81"/>
      <c r="E13" s="19" t="s">
        <v>39</v>
      </c>
      <c r="F13" s="20">
        <v>12177</v>
      </c>
      <c r="G13" s="21">
        <v>25</v>
      </c>
      <c r="H13" s="20"/>
      <c r="I13" s="19"/>
      <c r="J13" s="22" t="s">
        <v>35</v>
      </c>
      <c r="K13" s="19" t="s">
        <v>40</v>
      </c>
      <c r="L13" s="20">
        <v>14218</v>
      </c>
      <c r="M13" s="19">
        <v>20267</v>
      </c>
      <c r="N13" s="20" t="s">
        <v>37</v>
      </c>
      <c r="O13" s="23">
        <v>1.6040000000000001</v>
      </c>
      <c r="P13" s="24">
        <v>7.0576000000000008</v>
      </c>
      <c r="Q13" s="89">
        <v>50</v>
      </c>
    </row>
    <row r="14" spans="1:17" x14ac:dyDescent="0.3">
      <c r="A14" s="17">
        <v>5</v>
      </c>
      <c r="B14" s="18">
        <v>8.1999999999999993</v>
      </c>
      <c r="C14" s="80" t="s">
        <v>38</v>
      </c>
      <c r="D14" s="81"/>
      <c r="E14" s="19" t="s">
        <v>39</v>
      </c>
      <c r="F14" s="20">
        <v>12177</v>
      </c>
      <c r="G14" s="21">
        <v>25</v>
      </c>
      <c r="H14" s="20"/>
      <c r="I14" s="19"/>
      <c r="J14" s="22" t="s">
        <v>35</v>
      </c>
      <c r="K14" s="19" t="s">
        <v>40</v>
      </c>
      <c r="L14" s="20">
        <v>14218</v>
      </c>
      <c r="M14" s="19">
        <v>20267</v>
      </c>
      <c r="N14" s="20" t="s">
        <v>37</v>
      </c>
      <c r="O14" s="23">
        <v>1.6040000000000001</v>
      </c>
      <c r="P14" s="24">
        <v>7.0576000000000008</v>
      </c>
      <c r="Q14" s="88">
        <v>60</v>
      </c>
    </row>
    <row r="15" spans="1:17" x14ac:dyDescent="0.3">
      <c r="A15" s="17">
        <v>6</v>
      </c>
      <c r="B15" s="18">
        <v>8.1999999999999993</v>
      </c>
      <c r="C15" s="80" t="s">
        <v>33</v>
      </c>
      <c r="D15" s="81"/>
      <c r="E15" s="19" t="s">
        <v>41</v>
      </c>
      <c r="F15" s="20">
        <v>7306</v>
      </c>
      <c r="G15" s="21">
        <v>20</v>
      </c>
      <c r="H15" s="20"/>
      <c r="I15" s="19"/>
      <c r="J15" s="22" t="s">
        <v>35</v>
      </c>
      <c r="K15" s="19" t="s">
        <v>36</v>
      </c>
      <c r="L15" s="20">
        <v>7394</v>
      </c>
      <c r="M15" s="19">
        <v>10543</v>
      </c>
      <c r="N15" s="20" t="s">
        <v>37</v>
      </c>
      <c r="O15" s="23">
        <v>0.9163</v>
      </c>
      <c r="P15" s="24">
        <v>4.03172</v>
      </c>
      <c r="Q15" s="88">
        <v>70</v>
      </c>
    </row>
    <row r="16" spans="1:17" x14ac:dyDescent="0.3">
      <c r="A16" s="17">
        <v>7</v>
      </c>
      <c r="B16" s="18">
        <v>12.299999999999999</v>
      </c>
      <c r="C16" s="80" t="s">
        <v>33</v>
      </c>
      <c r="D16" s="81"/>
      <c r="E16" s="19" t="s">
        <v>41</v>
      </c>
      <c r="F16" s="20">
        <v>10959</v>
      </c>
      <c r="G16" s="21">
        <v>20</v>
      </c>
      <c r="H16" s="20"/>
      <c r="I16" s="19"/>
      <c r="J16" s="22" t="s">
        <v>35</v>
      </c>
      <c r="K16" s="19" t="s">
        <v>40</v>
      </c>
      <c r="L16" s="20">
        <v>12839</v>
      </c>
      <c r="M16" s="19">
        <v>18766</v>
      </c>
      <c r="N16" s="20" t="s">
        <v>37</v>
      </c>
      <c r="O16" s="23">
        <v>1.26</v>
      </c>
      <c r="P16" s="24">
        <v>5.5440000000000005</v>
      </c>
      <c r="Q16" s="88">
        <v>80</v>
      </c>
    </row>
    <row r="17" spans="1:17" x14ac:dyDescent="0.3">
      <c r="A17" s="17">
        <v>8</v>
      </c>
      <c r="B17" s="18">
        <v>12.299999999999999</v>
      </c>
      <c r="C17" s="80" t="s">
        <v>33</v>
      </c>
      <c r="D17" s="81"/>
      <c r="E17" s="19" t="s">
        <v>41</v>
      </c>
      <c r="F17" s="20">
        <v>10959</v>
      </c>
      <c r="G17" s="21">
        <v>20</v>
      </c>
      <c r="H17" s="20"/>
      <c r="I17" s="19"/>
      <c r="J17" s="22" t="s">
        <v>35</v>
      </c>
      <c r="K17" s="19" t="s">
        <v>40</v>
      </c>
      <c r="L17" s="20">
        <v>12839</v>
      </c>
      <c r="M17" s="19">
        <v>18766</v>
      </c>
      <c r="N17" s="20" t="s">
        <v>37</v>
      </c>
      <c r="O17" s="23">
        <v>1.26</v>
      </c>
      <c r="P17" s="24">
        <v>5.5440000000000005</v>
      </c>
      <c r="Q17" s="89">
        <v>90</v>
      </c>
    </row>
    <row r="18" spans="1:17" x14ac:dyDescent="0.3">
      <c r="A18" s="17">
        <v>9</v>
      </c>
      <c r="B18" s="18">
        <v>8.1999999999999993</v>
      </c>
      <c r="C18" s="80" t="s">
        <v>33</v>
      </c>
      <c r="D18" s="81"/>
      <c r="E18" s="19" t="s">
        <v>41</v>
      </c>
      <c r="F18" s="20">
        <v>7306</v>
      </c>
      <c r="G18" s="21">
        <v>20</v>
      </c>
      <c r="H18" s="20"/>
      <c r="I18" s="19"/>
      <c r="J18" s="22" t="s">
        <v>35</v>
      </c>
      <c r="K18" s="19" t="s">
        <v>36</v>
      </c>
      <c r="L18" s="20">
        <v>7394</v>
      </c>
      <c r="M18" s="19">
        <v>10543</v>
      </c>
      <c r="N18" s="20" t="s">
        <v>37</v>
      </c>
      <c r="O18" s="23">
        <v>0.9163</v>
      </c>
      <c r="P18" s="24">
        <v>4.03172</v>
      </c>
      <c r="Q18" s="88">
        <v>100</v>
      </c>
    </row>
    <row r="19" spans="1:17" x14ac:dyDescent="0.3">
      <c r="A19" s="17">
        <v>10</v>
      </c>
      <c r="B19" s="25">
        <v>3</v>
      </c>
      <c r="C19" s="80" t="s">
        <v>42</v>
      </c>
      <c r="D19" s="81"/>
      <c r="E19" s="19" t="s">
        <v>43</v>
      </c>
      <c r="F19" s="20">
        <v>4170</v>
      </c>
      <c r="G19" s="26">
        <v>-22</v>
      </c>
      <c r="H19" s="20"/>
      <c r="I19" s="19"/>
      <c r="J19" s="27" t="s">
        <v>44</v>
      </c>
      <c r="K19" s="19" t="s">
        <v>40</v>
      </c>
      <c r="L19" s="20">
        <v>4906</v>
      </c>
      <c r="M19" s="19">
        <v>9622</v>
      </c>
      <c r="N19" s="20" t="s">
        <v>37</v>
      </c>
      <c r="O19" s="23">
        <v>0.68720000000000003</v>
      </c>
      <c r="P19" s="24">
        <v>3.0236800000000006</v>
      </c>
      <c r="Q19" s="88">
        <v>110</v>
      </c>
    </row>
    <row r="20" spans="1:17" x14ac:dyDescent="0.3">
      <c r="A20" s="17">
        <v>11</v>
      </c>
      <c r="B20" s="25">
        <v>3</v>
      </c>
      <c r="C20" s="80" t="s">
        <v>42</v>
      </c>
      <c r="D20" s="81"/>
      <c r="E20" s="19" t="s">
        <v>43</v>
      </c>
      <c r="F20" s="20">
        <v>4170</v>
      </c>
      <c r="G20" s="26">
        <v>-22</v>
      </c>
      <c r="H20" s="20"/>
      <c r="I20" s="19"/>
      <c r="J20" s="27" t="s">
        <v>44</v>
      </c>
      <c r="K20" s="19" t="s">
        <v>40</v>
      </c>
      <c r="L20" s="20">
        <v>4906</v>
      </c>
      <c r="M20" s="19">
        <v>9622</v>
      </c>
      <c r="N20" s="20" t="s">
        <v>37</v>
      </c>
      <c r="O20" s="23">
        <v>0.68720000000000003</v>
      </c>
      <c r="P20" s="24">
        <v>3.0236800000000006</v>
      </c>
      <c r="Q20" s="88">
        <v>120</v>
      </c>
    </row>
    <row r="21" spans="1:17" x14ac:dyDescent="0.3">
      <c r="A21" s="17">
        <v>12</v>
      </c>
      <c r="B21" s="18">
        <v>12.299999999999999</v>
      </c>
      <c r="C21" s="80" t="s">
        <v>33</v>
      </c>
      <c r="D21" s="81"/>
      <c r="E21" s="19" t="s">
        <v>45</v>
      </c>
      <c r="F21" s="20">
        <v>10959</v>
      </c>
      <c r="G21" s="26">
        <v>15</v>
      </c>
      <c r="H21" s="20"/>
      <c r="I21" s="19"/>
      <c r="J21" s="27" t="s">
        <v>44</v>
      </c>
      <c r="K21" s="19" t="s">
        <v>40</v>
      </c>
      <c r="L21" s="20">
        <v>11956</v>
      </c>
      <c r="M21" s="19">
        <v>17811</v>
      </c>
      <c r="N21" s="20" t="s">
        <v>37</v>
      </c>
      <c r="O21" s="23">
        <v>1.26</v>
      </c>
      <c r="P21" s="24">
        <v>5.5440000000000005</v>
      </c>
      <c r="Q21" s="89">
        <v>130</v>
      </c>
    </row>
    <row r="22" spans="1:17" x14ac:dyDescent="0.3">
      <c r="A22" s="17">
        <v>13</v>
      </c>
      <c r="B22" s="18">
        <v>8.1999999999999993</v>
      </c>
      <c r="C22" s="80" t="s">
        <v>46</v>
      </c>
      <c r="D22" s="81"/>
      <c r="E22" s="19" t="s">
        <v>45</v>
      </c>
      <c r="F22" s="20">
        <v>5330</v>
      </c>
      <c r="G22" s="26">
        <v>15</v>
      </c>
      <c r="H22" s="20"/>
      <c r="I22" s="19"/>
      <c r="J22" s="27" t="s">
        <v>44</v>
      </c>
      <c r="K22" s="19" t="s">
        <v>36</v>
      </c>
      <c r="L22" s="20">
        <v>6657</v>
      </c>
      <c r="M22" s="19">
        <v>9724</v>
      </c>
      <c r="N22" s="20" t="s">
        <v>37</v>
      </c>
      <c r="O22" s="23">
        <v>0.68720000000000003</v>
      </c>
      <c r="P22" s="24">
        <v>3.0236800000000006</v>
      </c>
      <c r="Q22" s="88">
        <v>140</v>
      </c>
    </row>
    <row r="23" spans="1:17" x14ac:dyDescent="0.3">
      <c r="A23" s="17">
        <v>14</v>
      </c>
      <c r="B23" s="18">
        <v>8.1999999999999993</v>
      </c>
      <c r="C23" s="80" t="s">
        <v>46</v>
      </c>
      <c r="D23" s="81"/>
      <c r="E23" s="19" t="s">
        <v>47</v>
      </c>
      <c r="F23" s="20">
        <v>5330</v>
      </c>
      <c r="G23" s="26">
        <v>15</v>
      </c>
      <c r="H23" s="20"/>
      <c r="I23" s="19"/>
      <c r="J23" s="27" t="s">
        <v>44</v>
      </c>
      <c r="K23" s="19" t="s">
        <v>36</v>
      </c>
      <c r="L23" s="20">
        <v>6657</v>
      </c>
      <c r="M23" s="19">
        <v>9724</v>
      </c>
      <c r="N23" s="20" t="s">
        <v>37</v>
      </c>
      <c r="O23" s="23">
        <v>0.68720000000000003</v>
      </c>
      <c r="P23" s="24">
        <v>3.0236800000000006</v>
      </c>
      <c r="Q23" s="88">
        <v>150</v>
      </c>
    </row>
    <row r="24" spans="1:17" x14ac:dyDescent="0.3">
      <c r="A24" s="17">
        <v>15</v>
      </c>
      <c r="B24" s="18">
        <v>4.0999999999999996</v>
      </c>
      <c r="C24" s="80" t="s">
        <v>46</v>
      </c>
      <c r="D24" s="81"/>
      <c r="E24" s="19" t="s">
        <v>48</v>
      </c>
      <c r="F24" s="20">
        <v>2665</v>
      </c>
      <c r="G24" s="26">
        <v>-4</v>
      </c>
      <c r="H24" s="20"/>
      <c r="I24" s="19"/>
      <c r="J24" s="27" t="s">
        <v>44</v>
      </c>
      <c r="K24" s="19" t="s">
        <v>49</v>
      </c>
      <c r="L24" s="20">
        <v>2842</v>
      </c>
      <c r="M24" s="19">
        <v>5459</v>
      </c>
      <c r="N24" s="20" t="s">
        <v>37</v>
      </c>
      <c r="O24" s="23">
        <v>0.4582</v>
      </c>
      <c r="P24" s="24">
        <v>2.0160800000000001</v>
      </c>
      <c r="Q24" s="88">
        <v>160</v>
      </c>
    </row>
    <row r="25" spans="1:17" x14ac:dyDescent="0.3">
      <c r="A25" s="17">
        <v>16</v>
      </c>
      <c r="B25" s="18">
        <v>4.0999999999999996</v>
      </c>
      <c r="C25" s="80" t="s">
        <v>46</v>
      </c>
      <c r="D25" s="81"/>
      <c r="E25" s="19" t="s">
        <v>48</v>
      </c>
      <c r="F25" s="20">
        <v>2665</v>
      </c>
      <c r="G25" s="26">
        <v>-4</v>
      </c>
      <c r="H25" s="20"/>
      <c r="I25" s="19"/>
      <c r="J25" s="27" t="s">
        <v>44</v>
      </c>
      <c r="K25" s="19" t="s">
        <v>49</v>
      </c>
      <c r="L25" s="20">
        <v>2842</v>
      </c>
      <c r="M25" s="19">
        <v>5459</v>
      </c>
      <c r="N25" s="20" t="s">
        <v>37</v>
      </c>
      <c r="O25" s="23">
        <v>0.4582</v>
      </c>
      <c r="P25" s="24">
        <v>2.0160800000000001</v>
      </c>
      <c r="Q25" s="89">
        <v>170</v>
      </c>
    </row>
    <row r="26" spans="1:17" x14ac:dyDescent="0.3">
      <c r="A26" s="17">
        <v>17</v>
      </c>
      <c r="B26" s="18">
        <v>8.1999999999999993</v>
      </c>
      <c r="C26" s="80" t="s">
        <v>33</v>
      </c>
      <c r="D26" s="81"/>
      <c r="E26" s="19" t="s">
        <v>50</v>
      </c>
      <c r="F26" s="20">
        <v>7306</v>
      </c>
      <c r="G26" s="21">
        <v>20</v>
      </c>
      <c r="H26" s="20"/>
      <c r="I26" s="19"/>
      <c r="J26" s="22" t="s">
        <v>35</v>
      </c>
      <c r="K26" s="19" t="s">
        <v>36</v>
      </c>
      <c r="L26" s="20">
        <v>7394</v>
      </c>
      <c r="M26" s="19">
        <v>10543</v>
      </c>
      <c r="N26" s="20" t="s">
        <v>37</v>
      </c>
      <c r="O26" s="23">
        <v>0.9163</v>
      </c>
      <c r="P26" s="24">
        <v>4.03172</v>
      </c>
      <c r="Q26" s="88">
        <v>180</v>
      </c>
    </row>
    <row r="27" spans="1:17" x14ac:dyDescent="0.3">
      <c r="A27" s="17">
        <v>18</v>
      </c>
      <c r="B27" s="18">
        <v>8.1999999999999993</v>
      </c>
      <c r="C27" s="80" t="s">
        <v>33</v>
      </c>
      <c r="D27" s="81"/>
      <c r="E27" s="19" t="s">
        <v>50</v>
      </c>
      <c r="F27" s="20">
        <v>7306</v>
      </c>
      <c r="G27" s="21">
        <v>20</v>
      </c>
      <c r="H27" s="20"/>
      <c r="I27" s="19"/>
      <c r="J27" s="22" t="s">
        <v>35</v>
      </c>
      <c r="K27" s="19" t="s">
        <v>36</v>
      </c>
      <c r="L27" s="20">
        <v>7394</v>
      </c>
      <c r="M27" s="19">
        <v>10543</v>
      </c>
      <c r="N27" s="20" t="s">
        <v>37</v>
      </c>
      <c r="O27" s="23">
        <v>0.9163</v>
      </c>
      <c r="P27" s="24">
        <v>4.03172</v>
      </c>
      <c r="Q27" s="88">
        <v>190</v>
      </c>
    </row>
    <row r="28" spans="1:17" x14ac:dyDescent="0.3">
      <c r="A28" s="17">
        <v>19</v>
      </c>
      <c r="B28" s="18">
        <f>8.2/3.28</f>
        <v>2.5</v>
      </c>
      <c r="C28" s="80" t="s">
        <v>33</v>
      </c>
      <c r="D28" s="81"/>
      <c r="E28" s="19" t="s">
        <v>50</v>
      </c>
      <c r="F28" s="20">
        <v>7306</v>
      </c>
      <c r="G28" s="21">
        <v>20</v>
      </c>
      <c r="H28" s="20"/>
      <c r="I28" s="19"/>
      <c r="J28" s="22" t="s">
        <v>35</v>
      </c>
      <c r="K28" s="19" t="s">
        <v>36</v>
      </c>
      <c r="L28" s="20">
        <v>7394</v>
      </c>
      <c r="M28" s="19">
        <v>10543</v>
      </c>
      <c r="N28" s="20" t="s">
        <v>37</v>
      </c>
      <c r="O28" s="23">
        <v>0.9163</v>
      </c>
      <c r="P28" s="24">
        <v>4.03172</v>
      </c>
      <c r="Q28" s="88">
        <v>200</v>
      </c>
    </row>
    <row r="29" spans="1:17" x14ac:dyDescent="0.3">
      <c r="A29" s="17">
        <v>20</v>
      </c>
      <c r="B29" s="18">
        <v>8.1999999999999993</v>
      </c>
      <c r="C29" s="80" t="s">
        <v>33</v>
      </c>
      <c r="D29" s="81"/>
      <c r="E29" s="19" t="s">
        <v>50</v>
      </c>
      <c r="F29" s="20">
        <v>7306</v>
      </c>
      <c r="G29" s="21">
        <v>20</v>
      </c>
      <c r="H29" s="20"/>
      <c r="I29" s="19"/>
      <c r="J29" s="22" t="s">
        <v>35</v>
      </c>
      <c r="K29" s="19" t="s">
        <v>36</v>
      </c>
      <c r="L29" s="20">
        <v>7394</v>
      </c>
      <c r="M29" s="19">
        <v>10543</v>
      </c>
      <c r="N29" s="20" t="s">
        <v>37</v>
      </c>
      <c r="O29" s="23">
        <v>0.9163</v>
      </c>
      <c r="P29" s="24">
        <v>4.03172</v>
      </c>
      <c r="Q29" s="89">
        <v>210</v>
      </c>
    </row>
    <row r="30" spans="1:17" x14ac:dyDescent="0.3">
      <c r="A30" s="17">
        <v>21</v>
      </c>
      <c r="B30" s="18">
        <v>8.1999999999999993</v>
      </c>
      <c r="C30" s="80" t="s">
        <v>33</v>
      </c>
      <c r="D30" s="81"/>
      <c r="E30" s="19" t="s">
        <v>50</v>
      </c>
      <c r="F30" s="20">
        <v>7306</v>
      </c>
      <c r="G30" s="21">
        <v>20</v>
      </c>
      <c r="H30" s="20"/>
      <c r="I30" s="19"/>
      <c r="J30" s="22" t="s">
        <v>35</v>
      </c>
      <c r="K30" s="19" t="s">
        <v>36</v>
      </c>
      <c r="L30" s="20">
        <v>7394</v>
      </c>
      <c r="M30" s="19">
        <v>10543</v>
      </c>
      <c r="N30" s="20" t="s">
        <v>37</v>
      </c>
      <c r="O30" s="23">
        <v>0.9163</v>
      </c>
      <c r="P30" s="24">
        <v>4.03172</v>
      </c>
      <c r="Q30" s="88">
        <v>220</v>
      </c>
    </row>
    <row r="31" spans="1:17" x14ac:dyDescent="0.3">
      <c r="A31" s="17">
        <v>22</v>
      </c>
      <c r="B31" s="17" t="s">
        <v>51</v>
      </c>
      <c r="C31" s="80" t="s">
        <v>52</v>
      </c>
      <c r="D31" s="81"/>
      <c r="E31" s="19" t="s">
        <v>53</v>
      </c>
      <c r="F31" s="20">
        <v>6756</v>
      </c>
      <c r="G31" s="26">
        <v>15</v>
      </c>
      <c r="H31" s="20">
        <v>1</v>
      </c>
      <c r="I31" s="19" t="s">
        <v>54</v>
      </c>
      <c r="J31" s="27" t="s">
        <v>44</v>
      </c>
      <c r="K31" s="19" t="s">
        <v>40</v>
      </c>
      <c r="L31" s="20">
        <v>11956</v>
      </c>
      <c r="M31" s="19">
        <v>17811</v>
      </c>
      <c r="N31" s="20" t="s">
        <v>37</v>
      </c>
      <c r="O31" s="23">
        <v>1.26</v>
      </c>
      <c r="P31" s="24">
        <v>5.5440000000000005</v>
      </c>
      <c r="Q31" s="88">
        <v>230</v>
      </c>
    </row>
    <row r="32" spans="1:17" x14ac:dyDescent="0.3">
      <c r="A32" s="17">
        <v>23</v>
      </c>
      <c r="B32" s="17" t="s">
        <v>55</v>
      </c>
      <c r="C32" s="80" t="s">
        <v>52</v>
      </c>
      <c r="D32" s="81"/>
      <c r="E32" s="19" t="s">
        <v>45</v>
      </c>
      <c r="F32" s="20">
        <v>7130</v>
      </c>
      <c r="G32" s="26">
        <v>15</v>
      </c>
      <c r="H32" s="20">
        <v>1</v>
      </c>
      <c r="I32" s="19" t="s">
        <v>54</v>
      </c>
      <c r="J32" s="27" t="s">
        <v>44</v>
      </c>
      <c r="K32" s="19" t="s">
        <v>40</v>
      </c>
      <c r="L32" s="20">
        <v>11956</v>
      </c>
      <c r="M32" s="19">
        <v>17811</v>
      </c>
      <c r="N32" s="20" t="s">
        <v>37</v>
      </c>
      <c r="O32" s="23">
        <v>1.26</v>
      </c>
      <c r="P32" s="24">
        <v>5.5440000000000005</v>
      </c>
      <c r="Q32" s="88">
        <v>240</v>
      </c>
    </row>
    <row r="33" spans="1:17" x14ac:dyDescent="0.3">
      <c r="A33" s="17">
        <v>24</v>
      </c>
      <c r="B33" s="17" t="s">
        <v>56</v>
      </c>
      <c r="C33" s="80" t="s">
        <v>52</v>
      </c>
      <c r="D33" s="81"/>
      <c r="E33" s="19" t="s">
        <v>57</v>
      </c>
      <c r="F33" s="20">
        <v>3950</v>
      </c>
      <c r="G33" s="21">
        <v>32</v>
      </c>
      <c r="H33" s="20">
        <v>1</v>
      </c>
      <c r="I33" s="19" t="s">
        <v>58</v>
      </c>
      <c r="J33" s="22" t="s">
        <v>35</v>
      </c>
      <c r="K33" s="19" t="s">
        <v>49</v>
      </c>
      <c r="L33" s="20">
        <v>5538</v>
      </c>
      <c r="M33" s="19">
        <v>8564</v>
      </c>
      <c r="N33" s="20" t="s">
        <v>37</v>
      </c>
      <c r="O33" s="23">
        <v>0.68720000000000003</v>
      </c>
      <c r="P33" s="24">
        <v>3.0236800000000006</v>
      </c>
      <c r="Q33" s="89">
        <v>250</v>
      </c>
    </row>
    <row r="34" spans="1:17" x14ac:dyDescent="0.3">
      <c r="A34" s="17">
        <v>25</v>
      </c>
      <c r="B34" s="17" t="s">
        <v>68</v>
      </c>
      <c r="C34" s="80" t="s">
        <v>52</v>
      </c>
      <c r="D34" s="81"/>
      <c r="E34" s="19" t="s">
        <v>69</v>
      </c>
      <c r="F34" s="20">
        <v>6350</v>
      </c>
      <c r="G34" s="21">
        <v>40</v>
      </c>
      <c r="H34" s="20">
        <v>1</v>
      </c>
      <c r="I34" s="19" t="s">
        <v>54</v>
      </c>
      <c r="J34" s="22" t="s">
        <v>35</v>
      </c>
      <c r="K34" s="19" t="s">
        <v>36</v>
      </c>
      <c r="L34" s="20">
        <v>9229</v>
      </c>
      <c r="M34" s="19">
        <v>12488</v>
      </c>
      <c r="N34" s="20" t="s">
        <v>37</v>
      </c>
      <c r="O34" s="23">
        <v>0.9163</v>
      </c>
      <c r="P34" s="24">
        <v>4.03172</v>
      </c>
      <c r="Q34" s="88">
        <v>260</v>
      </c>
    </row>
    <row r="35" spans="1:17" x14ac:dyDescent="0.3">
      <c r="A35" s="17">
        <v>26</v>
      </c>
      <c r="B35" s="17" t="s">
        <v>59</v>
      </c>
      <c r="C35" s="80" t="s">
        <v>52</v>
      </c>
      <c r="D35" s="81"/>
      <c r="E35" s="19" t="s">
        <v>39</v>
      </c>
      <c r="F35" s="20">
        <v>10752</v>
      </c>
      <c r="G35" s="21">
        <v>25</v>
      </c>
      <c r="H35" s="20">
        <v>1</v>
      </c>
      <c r="I35" s="19" t="s">
        <v>60</v>
      </c>
      <c r="J35" s="22" t="s">
        <v>35</v>
      </c>
      <c r="K35" s="19" t="s">
        <v>40</v>
      </c>
      <c r="L35" s="20">
        <v>14218</v>
      </c>
      <c r="M35" s="19">
        <v>20267</v>
      </c>
      <c r="N35" s="20" t="s">
        <v>37</v>
      </c>
      <c r="O35" s="23">
        <v>1.6040000000000001</v>
      </c>
      <c r="P35" s="24">
        <v>7.0576000000000008</v>
      </c>
      <c r="Q35" s="88">
        <v>270</v>
      </c>
    </row>
    <row r="36" spans="1:17" x14ac:dyDescent="0.3">
      <c r="A36" s="17">
        <v>27</v>
      </c>
      <c r="B36" s="17" t="s">
        <v>61</v>
      </c>
      <c r="C36" s="80" t="s">
        <v>52</v>
      </c>
      <c r="D36" s="81"/>
      <c r="E36" s="19" t="s">
        <v>41</v>
      </c>
      <c r="F36" s="20">
        <v>8683</v>
      </c>
      <c r="G36" s="21">
        <v>20</v>
      </c>
      <c r="H36" s="20">
        <v>1</v>
      </c>
      <c r="I36" s="19" t="s">
        <v>62</v>
      </c>
      <c r="J36" s="22" t="s">
        <v>35</v>
      </c>
      <c r="K36" s="19" t="s">
        <v>40</v>
      </c>
      <c r="L36" s="20">
        <v>12839</v>
      </c>
      <c r="M36" s="19">
        <v>18766</v>
      </c>
      <c r="N36" s="20" t="s">
        <v>37</v>
      </c>
      <c r="O36" s="23">
        <v>1.26</v>
      </c>
      <c r="P36" s="24">
        <v>5.5440000000000005</v>
      </c>
      <c r="Q36" s="88">
        <v>280</v>
      </c>
    </row>
    <row r="37" spans="1:17" x14ac:dyDescent="0.3">
      <c r="A37" s="17">
        <v>28</v>
      </c>
      <c r="B37" s="17" t="s">
        <v>63</v>
      </c>
      <c r="C37" s="80" t="s">
        <v>52</v>
      </c>
      <c r="D37" s="81"/>
      <c r="E37" s="19" t="s">
        <v>43</v>
      </c>
      <c r="F37" s="20">
        <v>9373</v>
      </c>
      <c r="G37" s="26">
        <v>-22</v>
      </c>
      <c r="H37" s="20">
        <v>1</v>
      </c>
      <c r="I37" s="19" t="s">
        <v>64</v>
      </c>
      <c r="J37" s="27" t="s">
        <v>44</v>
      </c>
      <c r="K37" s="19" t="s">
        <v>65</v>
      </c>
      <c r="L37" s="20">
        <v>10317</v>
      </c>
      <c r="M37" s="19">
        <v>20023</v>
      </c>
      <c r="N37" s="20" t="s">
        <v>37</v>
      </c>
      <c r="O37" s="23">
        <v>1.6040000000000001</v>
      </c>
      <c r="P37" s="24">
        <v>7.0576000000000008</v>
      </c>
      <c r="Q37" s="89">
        <v>290</v>
      </c>
    </row>
    <row r="38" spans="1:17" s="38" customFormat="1" ht="15" thickBot="1" x14ac:dyDescent="0.35">
      <c r="A38" s="17">
        <v>29</v>
      </c>
      <c r="B38" s="28" t="s">
        <v>66</v>
      </c>
      <c r="C38" s="86" t="s">
        <v>52</v>
      </c>
      <c r="D38" s="87"/>
      <c r="E38" s="29" t="s">
        <v>43</v>
      </c>
      <c r="F38" s="30">
        <v>9373</v>
      </c>
      <c r="G38" s="31">
        <v>-22</v>
      </c>
      <c r="H38" s="30">
        <v>1</v>
      </c>
      <c r="I38" s="29" t="s">
        <v>64</v>
      </c>
      <c r="J38" s="32" t="s">
        <v>44</v>
      </c>
      <c r="K38" s="29" t="s">
        <v>65</v>
      </c>
      <c r="L38" s="30">
        <v>10317</v>
      </c>
      <c r="M38" s="29">
        <v>20023</v>
      </c>
      <c r="N38" s="30" t="s">
        <v>37</v>
      </c>
      <c r="O38" s="33">
        <v>1.6040000000000001</v>
      </c>
      <c r="P38" s="34">
        <v>7.0576000000000008</v>
      </c>
      <c r="Q38" s="88">
        <v>300</v>
      </c>
    </row>
    <row r="39" spans="1:17" ht="15" thickBot="1" x14ac:dyDescent="0.35">
      <c r="A39" s="40"/>
      <c r="B39" s="41"/>
      <c r="C39" s="41"/>
      <c r="D39" s="41"/>
      <c r="E39" s="41"/>
      <c r="F39" s="35">
        <v>212118</v>
      </c>
      <c r="G39" s="40" t="s">
        <v>67</v>
      </c>
      <c r="H39" s="41"/>
      <c r="I39" s="41"/>
      <c r="J39" s="41"/>
      <c r="K39" s="41"/>
      <c r="L39" s="41"/>
      <c r="M39" s="41"/>
      <c r="N39" s="41"/>
      <c r="O39" s="36">
        <f>+SUM(O10:O38)</f>
        <v>31.387100000000004</v>
      </c>
      <c r="P39" s="37">
        <f>+SUM(P10:P38)</f>
        <v>138.10324000000003</v>
      </c>
    </row>
  </sheetData>
  <mergeCells count="59">
    <mergeCell ref="C38:D38"/>
    <mergeCell ref="C33:D33"/>
    <mergeCell ref="C34:D34"/>
    <mergeCell ref="C35:D35"/>
    <mergeCell ref="C36:D36"/>
    <mergeCell ref="C37:D37"/>
    <mergeCell ref="C32:D32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1:D31"/>
    <mergeCell ref="C30:D30"/>
    <mergeCell ref="C19:D19"/>
    <mergeCell ref="K8:P8"/>
    <mergeCell ref="O9:P9"/>
    <mergeCell ref="C10:D10"/>
    <mergeCell ref="C11:D11"/>
    <mergeCell ref="C12:D12"/>
    <mergeCell ref="C13:D13"/>
    <mergeCell ref="C14:D14"/>
    <mergeCell ref="C16:D16"/>
    <mergeCell ref="C17:D17"/>
    <mergeCell ref="C18:D18"/>
    <mergeCell ref="C15:D15"/>
    <mergeCell ref="L4:M4"/>
    <mergeCell ref="N4:O4"/>
    <mergeCell ref="A7:G7"/>
    <mergeCell ref="H7:P7"/>
    <mergeCell ref="A8:A9"/>
    <mergeCell ref="B8:B9"/>
    <mergeCell ref="C8:D9"/>
    <mergeCell ref="E8:E9"/>
    <mergeCell ref="F8:F9"/>
    <mergeCell ref="G8:G9"/>
    <mergeCell ref="H8:I8"/>
    <mergeCell ref="J8:J9"/>
    <mergeCell ref="A39:E39"/>
    <mergeCell ref="G39:N39"/>
    <mergeCell ref="E2:P2"/>
    <mergeCell ref="E3:F3"/>
    <mergeCell ref="G3:I3"/>
    <mergeCell ref="J3:K3"/>
    <mergeCell ref="L3:M3"/>
    <mergeCell ref="N3:O3"/>
    <mergeCell ref="E5:F5"/>
    <mergeCell ref="G5:I5"/>
    <mergeCell ref="J5:K5"/>
    <mergeCell ref="L5:M5"/>
    <mergeCell ref="N5:O5"/>
    <mergeCell ref="E4:F4"/>
    <mergeCell ref="G4:I4"/>
    <mergeCell ref="J4:K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LEON PARRA</dc:creator>
  <cp:lastModifiedBy>Juan David Lozano</cp:lastModifiedBy>
  <dcterms:created xsi:type="dcterms:W3CDTF">2025-06-24T14:56:01Z</dcterms:created>
  <dcterms:modified xsi:type="dcterms:W3CDTF">2025-11-25T23:17:14Z</dcterms:modified>
</cp:coreProperties>
</file>